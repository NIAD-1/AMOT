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94BD56ED68F00427/editable/PMS Advert/"/>
    </mc:Choice>
  </mc:AlternateContent>
  <xr:revisionPtr revIDLastSave="15153" documentId="8_{42A3B4C7-21F2-4025-99C9-FFA48048C5EE}" xr6:coauthVersionLast="47" xr6:coauthVersionMax="47" xr10:uidLastSave="{5CEACD53-7833-40E6-93FC-FDB53E3ED53D}"/>
  <bookViews>
    <workbookView xWindow="-108" yWindow="-108" windowWidth="23256" windowHeight="13176" xr2:uid="{00000000-000D-0000-FFFF-FFFF00000000}"/>
  </bookViews>
  <sheets>
    <sheet name="APPROVED" sheetId="1" r:id="rId1"/>
    <sheet name="UNAPPROVED" sheetId="2" r:id="rId2"/>
    <sheet name="Applicant Details" sheetId="5" r:id="rId3"/>
  </sheets>
  <definedNames>
    <definedName name="_xlnm._FilterDatabase" localSheetId="0" hidden="1">APPROVED!$J$1:$J$866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86" i="1" l="1"/>
  <c r="B32" i="2"/>
  <c r="N854" i="1"/>
  <c r="N853" i="1"/>
  <c r="N852" i="1"/>
  <c r="N851" i="1"/>
  <c r="N952" i="1"/>
  <c r="N850" i="1"/>
  <c r="N849" i="1"/>
  <c r="N848" i="1"/>
  <c r="N847" i="1"/>
  <c r="N846" i="1"/>
  <c r="N845" i="1"/>
  <c r="N844" i="1"/>
  <c r="N843" i="1"/>
  <c r="N842" i="1"/>
  <c r="N841" i="1" l="1"/>
  <c r="N840" i="1"/>
  <c r="N839" i="1"/>
  <c r="N838" i="1"/>
  <c r="N837" i="1"/>
  <c r="N836" i="1"/>
  <c r="N835" i="1"/>
  <c r="N834" i="1"/>
  <c r="N833" i="1"/>
  <c r="N832" i="1"/>
  <c r="N831" i="1"/>
  <c r="N830" i="1"/>
  <c r="N829" i="1"/>
  <c r="N828" i="1"/>
  <c r="N827" i="1"/>
  <c r="N927" i="1"/>
  <c r="N826" i="1"/>
  <c r="N825" i="1"/>
  <c r="N824" i="1"/>
  <c r="N823" i="1"/>
  <c r="N919"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93" i="1"/>
  <c r="N1092" i="1"/>
  <c r="N1091" i="1"/>
  <c r="N1090" i="1"/>
  <c r="N1089" i="1"/>
  <c r="N1034" i="1"/>
  <c r="N1032" i="1"/>
  <c r="N1088" i="1"/>
  <c r="N1087" i="1"/>
  <c r="N1085" i="1"/>
  <c r="N1084" i="1"/>
  <c r="N1020" i="1" l="1"/>
  <c r="N1019" i="1"/>
  <c r="N1017" i="1"/>
  <c r="N1013" i="1"/>
  <c r="N1014" i="1"/>
  <c r="N904" i="1"/>
  <c r="N1025" i="1"/>
  <c r="N1026" i="1"/>
  <c r="N1027" i="1"/>
  <c r="N1028" i="1"/>
  <c r="N1023" i="1"/>
  <c r="N1024" i="1"/>
  <c r="N1006" i="1"/>
  <c r="N890" i="1"/>
  <c r="N893" i="1"/>
  <c r="N999" i="1"/>
  <c r="N998" i="1"/>
  <c r="N988" i="1"/>
  <c r="N986" i="1"/>
  <c r="N985" i="1"/>
  <c r="N984" i="1"/>
  <c r="N977" i="1"/>
  <c r="N976" i="1"/>
  <c r="N973" i="1"/>
  <c r="N974" i="1"/>
  <c r="N970" i="1"/>
  <c r="N969"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9" i="1"/>
  <c r="N820" i="1"/>
  <c r="N821" i="1"/>
  <c r="N822"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1" i="1"/>
  <c r="N892" i="1"/>
  <c r="N894" i="1"/>
  <c r="N895" i="1"/>
  <c r="N896" i="1"/>
  <c r="N897" i="1"/>
  <c r="N898" i="1"/>
  <c r="N899" i="1"/>
  <c r="N900" i="1"/>
  <c r="N901" i="1"/>
  <c r="N902" i="1"/>
  <c r="N903" i="1"/>
  <c r="N905" i="1"/>
  <c r="N906" i="1"/>
  <c r="N907" i="1"/>
  <c r="N908" i="1"/>
  <c r="N909" i="1"/>
  <c r="N910" i="1"/>
  <c r="N911" i="1"/>
  <c r="N912" i="1"/>
  <c r="N913" i="1"/>
  <c r="N914" i="1"/>
  <c r="N915" i="1"/>
  <c r="N916" i="1"/>
  <c r="N917" i="1"/>
  <c r="N918" i="1"/>
  <c r="N920" i="1"/>
  <c r="N921" i="1"/>
  <c r="N922" i="1"/>
  <c r="N923" i="1"/>
  <c r="N924" i="1"/>
  <c r="N925" i="1"/>
  <c r="N926" i="1"/>
  <c r="N928" i="1"/>
  <c r="N929" i="1"/>
  <c r="N930" i="1"/>
  <c r="N931" i="1"/>
  <c r="N932" i="1"/>
  <c r="N933" i="1"/>
  <c r="N934" i="1"/>
  <c r="N935" i="1"/>
  <c r="N936" i="1"/>
  <c r="N937" i="1"/>
  <c r="N938" i="1"/>
  <c r="N939" i="1"/>
  <c r="N940" i="1"/>
  <c r="N941" i="1"/>
  <c r="N942" i="1"/>
  <c r="N943" i="1"/>
  <c r="N944" i="1"/>
  <c r="N945" i="1"/>
  <c r="N946" i="1"/>
  <c r="N947" i="1"/>
  <c r="N948" i="1"/>
  <c r="N949" i="1"/>
  <c r="N950" i="1"/>
  <c r="N951" i="1"/>
  <c r="N953" i="1"/>
  <c r="N954" i="1"/>
  <c r="N955" i="1"/>
  <c r="N956" i="1"/>
  <c r="N957" i="1"/>
  <c r="N958" i="1"/>
  <c r="N959" i="1"/>
  <c r="N960" i="1"/>
  <c r="N961" i="1"/>
  <c r="N962" i="1"/>
  <c r="N963" i="1"/>
  <c r="N964" i="1"/>
  <c r="N965" i="1"/>
  <c r="N966" i="1"/>
  <c r="N967" i="1"/>
  <c r="N968" i="1"/>
  <c r="N971" i="1"/>
  <c r="N972" i="1"/>
  <c r="N975" i="1"/>
  <c r="N978" i="1"/>
  <c r="N979" i="1"/>
  <c r="N980" i="1"/>
  <c r="N981" i="1"/>
  <c r="N983" i="1"/>
  <c r="N987" i="1"/>
  <c r="N989" i="1"/>
  <c r="N990" i="1"/>
  <c r="N991" i="1"/>
  <c r="N992" i="1"/>
  <c r="N993" i="1"/>
  <c r="N994" i="1"/>
  <c r="N995" i="1"/>
  <c r="N996" i="1"/>
  <c r="N997" i="1"/>
  <c r="N1005" i="1"/>
  <c r="N1007" i="1"/>
  <c r="N1008" i="1"/>
  <c r="N1009" i="1"/>
  <c r="N1010" i="1"/>
  <c r="N1011" i="1"/>
  <c r="N1012" i="1"/>
  <c r="N1015" i="1"/>
  <c r="N1016" i="1"/>
  <c r="N1018" i="1"/>
  <c r="N1021" i="1"/>
  <c r="N1022" i="1"/>
  <c r="N1029" i="1"/>
  <c r="N1030" i="1"/>
  <c r="N1031" i="1"/>
  <c r="N1033" i="1"/>
  <c r="N1035" i="1"/>
  <c r="N1036"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6"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694" i="1"/>
  <c r="N695" i="1"/>
  <c r="N696" i="1"/>
  <c r="N697" i="1"/>
  <c r="N698" i="1"/>
  <c r="N699" i="1"/>
  <c r="N700" i="1"/>
  <c r="N701" i="1"/>
  <c r="N702" i="1"/>
  <c r="N703" i="1"/>
  <c r="N704" i="1"/>
  <c r="N705" i="1"/>
  <c r="N690" i="1"/>
  <c r="N691" i="1"/>
  <c r="N692" i="1"/>
  <c r="N693" i="1"/>
  <c r="N663" i="1"/>
  <c r="N664" i="1"/>
  <c r="N665" i="1"/>
  <c r="N666" i="1"/>
  <c r="N667" i="1"/>
  <c r="N668" i="1"/>
  <c r="N669" i="1"/>
  <c r="N670" i="1"/>
  <c r="N671" i="1"/>
  <c r="N672" i="1"/>
  <c r="N673" i="1"/>
  <c r="N674" i="1"/>
  <c r="N675" i="1"/>
  <c r="N676" i="1"/>
  <c r="N677" i="1"/>
  <c r="N678" i="1"/>
  <c r="N679" i="1"/>
  <c r="N680" i="1"/>
  <c r="N681" i="1"/>
  <c r="N682" i="1"/>
  <c r="N683" i="1"/>
  <c r="N684" i="1"/>
  <c r="N685" i="1"/>
  <c r="N688" i="1"/>
  <c r="N689" i="1"/>
  <c r="N455" i="1"/>
  <c r="N251" i="1"/>
  <c r="Q680" i="1"/>
  <c r="P680" i="1"/>
  <c r="Q679" i="1"/>
  <c r="P679" i="1"/>
  <c r="Q678" i="1"/>
  <c r="P678" i="1"/>
  <c r="Q677" i="1"/>
  <c r="P677" i="1"/>
  <c r="Q676" i="1"/>
  <c r="P676" i="1"/>
  <c r="Q675" i="1"/>
  <c r="P675" i="1"/>
  <c r="Q674" i="1"/>
  <c r="P674" i="1"/>
  <c r="Q673" i="1"/>
  <c r="P673" i="1"/>
  <c r="Q672" i="1"/>
  <c r="P672" i="1"/>
  <c r="Q671" i="1"/>
  <c r="P671" i="1"/>
  <c r="Q670" i="1"/>
  <c r="P670" i="1"/>
  <c r="P669" i="1"/>
  <c r="Q669" i="1"/>
  <c r="P668" i="1"/>
  <c r="Q668" i="1"/>
  <c r="Q667" i="1"/>
  <c r="P667" i="1"/>
  <c r="M666" i="1"/>
  <c r="Q666" i="1" s="1"/>
  <c r="N662" i="1"/>
  <c r="B56" i="2"/>
  <c r="A56" i="2" s="1"/>
  <c r="B57" i="2"/>
  <c r="A57" i="2" s="1"/>
  <c r="B58" i="2"/>
  <c r="A58" i="2" s="1"/>
  <c r="B59" i="2"/>
  <c r="A59" i="2" s="1"/>
  <c r="B60" i="2"/>
  <c r="A60" i="2" s="1"/>
  <c r="B61" i="2"/>
  <c r="A61" i="2" s="1"/>
  <c r="B62" i="2"/>
  <c r="A62" i="2" s="1"/>
  <c r="B63" i="2"/>
  <c r="A63" i="2" s="1"/>
  <c r="B64" i="2"/>
  <c r="A64" i="2" s="1"/>
  <c r="B65" i="2"/>
  <c r="A65" i="2" s="1"/>
  <c r="B66" i="2"/>
  <c r="A66" i="2" s="1"/>
  <c r="B67" i="2"/>
  <c r="A67" i="2" s="1"/>
  <c r="B68" i="2"/>
  <c r="A68" i="2" s="1"/>
  <c r="B69" i="2"/>
  <c r="A69" i="2" s="1"/>
  <c r="B70" i="2"/>
  <c r="A70" i="2" s="1"/>
  <c r="B71" i="2"/>
  <c r="A71" i="2" s="1"/>
  <c r="B72" i="2"/>
  <c r="A72" i="2" s="1"/>
  <c r="B73" i="2"/>
  <c r="A73" i="2" s="1"/>
  <c r="B74" i="2"/>
  <c r="A74" i="2" s="1"/>
  <c r="B75" i="2"/>
  <c r="A75" i="2" s="1"/>
  <c r="B76" i="2"/>
  <c r="A76" i="2" s="1"/>
  <c r="B77" i="2"/>
  <c r="A77" i="2" s="1"/>
  <c r="B78" i="2"/>
  <c r="A78" i="2" s="1"/>
  <c r="B79" i="2"/>
  <c r="A79" i="2" s="1"/>
  <c r="B80" i="2"/>
  <c r="A80" i="2" s="1"/>
  <c r="B81" i="2"/>
  <c r="A81" i="2" s="1"/>
  <c r="B82" i="2"/>
  <c r="A82" i="2" s="1"/>
  <c r="B83" i="2"/>
  <c r="A83" i="2" s="1"/>
  <c r="B84" i="2"/>
  <c r="A84" i="2" s="1"/>
  <c r="B85" i="2"/>
  <c r="A85" i="2" s="1"/>
  <c r="B86" i="2"/>
  <c r="A86" i="2" s="1"/>
  <c r="B87" i="2"/>
  <c r="A87" i="2" s="1"/>
  <c r="B88" i="2"/>
  <c r="A88" i="2" s="1"/>
  <c r="B89" i="2"/>
  <c r="A89" i="2" s="1"/>
  <c r="B90" i="2"/>
  <c r="A90" i="2" s="1"/>
  <c r="B91" i="2"/>
  <c r="A91" i="2" s="1"/>
  <c r="B92" i="2"/>
  <c r="A92" i="2" s="1"/>
  <c r="B93" i="2"/>
  <c r="A93" i="2" s="1"/>
  <c r="B94" i="2"/>
  <c r="A94" i="2" s="1"/>
  <c r="B95" i="2"/>
  <c r="A95" i="2" s="1"/>
  <c r="B96" i="2"/>
  <c r="A96" i="2" s="1"/>
  <c r="B97" i="2"/>
  <c r="A97" i="2" s="1"/>
  <c r="B98" i="2"/>
  <c r="A98" i="2" s="1"/>
  <c r="B99" i="2"/>
  <c r="A99" i="2" s="1"/>
  <c r="B100" i="2"/>
  <c r="A100" i="2" s="1"/>
  <c r="B101" i="2"/>
  <c r="A101" i="2" s="1"/>
  <c r="B102" i="2"/>
  <c r="A102" i="2" s="1"/>
  <c r="B103" i="2"/>
  <c r="A103" i="2" s="1"/>
  <c r="B104" i="2"/>
  <c r="A104" i="2" s="1"/>
  <c r="B105" i="2"/>
  <c r="A105" i="2" s="1"/>
  <c r="B106" i="2"/>
  <c r="A106" i="2" s="1"/>
  <c r="B107" i="2"/>
  <c r="A107" i="2" s="1"/>
  <c r="B108" i="2"/>
  <c r="A108" i="2" s="1"/>
  <c r="B109" i="2"/>
  <c r="A109" i="2" s="1"/>
  <c r="B110" i="2"/>
  <c r="A110" i="2" s="1"/>
  <c r="B111" i="2"/>
  <c r="A111" i="2" s="1"/>
  <c r="B112" i="2"/>
  <c r="A112" i="2" s="1"/>
  <c r="B113" i="2"/>
  <c r="A113" i="2" s="1"/>
  <c r="B114" i="2"/>
  <c r="A114" i="2" s="1"/>
  <c r="B115" i="2"/>
  <c r="A115" i="2" s="1"/>
  <c r="B116" i="2"/>
  <c r="A116" i="2" s="1"/>
  <c r="B117" i="2"/>
  <c r="A117" i="2" s="1"/>
  <c r="B118" i="2"/>
  <c r="A118" i="2" s="1"/>
  <c r="B119" i="2"/>
  <c r="A119" i="2" s="1"/>
  <c r="B120" i="2"/>
  <c r="A120" i="2" s="1"/>
  <c r="B121" i="2"/>
  <c r="A121" i="2" s="1"/>
  <c r="B122" i="2"/>
  <c r="A122" i="2" s="1"/>
  <c r="B123" i="2"/>
  <c r="A123" i="2" s="1"/>
  <c r="B124" i="2"/>
  <c r="A124" i="2" s="1"/>
  <c r="B125" i="2"/>
  <c r="A125" i="2" s="1"/>
  <c r="B126" i="2"/>
  <c r="A126" i="2" s="1"/>
  <c r="B127" i="2"/>
  <c r="A127" i="2" s="1"/>
  <c r="B128" i="2"/>
  <c r="A128" i="2" s="1"/>
  <c r="B129" i="2"/>
  <c r="A129" i="2" s="1"/>
  <c r="B130" i="2"/>
  <c r="A130" i="2" s="1"/>
  <c r="B131" i="2"/>
  <c r="A131" i="2" s="1"/>
  <c r="B132" i="2"/>
  <c r="A132" i="2" s="1"/>
  <c r="B133" i="2"/>
  <c r="A133" i="2" s="1"/>
  <c r="B134" i="2"/>
  <c r="A134" i="2" s="1"/>
  <c r="B135" i="2"/>
  <c r="A135" i="2" s="1"/>
  <c r="B136" i="2"/>
  <c r="A136" i="2" s="1"/>
  <c r="B137" i="2"/>
  <c r="A137" i="2" s="1"/>
  <c r="B138" i="2"/>
  <c r="A138" i="2" s="1"/>
  <c r="B139" i="2"/>
  <c r="A139" i="2" s="1"/>
  <c r="B140" i="2"/>
  <c r="A140" i="2" s="1"/>
  <c r="B141" i="2"/>
  <c r="A141" i="2" s="1"/>
  <c r="B142" i="2"/>
  <c r="A142" i="2" s="1"/>
  <c r="B143" i="2"/>
  <c r="A143" i="2" s="1"/>
  <c r="B144" i="2"/>
  <c r="A144" i="2" s="1"/>
  <c r="B145" i="2"/>
  <c r="A145" i="2" s="1"/>
  <c r="B146" i="2"/>
  <c r="A146" i="2" s="1"/>
  <c r="B147" i="2"/>
  <c r="A147" i="2" s="1"/>
  <c r="B148" i="2"/>
  <c r="A148" i="2" s="1"/>
  <c r="B149" i="2"/>
  <c r="A149" i="2" s="1"/>
  <c r="B150" i="2"/>
  <c r="A150" i="2" s="1"/>
  <c r="B151" i="2"/>
  <c r="A151" i="2" s="1"/>
  <c r="B152" i="2"/>
  <c r="A152" i="2" s="1"/>
  <c r="B153" i="2"/>
  <c r="A153" i="2" s="1"/>
  <c r="B154" i="2"/>
  <c r="A154" i="2" s="1"/>
  <c r="B155" i="2"/>
  <c r="A155" i="2" s="1"/>
  <c r="B156" i="2"/>
  <c r="A156" i="2" s="1"/>
  <c r="B157" i="2"/>
  <c r="A157" i="2" s="1"/>
  <c r="B158" i="2"/>
  <c r="A158" i="2" s="1"/>
  <c r="B159" i="2"/>
  <c r="A159" i="2" s="1"/>
  <c r="B160" i="2"/>
  <c r="A160" i="2" s="1"/>
  <c r="B161" i="2"/>
  <c r="A161" i="2" s="1"/>
  <c r="B162" i="2"/>
  <c r="A162" i="2" s="1"/>
  <c r="B163" i="2"/>
  <c r="A163" i="2" s="1"/>
  <c r="B164" i="2"/>
  <c r="A164" i="2" s="1"/>
  <c r="B165" i="2"/>
  <c r="A165" i="2" s="1"/>
  <c r="B166" i="2"/>
  <c r="A166" i="2" s="1"/>
  <c r="B167" i="2"/>
  <c r="A167" i="2" s="1"/>
  <c r="B168" i="2"/>
  <c r="A168" i="2" s="1"/>
  <c r="B169" i="2"/>
  <c r="A169" i="2" s="1"/>
  <c r="B170" i="2"/>
  <c r="A170" i="2" s="1"/>
  <c r="B171" i="2"/>
  <c r="A171" i="2" s="1"/>
  <c r="B172" i="2"/>
  <c r="A172" i="2" s="1"/>
  <c r="B173" i="2"/>
  <c r="A173" i="2" s="1"/>
  <c r="B174" i="2"/>
  <c r="A174" i="2" s="1"/>
  <c r="B175" i="2"/>
  <c r="A175" i="2" s="1"/>
  <c r="B176" i="2"/>
  <c r="A176" i="2" s="1"/>
  <c r="B177" i="2"/>
  <c r="A177" i="2" s="1"/>
  <c r="B178" i="2"/>
  <c r="A178" i="2" s="1"/>
  <c r="B179" i="2"/>
  <c r="A179" i="2" s="1"/>
  <c r="B180" i="2"/>
  <c r="A180" i="2" s="1"/>
  <c r="B181" i="2"/>
  <c r="A181" i="2" s="1"/>
  <c r="B182" i="2"/>
  <c r="A182" i="2" s="1"/>
  <c r="B183" i="2"/>
  <c r="A183" i="2" s="1"/>
  <c r="B184" i="2"/>
  <c r="A184" i="2" s="1"/>
  <c r="B185" i="2"/>
  <c r="A185" i="2" s="1"/>
  <c r="B186" i="2"/>
  <c r="A186" i="2" s="1"/>
  <c r="B187" i="2"/>
  <c r="A187" i="2" s="1"/>
  <c r="B188" i="2"/>
  <c r="A188" i="2" s="1"/>
  <c r="B189" i="2"/>
  <c r="A189" i="2" s="1"/>
  <c r="B190" i="2"/>
  <c r="A190" i="2" s="1"/>
  <c r="B191" i="2"/>
  <c r="A191" i="2" s="1"/>
  <c r="B192" i="2"/>
  <c r="A192" i="2" s="1"/>
  <c r="B193" i="2"/>
  <c r="A193" i="2" s="1"/>
  <c r="B194" i="2"/>
  <c r="A194" i="2" s="1"/>
  <c r="B195" i="2"/>
  <c r="A195" i="2" s="1"/>
  <c r="B196" i="2"/>
  <c r="A196" i="2" s="1"/>
  <c r="B197" i="2"/>
  <c r="A197" i="2" s="1"/>
  <c r="B198" i="2"/>
  <c r="A198" i="2" s="1"/>
  <c r="B199" i="2"/>
  <c r="A199" i="2" s="1"/>
  <c r="B200" i="2"/>
  <c r="A200" i="2" s="1"/>
  <c r="B201" i="2"/>
  <c r="A201" i="2" s="1"/>
  <c r="B202" i="2"/>
  <c r="A202" i="2" s="1"/>
  <c r="B203" i="2"/>
  <c r="A203" i="2" s="1"/>
  <c r="B204" i="2"/>
  <c r="A204" i="2" s="1"/>
  <c r="B205" i="2"/>
  <c r="A205" i="2" s="1"/>
  <c r="B206" i="2"/>
  <c r="A206" i="2" s="1"/>
  <c r="B207" i="2"/>
  <c r="A207" i="2" s="1"/>
  <c r="B208" i="2"/>
  <c r="A208" i="2" s="1"/>
  <c r="B209" i="2"/>
  <c r="A209" i="2" s="1"/>
  <c r="B210" i="2"/>
  <c r="A210" i="2" s="1"/>
  <c r="B211" i="2"/>
  <c r="A211" i="2" s="1"/>
  <c r="B212" i="2"/>
  <c r="A212" i="2" s="1"/>
  <c r="B213" i="2"/>
  <c r="A213" i="2" s="1"/>
  <c r="B214" i="2"/>
  <c r="A214" i="2" s="1"/>
  <c r="B215" i="2"/>
  <c r="A215" i="2" s="1"/>
  <c r="B216" i="2"/>
  <c r="A216" i="2" s="1"/>
  <c r="B217" i="2"/>
  <c r="A217" i="2" s="1"/>
  <c r="B218" i="2"/>
  <c r="A218" i="2" s="1"/>
  <c r="B219" i="2"/>
  <c r="A219" i="2" s="1"/>
  <c r="B220" i="2"/>
  <c r="A220" i="2" s="1"/>
  <c r="B221" i="2"/>
  <c r="A221" i="2" s="1"/>
  <c r="B222" i="2"/>
  <c r="A222" i="2" s="1"/>
  <c r="B223" i="2"/>
  <c r="A223" i="2" s="1"/>
  <c r="B224" i="2"/>
  <c r="A224" i="2" s="1"/>
  <c r="B225" i="2"/>
  <c r="A225" i="2" s="1"/>
  <c r="B226" i="2"/>
  <c r="A226" i="2" s="1"/>
  <c r="B227" i="2"/>
  <c r="A227" i="2" s="1"/>
  <c r="B228" i="2"/>
  <c r="A228" i="2" s="1"/>
  <c r="B229" i="2"/>
  <c r="A229" i="2" s="1"/>
  <c r="B230" i="2"/>
  <c r="A230" i="2" s="1"/>
  <c r="B231" i="2"/>
  <c r="A231" i="2" s="1"/>
  <c r="B232" i="2"/>
  <c r="A232" i="2" s="1"/>
  <c r="B233" i="2"/>
  <c r="A233" i="2" s="1"/>
  <c r="B234" i="2"/>
  <c r="A234" i="2" s="1"/>
  <c r="B235" i="2"/>
  <c r="A235" i="2" s="1"/>
  <c r="B236" i="2"/>
  <c r="A236" i="2" s="1"/>
  <c r="B237" i="2"/>
  <c r="A237" i="2" s="1"/>
  <c r="B238" i="2"/>
  <c r="A238" i="2" s="1"/>
  <c r="B239" i="2"/>
  <c r="A239" i="2" s="1"/>
  <c r="B240" i="2"/>
  <c r="A240" i="2" s="1"/>
  <c r="B241" i="2"/>
  <c r="A241" i="2" s="1"/>
  <c r="B242" i="2"/>
  <c r="A242" i="2" s="1"/>
  <c r="B243" i="2"/>
  <c r="A243" i="2" s="1"/>
  <c r="B244" i="2"/>
  <c r="A244" i="2" s="1"/>
  <c r="B245" i="2"/>
  <c r="A245" i="2" s="1"/>
  <c r="B246" i="2"/>
  <c r="A246" i="2" s="1"/>
  <c r="B247" i="2"/>
  <c r="A247" i="2" s="1"/>
  <c r="B248" i="2"/>
  <c r="A248" i="2" s="1"/>
  <c r="B249" i="2"/>
  <c r="A249" i="2" s="1"/>
  <c r="B250" i="2"/>
  <c r="A250" i="2" s="1"/>
  <c r="B251" i="2"/>
  <c r="A251" i="2" s="1"/>
  <c r="B252" i="2"/>
  <c r="A252" i="2" s="1"/>
  <c r="B253" i="2"/>
  <c r="A253" i="2" s="1"/>
  <c r="B254" i="2"/>
  <c r="A254" i="2" s="1"/>
  <c r="B255" i="2"/>
  <c r="A255" i="2" s="1"/>
  <c r="B256" i="2"/>
  <c r="A256" i="2" s="1"/>
  <c r="B257" i="2"/>
  <c r="A257" i="2" s="1"/>
  <c r="B258" i="2"/>
  <c r="A258" i="2" s="1"/>
  <c r="B259" i="2"/>
  <c r="A259" i="2" s="1"/>
  <c r="B260" i="2"/>
  <c r="A260" i="2" s="1"/>
  <c r="B261" i="2"/>
  <c r="A261" i="2" s="1"/>
  <c r="B262" i="2"/>
  <c r="A262" i="2" s="1"/>
  <c r="B263" i="2"/>
  <c r="A263" i="2" s="1"/>
  <c r="B264" i="2"/>
  <c r="A264" i="2" s="1"/>
  <c r="B265" i="2"/>
  <c r="A265" i="2" s="1"/>
  <c r="B266" i="2"/>
  <c r="A266" i="2" s="1"/>
  <c r="B267" i="2"/>
  <c r="A267" i="2" s="1"/>
  <c r="B268" i="2"/>
  <c r="A268" i="2" s="1"/>
  <c r="B269" i="2"/>
  <c r="A269" i="2" s="1"/>
  <c r="B270" i="2"/>
  <c r="A270" i="2" s="1"/>
  <c r="B271" i="2"/>
  <c r="A271" i="2" s="1"/>
  <c r="B272" i="2"/>
  <c r="A272" i="2" s="1"/>
  <c r="B273" i="2"/>
  <c r="A273" i="2" s="1"/>
  <c r="B274" i="2"/>
  <c r="A274" i="2" s="1"/>
  <c r="B275" i="2"/>
  <c r="A275" i="2" s="1"/>
  <c r="B276" i="2"/>
  <c r="A276" i="2" s="1"/>
  <c r="B277" i="2"/>
  <c r="A277" i="2" s="1"/>
  <c r="B278" i="2"/>
  <c r="A278" i="2" s="1"/>
  <c r="B279" i="2"/>
  <c r="A279" i="2" s="1"/>
  <c r="B280" i="2"/>
  <c r="A280" i="2" s="1"/>
  <c r="B281" i="2"/>
  <c r="A281" i="2" s="1"/>
  <c r="B282" i="2"/>
  <c r="A282" i="2" s="1"/>
  <c r="B283" i="2"/>
  <c r="A283" i="2" s="1"/>
  <c r="B284" i="2"/>
  <c r="A284" i="2" s="1"/>
  <c r="B285" i="2"/>
  <c r="A285" i="2" s="1"/>
  <c r="B286" i="2"/>
  <c r="A286" i="2" s="1"/>
  <c r="B287" i="2"/>
  <c r="A287" i="2" s="1"/>
  <c r="B288" i="2"/>
  <c r="A288" i="2" s="1"/>
  <c r="B289" i="2"/>
  <c r="A289" i="2" s="1"/>
  <c r="B290" i="2"/>
  <c r="A290" i="2" s="1"/>
  <c r="B291" i="2"/>
  <c r="A291" i="2" s="1"/>
  <c r="B292" i="2"/>
  <c r="A292" i="2" s="1"/>
  <c r="B293" i="2"/>
  <c r="A293" i="2" s="1"/>
  <c r="B294" i="2"/>
  <c r="A294" i="2" s="1"/>
  <c r="B295" i="2"/>
  <c r="A295" i="2" s="1"/>
  <c r="B296" i="2"/>
  <c r="A296" i="2" s="1"/>
  <c r="B297" i="2"/>
  <c r="A297" i="2" s="1"/>
  <c r="B298" i="2"/>
  <c r="A298" i="2" s="1"/>
  <c r="B299" i="2"/>
  <c r="A299" i="2" s="1"/>
  <c r="B300" i="2"/>
  <c r="A300" i="2" s="1"/>
  <c r="B301" i="2"/>
  <c r="A301" i="2" s="1"/>
  <c r="B302" i="2"/>
  <c r="A302" i="2" s="1"/>
  <c r="B303" i="2"/>
  <c r="A303" i="2" s="1"/>
  <c r="B304" i="2"/>
  <c r="A304" i="2" s="1"/>
  <c r="B305" i="2"/>
  <c r="A305" i="2" s="1"/>
  <c r="B306" i="2"/>
  <c r="A306" i="2" s="1"/>
  <c r="B307" i="2"/>
  <c r="A307" i="2" s="1"/>
  <c r="B308" i="2"/>
  <c r="A308" i="2" s="1"/>
  <c r="B309" i="2"/>
  <c r="A309" i="2" s="1"/>
  <c r="B310" i="2"/>
  <c r="A310" i="2" s="1"/>
  <c r="B311" i="2"/>
  <c r="A311" i="2" s="1"/>
  <c r="B312" i="2"/>
  <c r="A312" i="2" s="1"/>
  <c r="B313" i="2"/>
  <c r="A313" i="2" s="1"/>
  <c r="B314" i="2"/>
  <c r="A314" i="2" s="1"/>
  <c r="B315" i="2"/>
  <c r="A315" i="2" s="1"/>
  <c r="B316" i="2"/>
  <c r="A316" i="2" s="1"/>
  <c r="B317" i="2"/>
  <c r="A317" i="2" s="1"/>
  <c r="B318" i="2"/>
  <c r="A318" i="2" s="1"/>
  <c r="B319" i="2"/>
  <c r="A319" i="2" s="1"/>
  <c r="B320" i="2"/>
  <c r="A320" i="2" s="1"/>
  <c r="B321" i="2"/>
  <c r="A321" i="2" s="1"/>
  <c r="B322" i="2"/>
  <c r="A322" i="2" s="1"/>
  <c r="B323" i="2"/>
  <c r="A323" i="2" s="1"/>
  <c r="B324" i="2"/>
  <c r="A324" i="2" s="1"/>
  <c r="B325" i="2"/>
  <c r="A325" i="2" s="1"/>
  <c r="B326" i="2"/>
  <c r="A326" i="2" s="1"/>
  <c r="B327" i="2"/>
  <c r="A327" i="2" s="1"/>
  <c r="B328" i="2"/>
  <c r="A328" i="2" s="1"/>
  <c r="B329" i="2"/>
  <c r="A329" i="2" s="1"/>
  <c r="B330" i="2"/>
  <c r="A330" i="2" s="1"/>
  <c r="B331" i="2"/>
  <c r="A331" i="2" s="1"/>
  <c r="B332" i="2"/>
  <c r="A332" i="2" s="1"/>
  <c r="B333" i="2"/>
  <c r="A333" i="2" s="1"/>
  <c r="B334" i="2"/>
  <c r="A334" i="2" s="1"/>
  <c r="B335" i="2"/>
  <c r="A335" i="2" s="1"/>
  <c r="B336" i="2"/>
  <c r="A336" i="2" s="1"/>
  <c r="B337" i="2"/>
  <c r="A337" i="2" s="1"/>
  <c r="B338" i="2"/>
  <c r="A338" i="2" s="1"/>
  <c r="B339" i="2"/>
  <c r="A339" i="2" s="1"/>
  <c r="B340" i="2"/>
  <c r="A340" i="2" s="1"/>
  <c r="B341" i="2"/>
  <c r="A341" i="2" s="1"/>
  <c r="B342" i="2"/>
  <c r="A342" i="2" s="1"/>
  <c r="B343" i="2"/>
  <c r="A343" i="2" s="1"/>
  <c r="B344" i="2"/>
  <c r="A344" i="2" s="1"/>
  <c r="B345" i="2"/>
  <c r="A345" i="2" s="1"/>
  <c r="B346" i="2"/>
  <c r="A346" i="2" s="1"/>
  <c r="B347" i="2"/>
  <c r="A347" i="2" s="1"/>
  <c r="B348" i="2"/>
  <c r="A348" i="2" s="1"/>
  <c r="B349" i="2"/>
  <c r="A349" i="2" s="1"/>
  <c r="B350" i="2"/>
  <c r="A350" i="2" s="1"/>
  <c r="B351" i="2"/>
  <c r="A351" i="2" s="1"/>
  <c r="B352" i="2"/>
  <c r="A352" i="2" s="1"/>
  <c r="B353" i="2"/>
  <c r="A353" i="2" s="1"/>
  <c r="B354" i="2"/>
  <c r="A354" i="2" s="1"/>
  <c r="B355" i="2"/>
  <c r="A355" i="2" s="1"/>
  <c r="B356" i="2"/>
  <c r="A356" i="2" s="1"/>
  <c r="B357" i="2"/>
  <c r="A357" i="2" s="1"/>
  <c r="B358" i="2"/>
  <c r="A358" i="2" s="1"/>
  <c r="B359" i="2"/>
  <c r="A359" i="2" s="1"/>
  <c r="B360" i="2"/>
  <c r="A360" i="2" s="1"/>
  <c r="B361" i="2"/>
  <c r="A361" i="2" s="1"/>
  <c r="B362" i="2"/>
  <c r="A362" i="2" s="1"/>
  <c r="B363" i="2"/>
  <c r="A363" i="2" s="1"/>
  <c r="B364" i="2"/>
  <c r="A364" i="2" s="1"/>
  <c r="B365" i="2"/>
  <c r="A365" i="2" s="1"/>
  <c r="B366" i="2"/>
  <c r="A366" i="2" s="1"/>
  <c r="B367" i="2"/>
  <c r="A367" i="2" s="1"/>
  <c r="B368" i="2"/>
  <c r="A368" i="2" s="1"/>
  <c r="B369" i="2"/>
  <c r="A369" i="2" s="1"/>
  <c r="B370" i="2"/>
  <c r="A370" i="2" s="1"/>
  <c r="B371" i="2"/>
  <c r="A371" i="2" s="1"/>
  <c r="B372" i="2"/>
  <c r="A372" i="2" s="1"/>
  <c r="B373" i="2"/>
  <c r="A373" i="2" s="1"/>
  <c r="B374" i="2"/>
  <c r="A374" i="2" s="1"/>
  <c r="B375" i="2"/>
  <c r="A375" i="2" s="1"/>
  <c r="B376" i="2"/>
  <c r="A376" i="2" s="1"/>
  <c r="B377" i="2"/>
  <c r="A377" i="2" s="1"/>
  <c r="B378" i="2"/>
  <c r="A378" i="2" s="1"/>
  <c r="B379" i="2"/>
  <c r="A379" i="2" s="1"/>
  <c r="B380" i="2"/>
  <c r="A380" i="2" s="1"/>
  <c r="B381" i="2"/>
  <c r="A381" i="2" s="1"/>
  <c r="B382" i="2"/>
  <c r="A382" i="2" s="1"/>
  <c r="B383" i="2"/>
  <c r="A383" i="2" s="1"/>
  <c r="B384" i="2"/>
  <c r="A384" i="2" s="1"/>
  <c r="B385" i="2"/>
  <c r="A385" i="2" s="1"/>
  <c r="B386" i="2"/>
  <c r="A386" i="2" s="1"/>
  <c r="B387" i="2"/>
  <c r="A387" i="2" s="1"/>
  <c r="B388" i="2"/>
  <c r="A388" i="2" s="1"/>
  <c r="B389" i="2"/>
  <c r="A389" i="2" s="1"/>
  <c r="B390" i="2"/>
  <c r="A390" i="2" s="1"/>
  <c r="B391" i="2"/>
  <c r="A391" i="2" s="1"/>
  <c r="B392" i="2"/>
  <c r="A392" i="2" s="1"/>
  <c r="B393" i="2"/>
  <c r="A393" i="2" s="1"/>
  <c r="B394" i="2"/>
  <c r="A394" i="2" s="1"/>
  <c r="B395" i="2"/>
  <c r="A395" i="2" s="1"/>
  <c r="B396" i="2"/>
  <c r="A396" i="2" s="1"/>
  <c r="B397" i="2"/>
  <c r="A397" i="2" s="1"/>
  <c r="B398" i="2"/>
  <c r="A398" i="2" s="1"/>
  <c r="B399" i="2"/>
  <c r="A399" i="2" s="1"/>
  <c r="B400" i="2"/>
  <c r="A400" i="2" s="1"/>
  <c r="B401" i="2"/>
  <c r="A401" i="2" s="1"/>
  <c r="B5" i="2"/>
  <c r="A5" i="2" s="1"/>
  <c r="B7" i="2"/>
  <c r="A7" i="2" s="1"/>
  <c r="B8" i="2"/>
  <c r="A8" i="2" s="1"/>
  <c r="B9" i="2"/>
  <c r="A9" i="2" s="1"/>
  <c r="B10" i="2"/>
  <c r="A10" i="2" s="1"/>
  <c r="B11" i="2"/>
  <c r="A11" i="2" s="1"/>
  <c r="B12" i="2"/>
  <c r="A12" i="2" s="1"/>
  <c r="B13" i="2"/>
  <c r="A13" i="2" s="1"/>
  <c r="B14" i="2"/>
  <c r="A14" i="2" s="1"/>
  <c r="B15" i="2"/>
  <c r="A15" i="2" s="1"/>
  <c r="B16" i="2"/>
  <c r="A16" i="2" s="1"/>
  <c r="B17" i="2"/>
  <c r="A17" i="2" s="1"/>
  <c r="B18" i="2"/>
  <c r="A18" i="2" s="1"/>
  <c r="B19" i="2"/>
  <c r="A19" i="2" s="1"/>
  <c r="B20" i="2"/>
  <c r="A20" i="2" s="1"/>
  <c r="B21" i="2"/>
  <c r="A21" i="2" s="1"/>
  <c r="B22" i="2"/>
  <c r="A22" i="2" s="1"/>
  <c r="B23" i="2"/>
  <c r="A23" i="2" s="1"/>
  <c r="B24" i="2"/>
  <c r="A24" i="2" s="1"/>
  <c r="B25" i="2"/>
  <c r="A25" i="2" s="1"/>
  <c r="B26" i="2"/>
  <c r="A26" i="2" s="1"/>
  <c r="B27" i="2"/>
  <c r="A27" i="2" s="1"/>
  <c r="B28" i="2"/>
  <c r="A28" i="2" s="1"/>
  <c r="B29" i="2"/>
  <c r="A29" i="2" s="1"/>
  <c r="B30" i="2"/>
  <c r="A30" i="2" s="1"/>
  <c r="B31" i="2"/>
  <c r="A31" i="2" s="1"/>
  <c r="A32" i="2"/>
  <c r="B36" i="2"/>
  <c r="A36" i="2" s="1"/>
  <c r="A40" i="2"/>
  <c r="B42" i="2"/>
  <c r="A42" i="2" s="1"/>
  <c r="B43" i="2"/>
  <c r="A43" i="2" s="1"/>
  <c r="B44" i="2"/>
  <c r="A44" i="2" s="1"/>
  <c r="B45" i="2"/>
  <c r="A45" i="2" s="1"/>
  <c r="B46" i="2"/>
  <c r="A46" i="2" s="1"/>
  <c r="B47" i="2"/>
  <c r="A47" i="2" s="1"/>
  <c r="B48" i="2"/>
  <c r="A48" i="2" s="1"/>
  <c r="B49" i="2"/>
  <c r="A49" i="2" s="1"/>
  <c r="B50" i="2"/>
  <c r="A50" i="2" s="1"/>
  <c r="B51" i="2"/>
  <c r="A51" i="2" s="1"/>
  <c r="B52" i="2"/>
  <c r="A52" i="2" s="1"/>
  <c r="B53" i="2"/>
  <c r="A53" i="2" s="1"/>
  <c r="B54" i="2"/>
  <c r="A54" i="2" s="1"/>
  <c r="B55" i="2"/>
  <c r="A55" i="2" s="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476" i="1"/>
  <c r="N632" i="1"/>
  <c r="N631" i="1"/>
  <c r="N629" i="1"/>
  <c r="N630" i="1"/>
  <c r="N628" i="1"/>
  <c r="N627" i="1"/>
  <c r="N626" i="1"/>
  <c r="N625" i="1"/>
  <c r="N624" i="1"/>
  <c r="N623" i="1"/>
  <c r="N622" i="1"/>
  <c r="N621" i="1"/>
  <c r="N620" i="1"/>
  <c r="N619" i="1"/>
  <c r="N618" i="1"/>
  <c r="N617" i="1"/>
  <c r="N616" i="1"/>
  <c r="N615" i="1"/>
  <c r="N614" i="1"/>
  <c r="N613" i="1"/>
  <c r="N612" i="1"/>
  <c r="N611" i="1"/>
  <c r="N610" i="1"/>
  <c r="N609" i="1"/>
  <c r="N608" i="1"/>
  <c r="N607" i="1"/>
  <c r="N606" i="1"/>
  <c r="N605" i="1"/>
  <c r="N603" i="1"/>
  <c r="N602" i="1"/>
  <c r="N600" i="1"/>
  <c r="N599" i="1"/>
  <c r="N598" i="1"/>
  <c r="N597" i="1"/>
  <c r="N596" i="1"/>
  <c r="N594" i="1"/>
  <c r="N591" i="1"/>
  <c r="N588" i="1"/>
  <c r="N593" i="1"/>
  <c r="N592" i="1"/>
  <c r="N590" i="1"/>
  <c r="N589" i="1"/>
  <c r="N585" i="1"/>
  <c r="N584" i="1"/>
  <c r="N583" i="1"/>
  <c r="N581" i="1"/>
  <c r="N578" i="1"/>
  <c r="N577" i="1"/>
  <c r="N576"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6" i="1"/>
  <c r="N457" i="1"/>
  <c r="N458" i="1"/>
  <c r="N461" i="1"/>
  <c r="N462" i="1"/>
  <c r="N463" i="1"/>
  <c r="N464" i="1"/>
  <c r="N466" i="1"/>
  <c r="N467" i="1"/>
  <c r="N468" i="1"/>
  <c r="N469" i="1"/>
  <c r="N470" i="1"/>
  <c r="N471" i="1"/>
  <c r="N472" i="1"/>
  <c r="N473" i="1"/>
  <c r="N474" i="1"/>
  <c r="N475"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55" i="1"/>
  <c r="N556" i="1"/>
  <c r="N557" i="1"/>
  <c r="N558" i="1"/>
  <c r="N559" i="1"/>
  <c r="N560" i="1"/>
  <c r="N561" i="1"/>
  <c r="N562" i="1"/>
  <c r="N563" i="1"/>
  <c r="N564" i="1"/>
  <c r="N565" i="1"/>
  <c r="N566" i="1"/>
  <c r="N567" i="1"/>
  <c r="N568" i="1"/>
  <c r="N569" i="1"/>
  <c r="N570" i="1"/>
  <c r="N571" i="1"/>
  <c r="N572" i="1"/>
  <c r="N573" i="1"/>
  <c r="N574" i="1"/>
  <c r="N575" i="1"/>
  <c r="N579" i="1"/>
  <c r="N580" i="1"/>
  <c r="N582" i="1"/>
  <c r="N586" i="1"/>
  <c r="N587" i="1"/>
  <c r="N595" i="1"/>
  <c r="N601" i="1"/>
  <c r="N604" i="1"/>
  <c r="N405" i="1"/>
  <c r="N3" i="1"/>
  <c r="N4" i="1"/>
  <c r="N5" i="1"/>
  <c r="N6" i="1"/>
  <c r="N7" i="1"/>
  <c r="N8" i="1"/>
  <c r="N9" i="1"/>
  <c r="N10" i="1"/>
  <c r="N11"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2" i="1"/>
  <c r="P666" i="1" l="1"/>
</calcChain>
</file>

<file path=xl/sharedStrings.xml><?xml version="1.0" encoding="utf-8"?>
<sst xmlns="http://schemas.openxmlformats.org/spreadsheetml/2006/main" count="19956" uniqueCount="3774">
  <si>
    <t>S/N</t>
  </si>
  <si>
    <t>NAME OF PRODUCT</t>
  </si>
  <si>
    <t>NAFDAC NUMBER</t>
  </si>
  <si>
    <t>PACK SIZE</t>
  </si>
  <si>
    <t>MARKETING CATEGORY</t>
  </si>
  <si>
    <t>NAME OF APPLICANT</t>
  </si>
  <si>
    <t>ADDRESS OF APPLICANT</t>
  </si>
  <si>
    <t>EMAIL ADDRESS</t>
  </si>
  <si>
    <t>PHONE NUMBER</t>
  </si>
  <si>
    <t>ADVERT MEDIUM</t>
  </si>
  <si>
    <t>ADVERT MESSAGE</t>
  </si>
  <si>
    <t>TYPE OF APPLICATION</t>
  </si>
  <si>
    <t>APPROVAL DATE</t>
  </si>
  <si>
    <t>VALIDITY</t>
  </si>
  <si>
    <t>DIVISION</t>
  </si>
  <si>
    <t>MONTH</t>
  </si>
  <si>
    <t>YEAR</t>
  </si>
  <si>
    <t>APPROVAL</t>
  </si>
  <si>
    <t>LANGUAGE</t>
  </si>
  <si>
    <t>ADVERT LINK</t>
  </si>
  <si>
    <t>Channel/Platform/Location</t>
  </si>
  <si>
    <t>Scheduled/Expected Time</t>
  </si>
  <si>
    <t>Actual Monitoring Time</t>
  </si>
  <si>
    <t>Approved Claim Verified (Y/N)</t>
  </si>
  <si>
    <t>Monitoring Status</t>
  </si>
  <si>
    <t>Nature of Non-Compliance (if any)</t>
  </si>
  <si>
    <t>Evidence Ref. (file name / screenshot ID)</t>
  </si>
  <si>
    <t>Entry By</t>
  </si>
  <si>
    <t>Date of Entry</t>
  </si>
  <si>
    <t>Remarks</t>
  </si>
  <si>
    <t>MEFANTHER 20/120MG AND MEFANTHER FORTE 80/480MG TABLETS (ARTEMETHER/LUMEFANTRINE)</t>
  </si>
  <si>
    <t>A11-100645, A11-100646</t>
  </si>
  <si>
    <t>1X24, 1X6</t>
  </si>
  <si>
    <t>OTC</t>
  </si>
  <si>
    <t>UNIQUE PHARMACEUTICALS LIMITED</t>
  </si>
  <si>
    <t>KM 38, ABEOKUTA ROAD, VEEPEE INDUSTRIAL AVENUE, SANGO-OTA, OGUN STATE.</t>
  </si>
  <si>
    <t>martins@uniquepharm.com;mail@uniquepharm.com</t>
  </si>
  <si>
    <t>07089496969;08097421000</t>
  </si>
  <si>
    <t>MEDICAL JOURNAL</t>
  </si>
  <si>
    <t>MEFANTHER - EFFECTIVE SOLUTION FOR MALARIA</t>
  </si>
  <si>
    <t>New</t>
  </si>
  <si>
    <t>30/07/2025</t>
  </si>
  <si>
    <t>Drug</t>
  </si>
  <si>
    <t>July</t>
  </si>
  <si>
    <t>NORMAL</t>
  </si>
  <si>
    <t>ENGLISH</t>
  </si>
  <si>
    <t>MEFANTHERnMEFANTHER FORTE-20-120n80-480.pdf</t>
  </si>
  <si>
    <t>Not Started</t>
  </si>
  <si>
    <t>OUT-OF-HOME (OOH)</t>
  </si>
  <si>
    <t>VIAGRA TABLETS (SILDENAFIL 50MG &amp; 100MG)</t>
  </si>
  <si>
    <t>04-7734, 04-1509</t>
  </si>
  <si>
    <t>1X4, 1X1</t>
  </si>
  <si>
    <t>POM</t>
  </si>
  <si>
    <t>VIATRIS PHARMACEUTICALS LIMITED</t>
  </si>
  <si>
    <t>2B REVEREND OGUNBIYI WAY, GRA, IKEJA,  LAGOS;49, RAYMOND NJOKU STREET, IKOYI, LAGOS</t>
  </si>
  <si>
    <t>victoria.ezeala@viatris.com;abisola.ayodele@pfizer.com</t>
  </si>
  <si>
    <t>08145462544;09037749027</t>
  </si>
  <si>
    <t>LEAVE BEHIND</t>
  </si>
  <si>
    <t>INTIMACY IS AGELESS</t>
  </si>
  <si>
    <t>VIAGRA TABLET 50MGn100MG.pdf</t>
  </si>
  <si>
    <t>ZOLOFT 50MG CAPSULES (SERTRALINE HCL)</t>
  </si>
  <si>
    <t>04-2796</t>
  </si>
  <si>
    <t>1X155</t>
  </si>
  <si>
    <t>SAFETY DEMONSTRATED IN MAJOR DEPRESSIVE DISORDER (MDD) PATIENTS WITH ACUTE MYOCARDINAL INFARCTION (MI) OR UNSTABLE ANGINA</t>
  </si>
  <si>
    <t>ZOLOFT 50MG CAPSULE.pdf</t>
  </si>
  <si>
    <t>LYRICA CAPSULE (PREGABALIN) 25MG, 75MG &amp; 150MG</t>
  </si>
  <si>
    <t>A4-0004, A4-0005, A4-0006</t>
  </si>
  <si>
    <t>1X28, 1X28, 1X28</t>
  </si>
  <si>
    <t>IMPROVING QUALITY OF LIFE (QOL) OF YOUR DIABETIC PATIENTS WITH PAINFUL DIABETIC PERIPHERAL NEUROPATHY (DPN)</t>
  </si>
  <si>
    <t>LYRICA CAPSULE-PREGABALIN-25MG75MG150MG.pdf</t>
  </si>
  <si>
    <t>NORVASC 5MG &amp; 10MG TABLETS (AMLODIPINE BESYLATE)</t>
  </si>
  <si>
    <t>04-1386, 04-5354</t>
  </si>
  <si>
    <t>3X10, 3X10</t>
  </si>
  <si>
    <t>RECENT UPDATES ON HYPERTENSION GUIDELINES</t>
  </si>
  <si>
    <t>PARIET 20MG TABLETS (RABEPRAZOLE)</t>
  </si>
  <si>
    <t>04-5818</t>
  </si>
  <si>
    <t>1X14</t>
  </si>
  <si>
    <t>J&amp;J COMPANY WEST AFRICA LIMITED</t>
  </si>
  <si>
    <t>SINARI DARANIJO STREET, VICTORIA ISLAND, LAGOS.</t>
  </si>
  <si>
    <t>PARIET - THERE IS MORE TO LIFE THAN GERD</t>
  </si>
  <si>
    <t>ADMIN</t>
  </si>
  <si>
    <t>PARIET-RABEPRAZOLE-20MG-TABLET.pdf</t>
  </si>
  <si>
    <t>COATAL SOFT GELATIN CAPSULES 20/120MG AND COATAL FORTE SOFT GELATIN CAPSULES 80/480MG (ARTEMETHER/LUMEFANTRINE)</t>
  </si>
  <si>
    <t>A4-100474, B4-7306</t>
  </si>
  <si>
    <t>GENEITH PHARMACEUTICALS LIMITED</t>
  </si>
  <si>
    <t>12, ADEWALE CRESCENT, OFF EWENLA STREET, OSHODI-APAPA, LAGOS.</t>
  </si>
  <si>
    <t>geneith@geneithpharm.com;omedac@geneithpharm.com;columbaomeda@gmail.com</t>
  </si>
  <si>
    <t>08129008666</t>
  </si>
  <si>
    <t>TELEVISION COMMERCIAL (TVC)</t>
  </si>
  <si>
    <t>COATAL - TOUGH ON MALARIA, SOFT ON YOU</t>
  </si>
  <si>
    <t>Revalidation</t>
  </si>
  <si>
    <t>COATAL SOFTGEL-AL-20-120n80-480.pdf</t>
  </si>
  <si>
    <t>RADIO</t>
  </si>
  <si>
    <t>CAMOSUNATE RANGE OF PRODUCTS (ARTESUNATE/AMODIAQUINE)</t>
  </si>
  <si>
    <t>04-7908, 04-7848, 04-7907</t>
  </si>
  <si>
    <t>1X6X10, 1X12X10</t>
  </si>
  <si>
    <t>CAMOSUNATE - EFFECTIVE ANTIMALARIA FOR ALL AGES</t>
  </si>
  <si>
    <t>ENGLISH, YORUBA, IGBO, HAUSA</t>
  </si>
  <si>
    <t>CAMOSUNATE-AL-RANGE-of-PRODUCTS.pdf</t>
  </si>
  <si>
    <t>2Years</t>
  </si>
  <si>
    <t>Radio, Wazobia Fm</t>
  </si>
  <si>
    <t>10:29am</t>
  </si>
  <si>
    <t>Y</t>
  </si>
  <si>
    <t>Compliant</t>
  </si>
  <si>
    <t>N/A</t>
  </si>
  <si>
    <t>Chiamaka Adibo</t>
  </si>
  <si>
    <t>16/07/2026</t>
  </si>
  <si>
    <t>UNICID TABLET (ANTACID)</t>
  </si>
  <si>
    <t>B4-2751</t>
  </si>
  <si>
    <t>12X8</t>
  </si>
  <si>
    <t>UNICID - RELIEF FROM HYPERACIDITY</t>
  </si>
  <si>
    <t>UNICID-ANTACID-TABLET.pdf</t>
  </si>
  <si>
    <t>UNIPROF SUSPENSION (IBUPROFEN)</t>
  </si>
  <si>
    <t>A11-0441</t>
  </si>
  <si>
    <t>100ML</t>
  </si>
  <si>
    <t>UNIPROF - EFFECTIVE RELIEF FROM ACHES, PAIN AND DISCOMFORT</t>
  </si>
  <si>
    <t>UNIPROF-IBUPROFEN-100ML-SUSPENSION.pdf</t>
  </si>
  <si>
    <t>AUGMENTIN 625 (AMOXICILLIN 500/CLAVULANIC ACID 125MG)</t>
  </si>
  <si>
    <t>04-1928</t>
  </si>
  <si>
    <t>2X7</t>
  </si>
  <si>
    <t>FENSYL MHP CONSULTING LIMITED</t>
  </si>
  <si>
    <t>49, KOFO ABAYOMI AVENUE, APAPA, LAGOS.</t>
  </si>
  <si>
    <t>osaretin.jaiyeola@fensyl.com</t>
  </si>
  <si>
    <t>08033221004</t>
  </si>
  <si>
    <t>E-DETAILING AID</t>
  </si>
  <si>
    <t>AUGMENTIN PHARMACISTS TOOLKIT (MANUFACTURING)</t>
  </si>
  <si>
    <t>AUGMENTIN_AMOXICILLIN-CLAVULANIC-625MG-TABLET.pdf</t>
  </si>
  <si>
    <t>AUGMENTIN (AMOXICILLIN/CLAVULANIC ACID)</t>
  </si>
  <si>
    <t>THE ART OF AUGMENTIN</t>
  </si>
  <si>
    <t>AUGMENTIN_AMOXICILLIN-CLAVULANIC ACID.pdf</t>
  </si>
  <si>
    <t>SERETIDE 50MCG/250MCG DISKUS INHALATION POWDER (SALMETEROL/FLUTICASONE PROPIONATE)</t>
  </si>
  <si>
    <t>04-3323</t>
  </si>
  <si>
    <t>1X60</t>
  </si>
  <si>
    <t>MASTER 6: SIMULATION STUDY OF THE EFFECT OF CLINICAL CHARACTERISTICS AND TREATMENT CHOICE ON RELIEVER MEDICATION USE, SYMPTOM CONTROL AND EXACERBATION RISK IN MODERATE - SEVERE ASTHMA</t>
  </si>
  <si>
    <t>SERETIDE-50MCG250MCG-SALMETEROL-FLUTICASONE PROPIONATE_FENSYL.pdf</t>
  </si>
  <si>
    <t>SERETIDE (SALMETEROL/FLUTICASONE PROPIONATE) AND VENTOLIN (SALBUTAMOL SULPHATE)</t>
  </si>
  <si>
    <t>SERETIDE AND VENTOLIN - LONG - TERM GOAL OF ASTHMA MANAGEMENT</t>
  </si>
  <si>
    <t>SERETIDE_SALMETEROL-FLUTICASONE_SALBUTAMOL SULPHATE.pdf</t>
  </si>
  <si>
    <t>ARENAX PLUS TABLETS AND ARENAX PLUS FORTE TABLETS</t>
  </si>
  <si>
    <t>A4-2180, A4-4854</t>
  </si>
  <si>
    <t>2X6, 3X6, 4X6, 1X6</t>
  </si>
  <si>
    <t>SWISS PHARMA NIGERIA LIMITED</t>
  </si>
  <si>
    <t>5, DOPEMU ROAD, IKEJA, LAGOS.</t>
  </si>
  <si>
    <t>swipha@swiphanigeria.com</t>
  </si>
  <si>
    <t>08116691559</t>
  </si>
  <si>
    <t>ONLINE</t>
  </si>
  <si>
    <t>ONLINE CALENDAR - ILLUSTRATION SERIES</t>
  </si>
  <si>
    <t>ARENAX PLUS n ARENAX PLUS FORTE-AL-SWISS PHARMA (2).pdf</t>
  </si>
  <si>
    <t>ONLINE/FACEBOOK PAGE</t>
  </si>
  <si>
    <t>CHIAMAKA ADIBO</t>
  </si>
  <si>
    <t>ACHOLSAFE CAPSULE</t>
  </si>
  <si>
    <t>A7-101873L</t>
  </si>
  <si>
    <t>30PCS</t>
  </si>
  <si>
    <t xml:space="preserve">VASTOVERS DRUGS AND ALLIED PRODUCTS LIMITED </t>
  </si>
  <si>
    <t>BLOCK N, PLOT 279A OWORONSHOKI EXPRESSWAY, GBAGADA PHASE 1, LAGOS</t>
  </si>
  <si>
    <t>order@vastovers.com</t>
  </si>
  <si>
    <t>09088138739;09088138744;08184571390</t>
  </si>
  <si>
    <t>ADVOCACY FOR HEALTHIER LIVING FOR ALCOHOL CONSUMERS</t>
  </si>
  <si>
    <t>ACHOLSAFE ACHOLCARE CAPSULE-VASTOVERS.pdf</t>
  </si>
  <si>
    <t>PRINT MEDIA</t>
  </si>
  <si>
    <t>ACHOLCARE CAPSULE</t>
  </si>
  <si>
    <t>A7-101972L</t>
  </si>
  <si>
    <t>INSTAGRAM</t>
  </si>
  <si>
    <t>YES</t>
  </si>
  <si>
    <t>Acholcare</t>
  </si>
  <si>
    <t>ARCHIBONG V.A</t>
  </si>
  <si>
    <t>17/08/2026</t>
  </si>
  <si>
    <t>BOROCARE NEEM CREAM</t>
  </si>
  <si>
    <t>A7-4563L</t>
  </si>
  <si>
    <t>30G</t>
  </si>
  <si>
    <t>OSWORTH NIGERIA LIMITED</t>
  </si>
  <si>
    <t>3/5 SAPARA STREET, IKEJA LAGOS</t>
  </si>
  <si>
    <t>info@osworthnigeria.com;toluwasanmi@may-bakerng.com</t>
  </si>
  <si>
    <t>08087189930;08033137565</t>
  </si>
  <si>
    <t>FIGHTS MINOR SKIN PROBLEMS</t>
  </si>
  <si>
    <t>BOROCARE NEEM CREAM_OSWORTH.pdf</t>
  </si>
  <si>
    <t>KLARACT CREAM</t>
  </si>
  <si>
    <t>A7-101240L</t>
  </si>
  <si>
    <t>GIVES EVEN SKIN TONE……</t>
  </si>
  <si>
    <t>KLARACT CREAM_OSWORTH.pdf</t>
  </si>
  <si>
    <t>CODIX RANGE OF PRODUCTS (EVEROSE, VIT C+D, MACA ROOT, CODFEROL, SELCEA, WINWELL, CODIX FAT BURNER, FLEXICOD)</t>
  </si>
  <si>
    <t>A7-101117, A7-100190…</t>
  </si>
  <si>
    <t>NA</t>
  </si>
  <si>
    <t>CODIX PHARMA LIMITED</t>
  </si>
  <si>
    <t>MICHEAL ADEKOYA STREET, ILUPEJU LAGOS</t>
  </si>
  <si>
    <t>dami.ogunnowo@codixgroup.com;info@codixgroup.com</t>
  </si>
  <si>
    <t>08132234470;08085264255</t>
  </si>
  <si>
    <t>CODIX WELLNESS SUPPLEMENT</t>
  </si>
  <si>
    <t>CODIX RANGE OF PRODUCTS_CODIX.pdf</t>
  </si>
  <si>
    <t>4X6, 3X6, 2X6, 1X6</t>
  </si>
  <si>
    <t>ARENAX PLUS ONLINE SCRIPT</t>
  </si>
  <si>
    <t>ARENAX PLUS n ARENAX PLUS FORTE-AL-SWISS PHARMA.pdf</t>
  </si>
  <si>
    <t>ONLINE/INSTAGRAM</t>
  </si>
  <si>
    <t>5:35PM</t>
  </si>
  <si>
    <t>SOKLIN PINK CONCENTRATED DETERGENT</t>
  </si>
  <si>
    <t>A2-106563</t>
  </si>
  <si>
    <t>170G</t>
  </si>
  <si>
    <t>EKO SUPREME RESOURCES NIGERIA LIMITED</t>
  </si>
  <si>
    <t>9, OYINKAN ABAYOMI DRIVE, IKOYI, LAGOS; 41, PAYNE CRESCENT, APAPA, LAGOS, NIGERIA</t>
  </si>
  <si>
    <t>dare.ojo@esrnl.com</t>
  </si>
  <si>
    <t>08168800004;08034079756</t>
  </si>
  <si>
    <t>SOKLIN PINK - FEEL THE PINK</t>
  </si>
  <si>
    <t>Cosmetic</t>
  </si>
  <si>
    <t>ENGLISH, HAUSA</t>
  </si>
  <si>
    <t>SOKLIN PINK CONCENTRATED DETERGENT_EKO.pdf</t>
  </si>
  <si>
    <t>PROFECTIV MEGA GROWTH BREAK - FREE DAILY LEAVE - IN STRENGTHENER</t>
  </si>
  <si>
    <t>A2-1748</t>
  </si>
  <si>
    <t>250G</t>
  </si>
  <si>
    <t>GODREJ NIGERIA LIMITED</t>
  </si>
  <si>
    <t>PLOT 2A, AYODELE DIYAN STREET, OFF LADIPO OLUWOLE AVENUE, IKEJA  INDUSTRIAL ESTATE, IKEJA, LAGOS;1, MURTALA  MUHAMMED DRIVE, IKOYI, LAGOS, NIGERIA;</t>
  </si>
  <si>
    <t>grace.iyiola@godrejcp.com;uche.nwokocha@aluko-oyebode.com</t>
  </si>
  <si>
    <t>90700351631;08066803387;08075490115;08058299207</t>
  </si>
  <si>
    <t>PROFECTIV MEGA GROWTH - GOODBYE HAIR BREAKAGE</t>
  </si>
  <si>
    <t>PROFECTIV MEGA GROWTH_LORNA.pdf</t>
  </si>
  <si>
    <t>VIVA PLUS RANGE OF DETERGENTS (GOLD, LAUNDRY SANITIZER AND VIVA PLUS)</t>
  </si>
  <si>
    <t>A2-5817,A2-1064</t>
  </si>
  <si>
    <t>400G</t>
  </si>
  <si>
    <t>ASPIRA NIGERIA LIMITED</t>
  </si>
  <si>
    <t>KM 8, HADEJIA ROAD. KANO NIGERIA</t>
  </si>
  <si>
    <t>aspira.cosmetics@aspirang.com</t>
  </si>
  <si>
    <t>09093050014</t>
  </si>
  <si>
    <t>VIVA LAUNDRY LAMPOST DESIGN</t>
  </si>
  <si>
    <t>VIVA PLUS RANGE of PRODUCTS_ASPIRA.pdf</t>
  </si>
  <si>
    <t>MORNING FRESH DISHWASHING LIQUID</t>
  </si>
  <si>
    <t>02-0282</t>
  </si>
  <si>
    <t>1L</t>
  </si>
  <si>
    <t>PZ CUSSONS NIGERIA PLC</t>
  </si>
  <si>
    <t>TOWN PLANNING WAY, ILUPEJU, LAGOS.</t>
  </si>
  <si>
    <t>pzindustries@pzcussons.com</t>
  </si>
  <si>
    <t>08074090098</t>
  </si>
  <si>
    <t>MORNING FRESH - YOUR NAME IS OUR BOTTLE</t>
  </si>
  <si>
    <t>Morning Fresh_PZ Cussons.pdf</t>
  </si>
  <si>
    <t>HYPO SUPER BLEACH</t>
  </si>
  <si>
    <t>02-6508</t>
  </si>
  <si>
    <t>750ML</t>
  </si>
  <si>
    <t>HYPO HOMECARE PRODUCTS LIMITED</t>
  </si>
  <si>
    <t>44, ERIC MOORE ROAD, SURULERE, LAGOS.</t>
  </si>
  <si>
    <t>07062646219;08152994120</t>
  </si>
  <si>
    <t>PROTECT EVERYDAY WITH HYPO</t>
  </si>
  <si>
    <t>HYPO SUPER BLEACH_Hypo Homecare Products.pdf</t>
  </si>
  <si>
    <t>PALMER'S COCOA BUTTER RANGE OF PRODUCTS</t>
  </si>
  <si>
    <t>02-4088, 02-4134, 02-4137, 02-4089, 02-4135</t>
  </si>
  <si>
    <t>400ML, 400ML, 250ML, 125G, 200G</t>
  </si>
  <si>
    <t>KONEX ASSOCIATES LIMITED</t>
  </si>
  <si>
    <t>126, BODE THOMAS STREET, SURULERE, LAGOS.</t>
  </si>
  <si>
    <t>08031565332</t>
  </si>
  <si>
    <t>PALMER'S - EVERYDAY GLOW</t>
  </si>
  <si>
    <t>PALMERS COCOA BUTTER_KONEX.pdf</t>
  </si>
  <si>
    <t>KESARTEM TABLETS (20/120MG&amp; 80/1480MG)</t>
  </si>
  <si>
    <t>C4-0541, C4-0143</t>
  </si>
  <si>
    <t>1 X 6, 1X 24</t>
  </si>
  <si>
    <t>KESSINGTON GLOBAL SYNERGY LTD</t>
  </si>
  <si>
    <t>38, GOVERNORS WAY, MAPLE WOOD ESTATE OKO-OBA LAGOS</t>
  </si>
  <si>
    <t>stephenez@yahoo.com</t>
  </si>
  <si>
    <t>MR FEARLESS &amp; WOTOWOTO FOR MALARIA</t>
  </si>
  <si>
    <t>27/08/2025</t>
  </si>
  <si>
    <t>August</t>
  </si>
  <si>
    <t>ENGLISH AND PIDGIN</t>
  </si>
  <si>
    <t>KESSERTEM.pdf</t>
  </si>
  <si>
    <t>https://1drv.ms/b/c/94bd56ed68f00427/IQBGMP854pPCT4vun2Qh5BbvAWgQ1yHXF-jp3B669nqaW4A?e=SzOHA2</t>
  </si>
  <si>
    <t>AUGMENTIN TABLET &amp; AUGMENTIN ES (AMOXICILLIN &amp; CLAVULONIC ACID)</t>
  </si>
  <si>
    <t>O4-1928</t>
  </si>
  <si>
    <t>1X10</t>
  </si>
  <si>
    <t>FENSYL MHP CONSULTIN LTD.</t>
  </si>
  <si>
    <t>49, KOFO ABEYOMI</t>
  </si>
  <si>
    <t>08099993487</t>
  </si>
  <si>
    <t>HOW TO HELP ENSURE THE QUALITYOF ANTIBIOTICS DISPENSED TO PATIENTS, AUGMENTIN WORKS WHEN YOU NEED IT.</t>
  </si>
  <si>
    <t xml:space="preserve">AVAMYS (FLUTICASONE FUROATE) NASAL SPRAY SUSPENSION </t>
  </si>
  <si>
    <t>A4-4904</t>
  </si>
  <si>
    <t>1 X10</t>
  </si>
  <si>
    <t>49, KOFO ABAYOMI AVENUE, APAPA, LAGOS</t>
  </si>
  <si>
    <t>ONLINE (HCP WEBSITE PORTAL)</t>
  </si>
  <si>
    <t>WHY CHOOSE FLUTICASONE FUROATE</t>
  </si>
  <si>
    <t>AVAMYS NASAL SPRAY.pdf</t>
  </si>
  <si>
    <t>TWYNSIA (TELMISATAN 40MG/AMLODIPIN 5MG) TABLET</t>
  </si>
  <si>
    <t>A4-7797, 4-7798, A4-7799, A4-7800</t>
  </si>
  <si>
    <t>HYPERTENSION MANAGEMENT</t>
  </si>
  <si>
    <t>TWYNSTA.pdf</t>
  </si>
  <si>
    <t xml:space="preserve">SALONPAS PAIN RELIEVING PATCH </t>
  </si>
  <si>
    <t>A4-100511</t>
  </si>
  <si>
    <t>1X5</t>
  </si>
  <si>
    <t>DRUGSTOC EHUB LTD</t>
  </si>
  <si>
    <t>GBAJABI STREET, IKEJA LAGOS</t>
  </si>
  <si>
    <t>c.unanka@drugstoc.com</t>
  </si>
  <si>
    <t>08138251377</t>
  </si>
  <si>
    <t>JUST PATCH IT, PAIN RELIEF THAT KEEPS YOU MOVING</t>
  </si>
  <si>
    <t>SALONPAS PATCH.pdf</t>
  </si>
  <si>
    <t>A4-100512</t>
  </si>
  <si>
    <t>1X6</t>
  </si>
  <si>
    <t>SALONPAS PATCH 2.pdf</t>
  </si>
  <si>
    <t xml:space="preserve">BAOZEM DETOX TEA </t>
  </si>
  <si>
    <t>A7-101801L</t>
  </si>
  <si>
    <t>40G</t>
  </si>
  <si>
    <t>DDESTMA WELLNESS</t>
  </si>
  <si>
    <t>WUSE 11 FCT, ABUJA</t>
  </si>
  <si>
    <t>destmawellness@gmail.com</t>
  </si>
  <si>
    <t>09015695976</t>
  </si>
  <si>
    <t>INTRODUCING BOAZEM DETOX TEA</t>
  </si>
  <si>
    <t>BAOZEM.pdf</t>
  </si>
  <si>
    <t xml:space="preserve">DARTMAL DS YABLET AND </t>
  </si>
  <si>
    <t>A11-100792, A11-100794</t>
  </si>
  <si>
    <t>1X6,10X6</t>
  </si>
  <si>
    <t>DAILY SUN PHARMACEUTICAL CAMPANY LIMITED</t>
  </si>
  <si>
    <t>PLOT 3/4, YOMORI INDUSTRIAL ESTATE OFF IDI IROKO ROAD, OTA, OGUN STATE</t>
  </si>
  <si>
    <t>09160743899</t>
  </si>
  <si>
    <t>DARTMAL RADIO JINGLE (PLAN FOR GOOD HEALTH, ENJOY A MALARIA FREE LIFE)</t>
  </si>
  <si>
    <t>PIDGIN, YORUBA</t>
  </si>
  <si>
    <t>DATMAL DS.pdf</t>
  </si>
  <si>
    <t>DARTMAL DS TAB.pdf</t>
  </si>
  <si>
    <t>VERITOL HERBAL CAPSULES</t>
  </si>
  <si>
    <t>A7-101848L</t>
  </si>
  <si>
    <t>1X30</t>
  </si>
  <si>
    <t>DESTMA WELLNESS</t>
  </si>
  <si>
    <t>I, BALOGUN STREET, OFF AWOLOWO WAY IKEJA, LAGOS</t>
  </si>
  <si>
    <t>VERITOL HERBAL CAPSULES…...YOUR NATURAL CHOICE</t>
  </si>
  <si>
    <t xml:space="preserve">NORMAL </t>
  </si>
  <si>
    <t>REVORTA AND VEROTA.pdf</t>
  </si>
  <si>
    <t>REVORTA HERBAL CAPSULES</t>
  </si>
  <si>
    <t>A7-101889L</t>
  </si>
  <si>
    <t>REVORTA HERBAL CAPSULES…...YOUR NATURAL CHOICE</t>
  </si>
  <si>
    <t>fexabstore.com</t>
  </si>
  <si>
    <t>GESTIFIZ POWDER</t>
  </si>
  <si>
    <t>A7-100428</t>
  </si>
  <si>
    <t>4.5G</t>
  </si>
  <si>
    <t>RANBAXY NIGERIA LTD</t>
  </si>
  <si>
    <t>IST FLOOR ABIMBOLA HOUSE, 24 ABIMBOLA STREET, ISOLO LAGOS</t>
  </si>
  <si>
    <t>rosanna.iwuala@sunpharma.com</t>
  </si>
  <si>
    <t>08056396595</t>
  </si>
  <si>
    <t>GESTIFIZ…..YOUR RELIEF ON THE GO</t>
  </si>
  <si>
    <t>ENGLISH, PIDGIN AND HAUSA</t>
  </si>
  <si>
    <t>GESTIFIZ.pdf</t>
  </si>
  <si>
    <t>GESTID SUSPENSION &amp; TABLET</t>
  </si>
  <si>
    <t>04-0480, 04-2185</t>
  </si>
  <si>
    <t>100ML, 200ML, 5 X 4</t>
  </si>
  <si>
    <t>GESTID NEW PACK. LUNCH TIME</t>
  </si>
  <si>
    <t>ENGLISH, YORUBA, IGBO, HAUSA AND PIDGIN</t>
  </si>
  <si>
    <t>GESTID TAB AND SUSP.pdf</t>
  </si>
  <si>
    <t>ENGLISH,  HAUSA AND PIDGIN</t>
  </si>
  <si>
    <t>GESTID TAB AND SUSP 2.pdf</t>
  </si>
  <si>
    <t>BUSTAN-N SUSPENSION</t>
  </si>
  <si>
    <t>A4-0488</t>
  </si>
  <si>
    <t>60ML</t>
  </si>
  <si>
    <t>BUSTAN-N SUSPENSION RADIO JINGLE</t>
  </si>
  <si>
    <t>BRUSTAN N SUSP.pdf</t>
  </si>
  <si>
    <t>PROFECTIV MEGA GROWTH ANTI-DAMAGE CRÈME RELAXER (REGULAR)</t>
  </si>
  <si>
    <t>A2-0812</t>
  </si>
  <si>
    <t>1PC/PK</t>
  </si>
  <si>
    <t>GODREJ NIGERIA LTD</t>
  </si>
  <si>
    <t>PLOT 2A AYODELE DIYAN STREET, IKEJA, LAGOS</t>
  </si>
  <si>
    <t>08075490115</t>
  </si>
  <si>
    <t>FOR VISIBILY LESS HAIR BREAKAGE AFTER RETOUCHING</t>
  </si>
  <si>
    <t>PROFECTIV MEGA GROWTH DAMAGE PROTECTION HAIR SUPER FOOD</t>
  </si>
  <si>
    <t>A2-106095, A2-105940</t>
  </si>
  <si>
    <t>GODREY NIGERIA LIMITED</t>
  </si>
  <si>
    <t>PLOT 2A/ AYODELE DIYAN STREET, OFF LADIPO OLUWOLE AVENUE, IKEJA INDUSTRIAL ESTATE, IKEJA, LAGOS</t>
  </si>
  <si>
    <t>SAY GOODBYE TO SCALP WAHALA</t>
  </si>
  <si>
    <t>PIDGIN</t>
  </si>
  <si>
    <t xml:space="preserve">PROFECTIV MEGA GROWTH DAMAGE PROTECTION HAIR SUPER FOOD </t>
  </si>
  <si>
    <t>SAY GOODBYE TO SCALP TROUBLES</t>
  </si>
  <si>
    <t>170G, 60G, 800G</t>
  </si>
  <si>
    <t>EKO SUPREME RESOURCES NIGERIA LTD.</t>
  </si>
  <si>
    <t>9, OYINKAN ABAYOMI DRIVE, IKOYI, LAGOS</t>
  </si>
  <si>
    <t>officialsoklinnigeria@gmail.com</t>
  </si>
  <si>
    <t>08099222337</t>
  </si>
  <si>
    <t>PINK INNOVATION DIGITAL ADVERT</t>
  </si>
  <si>
    <t>FEEL THE PINK WITH SOLKIN- THE NO 1 PINK DETERGENT</t>
  </si>
  <si>
    <t>ENGLISH AND HAUSA</t>
  </si>
  <si>
    <t>NIVEA INVISIBLE BLACK AND WHITE &amp; NIVEA MEN BLACK &amp; WHITE INVISIBLE ANTIPERSPIRANT ROLL-ON</t>
  </si>
  <si>
    <t>02-8654, 02-8658</t>
  </si>
  <si>
    <t>50ML</t>
  </si>
  <si>
    <t>BEIERSDORF NIVEA CONSUMER PRDTS NIG LTD</t>
  </si>
  <si>
    <t>19 KAFI STR, IKEJA LAGOS</t>
  </si>
  <si>
    <t>Nivea.Nigeria3@Beiersdorf.com</t>
  </si>
  <si>
    <t>09087811952</t>
  </si>
  <si>
    <t>PREVENTS YELLOW STAINS AND WHITE RESIDUE</t>
  </si>
  <si>
    <t>SKIN DOCTOR (SD) NATURE GLOW BABY REANGE OF PRODUCTS</t>
  </si>
  <si>
    <t>400G, 60G,50ML</t>
  </si>
  <si>
    <t>ZANDAS GLOBAL RESOURCES LTD.</t>
  </si>
  <si>
    <t xml:space="preserve">9, JOHNSON UMEJEI STREET, AJAO ESTATE, OFF INT'L AIRPORT ROAD, IKEJA, LAGOS </t>
  </si>
  <si>
    <t>08030909537</t>
  </si>
  <si>
    <t>SD SKIN DOCTOR BABY NATURE GLOW</t>
  </si>
  <si>
    <t>NIVEA PERFECT &amp; RADIANT BODY LOTION</t>
  </si>
  <si>
    <t>02-5407</t>
  </si>
  <si>
    <t>400ML</t>
  </si>
  <si>
    <t>19, KAFI STREET, ALAUSA IKEJA, LAGOS STATE</t>
  </si>
  <si>
    <t>REVEAL YOUR SKINS'S NATURAL RADIANCE</t>
  </si>
  <si>
    <t>REVEAL YOUR NATURAL RADIANCE</t>
  </si>
  <si>
    <t xml:space="preserve">RJA-HABIBY HENNA CONE POWDER </t>
  </si>
  <si>
    <t>A2-100811</t>
  </si>
  <si>
    <t>100G</t>
  </si>
  <si>
    <t>RABIU JAFRAFU ABUBARKAR COMPANY LIMITED</t>
  </si>
  <si>
    <t>SHOP E522/E521, SOKOTO CENTRAL MARKET, SOKOTO-NORTH, SOKOTO</t>
  </si>
  <si>
    <t>jafarazz@yahoo.com</t>
  </si>
  <si>
    <t>08084046061</t>
  </si>
  <si>
    <t>PAY CLOSE ATTENTION TO THE LETTER "Y" IN HABIBY</t>
  </si>
  <si>
    <t>HAUSA</t>
  </si>
  <si>
    <t>X7 SKIN CARE LOTION RANGE OF PRODUCTS</t>
  </si>
  <si>
    <t>A2-106349, A2-106344</t>
  </si>
  <si>
    <t>500ML, 100ML</t>
  </si>
  <si>
    <t>SKIP THE GLOW YOU WASH OFF, GIVE YOUR SKIN WHAT IT REALLY DESERVES. X7 ISN'T JUST SKINCARE, IT'S YOUR DAILY ROUTINE</t>
  </si>
  <si>
    <t xml:space="preserve">HYPO TOILET CLEANER </t>
  </si>
  <si>
    <t>A2-1009</t>
  </si>
  <si>
    <t>65ML</t>
  </si>
  <si>
    <t>PLOT 44, JIMOH ODUTOLA STREET, SURULERE, LAGOS STATE</t>
  </si>
  <si>
    <t>08057493210</t>
  </si>
  <si>
    <t>NIVEA MEN DEEP LOTION &amp; ANTIPERSPIRANT ROOL-ON</t>
  </si>
  <si>
    <t>A2-100249, A2-3824</t>
  </si>
  <si>
    <t>21 AKINYEMI CRESCENT, OFF FATAI, MUSHIN LAGOS</t>
  </si>
  <si>
    <t>SKIN IS FOR PLAYING IT SMART, NIVEA IS FOR SKIN</t>
  </si>
  <si>
    <t>NIVEA NOURISHING COCAO BODY LOTION</t>
  </si>
  <si>
    <t>02-8748</t>
  </si>
  <si>
    <t>22 AKINYEMI CRESCENT, OFF FATAI, MUSHIN LAGOS</t>
  </si>
  <si>
    <t>NIVEA IS FOR SKIN</t>
  </si>
  <si>
    <t>NIVEA DRY CONFORT ANTIPERSPIRANT ROOL-ON &amp; MEN DRY IMPACT ROOL-ON</t>
  </si>
  <si>
    <t>01-4139, 02-3042</t>
  </si>
  <si>
    <t>50ML, 25ML</t>
  </si>
  <si>
    <t>23 AKINYEMI CRESCENT, OFF FATAI, MUSHIN LAGOS</t>
  </si>
  <si>
    <t>NIVEA DRY DEODORANT. NOW AVAILABLE IN 25ML SMALL SIZE FOR SABI BOYS AND GIRLS</t>
  </si>
  <si>
    <t>NIVEA RADIANT &amp; BEAUTY ADVANCE CARE LOTION</t>
  </si>
  <si>
    <t>A2-1010409</t>
  </si>
  <si>
    <t>24 AKINYEMI CRESCENT, OFF FATAI, MUSHIN LAGOS</t>
  </si>
  <si>
    <t>NIVEA FOR YOUR SHADE OF BEAUTIFUL</t>
  </si>
  <si>
    <t xml:space="preserve">ADMIN </t>
  </si>
  <si>
    <t xml:space="preserve">VIVA PLUS RANGE OF DISWASHING LIQUID </t>
  </si>
  <si>
    <t>A2-5626, A2-1064, A2-6043</t>
  </si>
  <si>
    <t>ASPIRA NIG LTD</t>
  </si>
  <si>
    <t>KM 8, HADEJIA ROAD, KANO</t>
  </si>
  <si>
    <t>TOUGH ON STAINS, DELICATE ON HANDS</t>
  </si>
  <si>
    <t xml:space="preserve">VIVA PLUS LAUNDRY DETERGENT POWDER RANGE OF PRODUCTS </t>
  </si>
  <si>
    <t>A2-6042, A2-6041, A2-6040</t>
  </si>
  <si>
    <t>600G</t>
  </si>
  <si>
    <t>VIVA CLEAN EASIER, CLEAN FASTER</t>
  </si>
  <si>
    <t xml:space="preserve">MAMA JOY MULTIPURPOSE SOAPS (FLORAL FRAGRANCE, LEMON FRESH, ROSE FRAGRANCE) </t>
  </si>
  <si>
    <t>A2-102896, A2-102887</t>
  </si>
  <si>
    <t>850G</t>
  </si>
  <si>
    <t>MAMUDA CARE NIGERIA LIMITED</t>
  </si>
  <si>
    <t>NO 52 UMARU BABURA ROAD, BOMPAI, KANO</t>
  </si>
  <si>
    <t>mamaudacare@mamudagroup.it</t>
  </si>
  <si>
    <t>08096666657</t>
  </si>
  <si>
    <t>SLIDE INTO MAMU THE PENGUIN WAY</t>
  </si>
  <si>
    <t>YOUR  LAUNDRY'S COOLEST ALLY</t>
  </si>
  <si>
    <t>MAMA JOY…..AFFORDABLE QUALITY DETERGENT</t>
  </si>
  <si>
    <t xml:space="preserve">CUSSON'S RANGE OF PRODUCTS </t>
  </si>
  <si>
    <t>02-0280, 02-7077, 02-2811</t>
  </si>
  <si>
    <t>70G, 90G 100ML</t>
  </si>
  <si>
    <t>TOWN PLANNING WAY, ILUPEJU, LAGOS</t>
  </si>
  <si>
    <t xml:space="preserve">CUSSON'S BABY MOMENTS COMPETITION SEASON 10 </t>
  </si>
  <si>
    <t>NORMAL (PROMOTIONAL)</t>
  </si>
  <si>
    <t>ENGLISH, YORUBA, HAUSA &amp; PIDGIN</t>
  </si>
  <si>
    <t>0fficialsoklinnigeria@gmail.com</t>
  </si>
  <si>
    <t>08030915680</t>
  </si>
  <si>
    <t>SOLKIN PINK - THE NUMBER 1 PINK DETERGENT</t>
  </si>
  <si>
    <t>GOOD MAMA POWDER DETERGENTS (FLORAL FRESH, DIAMOND &amp; LEMON FERSH)</t>
  </si>
  <si>
    <t>02-5471, A2-6592, A2-8830</t>
  </si>
  <si>
    <t>22G</t>
  </si>
  <si>
    <t>GOOD MAMA JULY CONTENT CALENDER</t>
  </si>
  <si>
    <t>SOKLIN RANGE OF PRODUCTS (SMART CONCENTRATED LIQUID DETERGENT -INTENSE PERFUME &amp; ULTIMATE CLEAN), CONCENTRATED DETERGENT AND PINK CONCENTRATED DETERGENT)</t>
  </si>
  <si>
    <t>170G, 30ML, 25G</t>
  </si>
  <si>
    <t>AUGUST CONTENT CALENDER</t>
  </si>
  <si>
    <t>NIVEA RADIANT &amp; BEAUTY ADVANCE CARE BODY LOTION</t>
  </si>
  <si>
    <t>A2-101409</t>
  </si>
  <si>
    <t>25 AKINYEMI CRESCENT, OFF FATAI, MUSHIN LAGOS</t>
  </si>
  <si>
    <t>HELP REDUCES THE APPERANCE OF STRETCH MARKS IN 2 WEEKS</t>
  </si>
  <si>
    <t>Revalidated</t>
  </si>
  <si>
    <t>Nivea.Nigeria3@beiersdorf.com</t>
  </si>
  <si>
    <t xml:space="preserve">ARENAX PLUS TABLET - 20/120MG </t>
  </si>
  <si>
    <t>A4-2180</t>
  </si>
  <si>
    <t>1 X 6, 2 X 6, 3 X 6, 4 X 6</t>
  </si>
  <si>
    <t xml:space="preserve">SWISS PHARMA NIGERIA LIMITED </t>
  </si>
  <si>
    <t>5, DOPEMU RD IKEJA LAGOS.</t>
  </si>
  <si>
    <t>ARENAX PLUS INFLUENCER SCRIPTS</t>
  </si>
  <si>
    <t>24/09/2025</t>
  </si>
  <si>
    <t>September</t>
  </si>
  <si>
    <t>ARENAX PLUS_0001.pdf</t>
  </si>
  <si>
    <t xml:space="preserve">ARENAX PLUS TABLET - 20/120MG AND  ARENAX PLUS FORTE 80/480 MG </t>
  </si>
  <si>
    <t>FAILED ADVENTURE OF CAPTAIN ANOPHELES</t>
  </si>
  <si>
    <t>ARENAX PLUS FORTE_0001.pdf</t>
  </si>
  <si>
    <t>ARENAX PLUS FORTE</t>
  </si>
  <si>
    <t xml:space="preserve">THIOCAL-12 TONIC AND THIOCAL-12 CHILDREN TONIC </t>
  </si>
  <si>
    <t>04-1401, 04-4049</t>
  </si>
  <si>
    <t>200ML, 1L</t>
  </si>
  <si>
    <t xml:space="preserve">THERAPEUTIC LABORATORIES NIG LTD </t>
  </si>
  <si>
    <t>372 IKORODU RD MARYLAND LAGOS</t>
  </si>
  <si>
    <t>therapeuticlaboratories@gmail.com</t>
  </si>
  <si>
    <t>07013485526</t>
  </si>
  <si>
    <t>THIOCAL-12 FAMILY BLOOD TONIC BOOSTER FOR YOUR ENERGY</t>
  </si>
  <si>
    <t>THIOCAL 12_0001.pdf</t>
  </si>
  <si>
    <t>DICLOMOL GEL AND CAPLET</t>
  </si>
  <si>
    <t>A4-1128, A4-5409</t>
  </si>
  <si>
    <t>30G, 2 X10</t>
  </si>
  <si>
    <t>DICLOMOL- KNOCKS OUT MUSCULAR AND JOINT PAINS.</t>
  </si>
  <si>
    <t>DICLOMOL_0001.pdf</t>
  </si>
  <si>
    <t>PADOSA CLEANSER HERBAL CAPSULES</t>
  </si>
  <si>
    <t>A7-102298L</t>
  </si>
  <si>
    <t>1 X 30</t>
  </si>
  <si>
    <t>LIFE NUTRACEUTICALS LTD</t>
  </si>
  <si>
    <t>NO 2 OLUWATEDO ZONE MODAKEKE OSUN.</t>
  </si>
  <si>
    <t>INTRODUCING PADOSA CLEANSER HERBAL CAPSULES</t>
  </si>
  <si>
    <t>ADMIN APPROVAL</t>
  </si>
  <si>
    <t>PADOSA CLEANSER_0001.pdf</t>
  </si>
  <si>
    <t>SKG PARACETAMOL SYRUP AND TABLET</t>
  </si>
  <si>
    <t>04-2633, 04-1075</t>
  </si>
  <si>
    <t>60ML, X96</t>
  </si>
  <si>
    <t xml:space="preserve">SKG PHARMA LIMITED </t>
  </si>
  <si>
    <t>719 SAPARA STREET P.M.B. 21099 IKEJA LAGOS</t>
  </si>
  <si>
    <t>09061602268</t>
  </si>
  <si>
    <t>SKG PARACETAMOL-- FOR FAST AND EFFECTIVE RELIEF</t>
  </si>
  <si>
    <t>SKG PARACETAMOL_0001.pdf</t>
  </si>
  <si>
    <t>POLYGEL DUAL</t>
  </si>
  <si>
    <t>A7-100742</t>
  </si>
  <si>
    <t xml:space="preserve">200ML </t>
  </si>
  <si>
    <t>SHALINA HEALTHCARE NIG LTD</t>
  </si>
  <si>
    <t>FATAI ATERE WAY, MATORI MUSHIN LAGOS</t>
  </si>
  <si>
    <t>08107539929</t>
  </si>
  <si>
    <t>MAXIMIZE EVERY MOMENT WITH POLYGEL DUAL PROTECTION</t>
  </si>
  <si>
    <t>POLYGEL DUAL_0001.pdf</t>
  </si>
  <si>
    <t>KESARTEM TABLETS 80/480, 20/120 MG</t>
  </si>
  <si>
    <t>C4-0143, C4-0541</t>
  </si>
  <si>
    <t>1 X 6, 1 X 24</t>
  </si>
  <si>
    <t>38 GOVERNORS WAY MAPLE WOOD ESTATE OKO-OBA LAGOS</t>
  </si>
  <si>
    <t>WOTO WOTO FOR MALARIA</t>
  </si>
  <si>
    <t>IGBO, HAUSA</t>
  </si>
  <si>
    <t>KESARTEM TABS_0001.pdf</t>
  </si>
  <si>
    <t xml:space="preserve">GAVISCON DOUBLE ACTION LIQUID </t>
  </si>
  <si>
    <t>A4-9366</t>
  </si>
  <si>
    <t>150ML</t>
  </si>
  <si>
    <t>RECKITT BENCKISER NIG LTD</t>
  </si>
  <si>
    <t>HERITAGE PLACE 21 LUGARD AVE. IKOYI LAGOS</t>
  </si>
  <si>
    <t>uto.amatokwu@reckitt.com</t>
  </si>
  <si>
    <t>08174600370</t>
  </si>
  <si>
    <t>GAVISCON 7-SYMPTOMS PREGNANCY CAMPAIGN</t>
  </si>
  <si>
    <t>GAVISCON DOUBLE ACTION_0001.pdf</t>
  </si>
  <si>
    <t>SUPRAMULT JUNIOR MULTIVITAMIN SYRUP AND ACTIVE-TEENZ CAPSULE</t>
  </si>
  <si>
    <t>A11-100768, A7-102438</t>
  </si>
  <si>
    <t>200ML, 30 PCS</t>
  </si>
  <si>
    <t>CHI PHARM LTD</t>
  </si>
  <si>
    <t>14 CHIVITA AVE. OSHODI LAGOS</t>
  </si>
  <si>
    <t>chipharma@clicktgi.net</t>
  </si>
  <si>
    <t>SHINE ON. UNSTOPPABLE YOU!</t>
  </si>
  <si>
    <t>SUPRAMULT JNR.pdf</t>
  </si>
  <si>
    <t>AUGMENTIN 625 MG TABLET</t>
  </si>
  <si>
    <t>2 X7</t>
  </si>
  <si>
    <t>FENSYL MHP CONSULTING LTD</t>
  </si>
  <si>
    <t>49 KOFO ABAYOMI STR. APAPA LAGOS</t>
  </si>
  <si>
    <t xml:space="preserve">TRUST STARTS WITH YOU </t>
  </si>
  <si>
    <t>AUGMENTIN_0001.pdf</t>
  </si>
  <si>
    <t xml:space="preserve">FEROBIN BLOOD TONIC </t>
  </si>
  <si>
    <t>04-9722</t>
  </si>
  <si>
    <t>200ML</t>
  </si>
  <si>
    <t>FIDSON HEALTHCARE PLC</t>
  </si>
  <si>
    <t>KM 38 LAGOS-ABEOKUTA EXP. SANGO-OTA OGUN STATE</t>
  </si>
  <si>
    <t>info@fidson.com</t>
  </si>
  <si>
    <t>08077008888</t>
  </si>
  <si>
    <t>FEROBIN THEME CONCEPT, WAKE UP CONCEPT, LIFE'S DEMANDS CONCEPT</t>
  </si>
  <si>
    <t>FEROBIN BLOOD TONIC_0001.pdf</t>
  </si>
  <si>
    <t>ENGLISH, YORUBA, HAUSA, IGBO, PIDGIN</t>
  </si>
  <si>
    <t>FEROBIN_0003.pdf</t>
  </si>
  <si>
    <t>JANDES HERBAL CAPSULES</t>
  </si>
  <si>
    <t>A7-102358L</t>
  </si>
  <si>
    <t>1 X30</t>
  </si>
  <si>
    <t>JANDES HERBAL CAPSULES- YOUR NATURAL SUPPORT FOR EYES HEALTH</t>
  </si>
  <si>
    <t>JANDES HERBAL_0001.pdf</t>
  </si>
  <si>
    <t>DARAVIT WOMAN COMBIPACK CAPSULES (MULTIVITAMINS/MINERALS)</t>
  </si>
  <si>
    <t>A7-102533</t>
  </si>
  <si>
    <t>ELBE PHARMA NIGERIA LIMITED</t>
  </si>
  <si>
    <t>42 IGA IDUNGANRAN STREET LAGOS</t>
  </si>
  <si>
    <t>info@elbepharm.com</t>
  </si>
  <si>
    <t>SHE IS A DARAVIT WOMAN</t>
  </si>
  <si>
    <t>DARAVIT WOMAN_0001.pdf</t>
  </si>
  <si>
    <t>KESARTEM TABLETS</t>
  </si>
  <si>
    <t>C4-0143</t>
  </si>
  <si>
    <t>1 X 6</t>
  </si>
  <si>
    <t>MALARIA? NO FEAR</t>
  </si>
  <si>
    <t>PIDGIN, HAUSA, YORUBA, IGBO</t>
  </si>
  <si>
    <t>KESARTEM TABS 1X6_0001.pdf</t>
  </si>
  <si>
    <t>MOMVIT (VITAMINS)</t>
  </si>
  <si>
    <t>A11-100465</t>
  </si>
  <si>
    <t>OLPHARM NIG LTD</t>
  </si>
  <si>
    <t>113 AGBAOKU STREET OPEBI IKEJA LAGOS</t>
  </si>
  <si>
    <t>0lpharm@olpharm.com</t>
  </si>
  <si>
    <t>09091986604</t>
  </si>
  <si>
    <t>MOMVIT..MMS..NOURISH YOUR PREGNANCY TO SUCCESS..AND BEYOND.</t>
  </si>
  <si>
    <t>MOMVIT_0001.pdf</t>
  </si>
  <si>
    <t>INVEGA SUSTENNA PROLONGED RELEASE SUSPENSION FOR INJECTION 50MG, 75MG, 100MG, 150MG</t>
  </si>
  <si>
    <t>C4-1971, C4-1972, C4-1973, B4-9906</t>
  </si>
  <si>
    <t>1X1</t>
  </si>
  <si>
    <t>PLOT 5B, BLOCK XVI OF ONIRU CHIEFTANCY FAMILY PRIVATE ESTATE, VICTORIA ISLAND, LAGOS.</t>
  </si>
  <si>
    <t>INVEGA SUSTENNA DOSING AND ADMINISTRATION</t>
  </si>
  <si>
    <t>INVEGA SUSTENNA_0001.pdf</t>
  </si>
  <si>
    <t>MOADOP HERBAL TEA</t>
  </si>
  <si>
    <t>A7-102324L</t>
  </si>
  <si>
    <t>MOADOP GLOBAL LIMITED</t>
  </si>
  <si>
    <t>1, AWOYEMI JUNCTION ELEYELE IBADAN, OYO STATE.</t>
  </si>
  <si>
    <t>08100009164</t>
  </si>
  <si>
    <t>MOADOP HERBAL TEA - NATURE'S VISION SUPPORT</t>
  </si>
  <si>
    <t>MOADOP_0001.pdf</t>
  </si>
  <si>
    <t>FEROBIN BLOOD TONIC</t>
  </si>
  <si>
    <t>268, IKORODU ROAD, OBANIKORO, LAGOS.</t>
  </si>
  <si>
    <t>RECHARGE WITH FEROBIN, THE IDEAL BLOOD BUILDER</t>
  </si>
  <si>
    <t>COARTEM 20/120MG TABLETS, 80/480MG TABLETS, 20/120MG DISPERSIBLE (ARTEMETER/LUMEFANTRINE)</t>
  </si>
  <si>
    <t>A4-1680, B4-0262, 04-3275</t>
  </si>
  <si>
    <t>NOVARTIS NIGERIA LIMITED</t>
  </si>
  <si>
    <t>LANDMARK BUILDING, 3RD FLOOR, 52-54 ISAAC JOHN STREET, IKEJA, LAGOS.</t>
  </si>
  <si>
    <t>nguavese.saror@novartis.com</t>
  </si>
  <si>
    <t>07031063544</t>
  </si>
  <si>
    <t>EMPOWER PATIENTS TO BEAT MALARIA. EMPOWER TO BEAT MALARIA. EMPOWER A CHILD TO BEAT MALARIA DOSAGE TIMETABLE</t>
  </si>
  <si>
    <t>COARTEM_0001.pdf</t>
  </si>
  <si>
    <t>GANABI NM HERBAL CAPSULE</t>
  </si>
  <si>
    <t>A7-102252L</t>
  </si>
  <si>
    <t>1X30 CAPSULES</t>
  </si>
  <si>
    <t>3112 GLOBAL RESOURCES</t>
  </si>
  <si>
    <t>10A, DAPO ADENIRAN STREET, ABA-NLA OLOGUNERU, IBADAN, OYO STATE.</t>
  </si>
  <si>
    <t>GANABI NM HERBAL CAPSULES - YOUR PARTNER IN EVERYDAY WELLNESS</t>
  </si>
  <si>
    <t>GANABI NM_0001.pdf</t>
  </si>
  <si>
    <t>GANABI I-C HERBAL TEA</t>
  </si>
  <si>
    <t>A7-102459L</t>
  </si>
  <si>
    <t>1X40G</t>
  </si>
  <si>
    <t>GANABI I-C HERBAL TEA - SEE THE NATURAL WAY</t>
  </si>
  <si>
    <t>GANABI_C_0001.pdf</t>
  </si>
  <si>
    <t>HIPOTB CAPSULE</t>
  </si>
  <si>
    <t>A7-100644</t>
  </si>
  <si>
    <t>3X10</t>
  </si>
  <si>
    <t>ASTRANAD PHARM AND CHEM CO LIMITED</t>
  </si>
  <si>
    <t>40, OLIYIDE STREET, MUSHIN LAGOS</t>
  </si>
  <si>
    <t>09036488264</t>
  </si>
  <si>
    <t>HPOTB …..LIVER SUPPORT SUPPLEMENT</t>
  </si>
  <si>
    <t>HIPOT B_0001.pdf</t>
  </si>
  <si>
    <t>PREGNAGAIN CAPSULES</t>
  </si>
  <si>
    <t>A7-2495</t>
  </si>
  <si>
    <t>2X15</t>
  </si>
  <si>
    <t>ALMOND ETHICALS LTD</t>
  </si>
  <si>
    <t>OLOLADE ODEYEMI CLOSE, ANTHONY VILLAGE, LAGOS STATE</t>
  </si>
  <si>
    <t>almondethicalsltd@gmail.com</t>
  </si>
  <si>
    <t>07037274331</t>
  </si>
  <si>
    <t>FOR TREATMENT OF VITAMINS AND MINERAL DEFICIENCY</t>
  </si>
  <si>
    <t>PREGNAGIN_0001.pdf</t>
  </si>
  <si>
    <t>ABUAD HERBAL VIRUCIDINE LIQUID, AB-MAL 250MG CAPSULES, AB HEALTH ANIMATION CAPSULE 250MG</t>
  </si>
  <si>
    <t>A7-100180L, A7-102546L, A8-114566L</t>
  </si>
  <si>
    <t>100ML, 1X6, 1X30</t>
  </si>
  <si>
    <t>AB PHARM. VET. MEDICINES AND AGRO PROCESSING LTD</t>
  </si>
  <si>
    <t>KM 85 AFE BABALOLA WAY, EKITI STATE</t>
  </si>
  <si>
    <t>abpharma.parenterals@gmail.com</t>
  </si>
  <si>
    <t>08039524453</t>
  </si>
  <si>
    <t>AN HERBAL REMEDY FOR THE MANAGEMENT OF FEVERISH CONDITIONS, AN IMMUNE BOOSTER &amp; ANTIOXIDANT, AN HERBAL REMEDY &amp; AN ANTIOXIDANT WHICH ALSO INVIGORATES THE BODY.</t>
  </si>
  <si>
    <t>ABUAD HERBAL_0001.pdf</t>
  </si>
  <si>
    <t>TREVICTA (PALIPERIDONE PALMITATE) RELEASE SUSPENSION FOR INJECTION</t>
  </si>
  <si>
    <t xml:space="preserve">A4-100554, A4-100553, </t>
  </si>
  <si>
    <t>uugwulek@its.jnj.com</t>
  </si>
  <si>
    <t>09062881239</t>
  </si>
  <si>
    <t>EASY TO ADMINISTER</t>
  </si>
  <si>
    <t>TREVICTA_0001.pdf</t>
  </si>
  <si>
    <t>VIVA DETERGENTS AND DISHWASH RANGE OF PRODUCTS</t>
  </si>
  <si>
    <t>A2-1064, 02-103808, A2-6041, A2-6040</t>
  </si>
  <si>
    <t>600G, 1L</t>
  </si>
  <si>
    <t>ASPIRA NIGERIA LTD</t>
  </si>
  <si>
    <t>KM8, HADEJIA RD, KANO</t>
  </si>
  <si>
    <t>VIVA CLEAN EASY, CLEAN FAST. VIVA..TOUGH ON STAINS, DELICATE ON HANDS.</t>
  </si>
  <si>
    <t>VIVA DETERGENT AND DISHWASH_0001.pdf</t>
  </si>
  <si>
    <t>ORACARE+ TOOTHPASTE AND VIVA RANGE OF DETERGENTS</t>
  </si>
  <si>
    <t>A2-4964, A2-1064, A2-5817</t>
  </si>
  <si>
    <t>140G, 600G</t>
  </si>
  <si>
    <t>ORACARE+....BRING LIFE TO YOUR SMILE AND VIVA TAKES CARE OF THE STAINS.</t>
  </si>
  <si>
    <t>ORACARET TOOTHPASTE AND VIVA_0001.pdf</t>
  </si>
  <si>
    <t>GERMOL FRESH ANTISEPTIC SOAP BAR (MENTHOL), GERMOL ANTISEPTIC LIQUID FLODENT TOOTHPASTE</t>
  </si>
  <si>
    <t>A2-6577, A2-6576, A2-102872</t>
  </si>
  <si>
    <t>65G, 140G</t>
  </si>
  <si>
    <t>FLODENT..MEGA MILLIONS COIN HUNT, GERMOL..MILLIONAIRE COIN HUNT PROMO</t>
  </si>
  <si>
    <t>GERMOL FRESH AND FLODENT TOOTHPASTE_0001.pdf</t>
  </si>
  <si>
    <t>VIVA PLUS MATIC DETERGENT POWDER</t>
  </si>
  <si>
    <t>02-103808</t>
  </si>
  <si>
    <t>1KG</t>
  </si>
  <si>
    <t xml:space="preserve"> VIVA MATIC..FOR MODERN MACHINE AND MODERN LIVES </t>
  </si>
  <si>
    <t>VIVA PLUS MATIC DETERGENT_0001.pdf</t>
  </si>
  <si>
    <t xml:space="preserve"> VIVA MATIC MACHINE-PERFECT DETERGENT STAIN-FREE IN LESS TIME! </t>
  </si>
  <si>
    <t xml:space="preserve">  MADE FOR MACHINES, BUILT FOR BUSY LIVES! </t>
  </si>
  <si>
    <t xml:space="preserve"> SMART WASH STARTS WITH VIVA MATIC!</t>
  </si>
  <si>
    <t xml:space="preserve">NIVEA MEN DEEP LOTION CLEAN SHOWER GEL AND ANTIPERSPIRANT ROLL ON </t>
  </si>
  <si>
    <t>A7-10024, A2-100245, A2-3824</t>
  </si>
  <si>
    <t>400ML, 50ML</t>
  </si>
  <si>
    <t>BEIERSDORF NIVEA CONSUMER PRODUCTS NIG LTD</t>
  </si>
  <si>
    <t>19 KAFI STREET IKEJA LAGOS</t>
  </si>
  <si>
    <t>09087511952</t>
  </si>
  <si>
    <t>NIVEA MEN..MOISTURE, PROTECTION AND FRAGRANCE, NEW LOOK</t>
  </si>
  <si>
    <t>NIVEA MEN LOTION AND ROLL ON_0001.pdf</t>
  </si>
  <si>
    <t>CLOSE-UP TRIPLE FRESH FORMULA TOOTHPASTE</t>
  </si>
  <si>
    <t>02-7346</t>
  </si>
  <si>
    <t xml:space="preserve">140G </t>
  </si>
  <si>
    <t>UNILEVER NIG PLC</t>
  </si>
  <si>
    <t>1 BILLINGS WAY LAGOS</t>
  </si>
  <si>
    <t>00803906600</t>
  </si>
  <si>
    <t>CLOSER IS BETTER</t>
  </si>
  <si>
    <t>IGBO, PIDGIN, HAUSA, YORUBA, ENGLISH</t>
  </si>
  <si>
    <t>CLOSEUP TRIPLE 2_0001.pdf</t>
  </si>
  <si>
    <t>140G</t>
  </si>
  <si>
    <t>CLOSEUP TRIPLE_0001.pdf</t>
  </si>
  <si>
    <t>SENSODYNE RAPID ACTION TOOTHPASTE</t>
  </si>
  <si>
    <t>02-781</t>
  </si>
  <si>
    <t>WORLD WIDE COMMERCIAL VENTURES LTD</t>
  </si>
  <si>
    <t>ILUPEJU INDUSTRIAL ESTATE ILUPEJU LAGOS</t>
  </si>
  <si>
    <t>christiana.gbogiaran@worldwidehealthcare.com</t>
  </si>
  <si>
    <t>00816937567</t>
  </si>
  <si>
    <t>IS YOUR SENSODYNE GENUINE? HERE IS HOW TO TELL IF IT IS!</t>
  </si>
  <si>
    <t>SENSODYNE_0001.pdf</t>
  </si>
  <si>
    <t xml:space="preserve">MAMA JOY DETERGENT POWDER WITH FLORAL FRAGRANCE </t>
  </si>
  <si>
    <t>A2-102869</t>
  </si>
  <si>
    <t>800G</t>
  </si>
  <si>
    <t>03206 CHALLAWA INDUSTRIAL ESTATE KANO STATE</t>
  </si>
  <si>
    <t>mamudacare@mamudagroup.it</t>
  </si>
  <si>
    <t>NA JOY WE DEY ADD</t>
  </si>
  <si>
    <t>PIDGIN ENGLISH</t>
  </si>
  <si>
    <t>MAMA JOY_0001.pdf</t>
  </si>
  <si>
    <t>NIVEA RANGE OF ROLL ONS  AND SPRAY</t>
  </si>
  <si>
    <t>02-3042, 02-4139, 02-8650</t>
  </si>
  <si>
    <t>NO 19, KAFO STREET. IKEJA LAGOG</t>
  </si>
  <si>
    <t>YOUR FAVOURITE NIVEA DEO, NOW IS IN A SMALLER PACK SIZE</t>
  </si>
  <si>
    <t>NIVEA RANGE OF ROLL ONS AND SPRAYS_0001.pdf</t>
  </si>
  <si>
    <t xml:space="preserve">NIVEA  DRY COMFORT AND NIVEA MEN DRY IMPACT ANTIPERSPIRANT ROLL ON </t>
  </si>
  <si>
    <t>02-3042, 02-4139,</t>
  </si>
  <si>
    <t>STAY DRY AND FRESH WITHOUT IRRITATION</t>
  </si>
  <si>
    <t>NIVEA DRY COMFORT AND DRY IMPACT ROLL ONS_0001.pdf</t>
  </si>
  <si>
    <t xml:space="preserve"> NIVEA MEN DRY IMPACT ROLL ON </t>
  </si>
  <si>
    <t>02-3042</t>
  </si>
  <si>
    <t>KASANE CIKIN KAMSHI DA NISHADI</t>
  </si>
  <si>
    <t>NIVEA MEN DRY IMPACT_0001.pdf</t>
  </si>
  <si>
    <t>GOOD MAMA POWDER DETERGENT (LEMON BURST AND FLORAL BLISS)</t>
  </si>
  <si>
    <t>02-8830, 02-5471</t>
  </si>
  <si>
    <t>200G</t>
  </si>
  <si>
    <t>1 OPIC INDUSTRIAL ESTATE, AGBARA, OGUN STATE.</t>
  </si>
  <si>
    <t>GOOD MAMA DETERGENT - EXPRESS CLEANING, EXTRA FRESH</t>
  </si>
  <si>
    <t>GOOD MAMA DETERGENT_0001.pdf</t>
  </si>
  <si>
    <t>TAG ROLL ON RANGE OF PRODUCTS</t>
  </si>
  <si>
    <t>A2-105095, A2-105054, A2-105044</t>
  </si>
  <si>
    <t>50ML, 50ML, 50ML</t>
  </si>
  <si>
    <t>IMPERIO INTERNATIONAL LIMITED</t>
  </si>
  <si>
    <t>PLOT 6, AYODELE ROAD IKEJA, LAGOS.</t>
  </si>
  <si>
    <t>info@imperiocosmetics.com</t>
  </si>
  <si>
    <t>08123018496</t>
  </si>
  <si>
    <t xml:space="preserve"> GENTLE ON YOU, TOUGH ON ODOUR. </t>
  </si>
  <si>
    <t>TAG ROLLONS_0001.pdf</t>
  </si>
  <si>
    <t xml:space="preserve"> MINT YOUR MOMENT. </t>
  </si>
  <si>
    <t xml:space="preserve">TAG YOUR DAY WITH FRESHNESS. </t>
  </si>
  <si>
    <t>DON’T SWEAT IT, JUST TAG IT.</t>
  </si>
  <si>
    <t>AROMATIC WOOD EAU DE PARFUM</t>
  </si>
  <si>
    <t>A2-102834</t>
  </si>
  <si>
    <t>CYBELE COSMETICS LIMITED</t>
  </si>
  <si>
    <t>98/100 LADIPO STREET, MUSHIN, LAGOS.</t>
  </si>
  <si>
    <t>info@cybele.biz</t>
  </si>
  <si>
    <t>07080070001</t>
  </si>
  <si>
    <t>SCENT OF DUNES</t>
  </si>
  <si>
    <t>AROMATIC WOOD_0001.pdf</t>
  </si>
  <si>
    <t>COMBIART 20/120MG</t>
  </si>
  <si>
    <t>A4-6700</t>
  </si>
  <si>
    <t>STRIDES LIFE SCIENCES LTD</t>
  </si>
  <si>
    <t>7, OBASA STREET, OFF OBA AKRAN IKEJA LAGOS</t>
  </si>
  <si>
    <t>info.africa@stridesarco.com</t>
  </si>
  <si>
    <t>08035417629</t>
  </si>
  <si>
    <t xml:space="preserve">PUBLIC NOTICE : BEWARE OF FAKE COMBIART MEDICINES </t>
  </si>
  <si>
    <t>29/10/2025</t>
  </si>
  <si>
    <t>October</t>
  </si>
  <si>
    <t>ASTRO RANGE OF PRODUCTS (LOTIONS, SOAPS, JELLY AND HAIR PRODUCTS)_0001.pdf</t>
  </si>
  <si>
    <t xml:space="preserve">SUDREX EXTRA TABLETS </t>
  </si>
  <si>
    <t>B4-4854, B4-4855, 04-1860</t>
  </si>
  <si>
    <t>1 X 20</t>
  </si>
  <si>
    <t>TEMPO SCAN AFRICA LTD</t>
  </si>
  <si>
    <t>OTUNBA YOMI OSHIKOYA  DRIVE OFF MOBOLAJI BANK, LAGOS</t>
  </si>
  <si>
    <t>SUDREX-EFFECTIVE FORMULA FOR HEADACHE &amp; COUGH CHALLENGE</t>
  </si>
  <si>
    <t>SUDREX EXTRA TABLETS_0001.pdf</t>
  </si>
  <si>
    <t>SILYBON TABLETS -70MG &amp; 140MG (SILYMARINE 70MG &amp; 140MG)</t>
  </si>
  <si>
    <t>A4-5841</t>
  </si>
  <si>
    <t>MICRONOVA PHARM. IND. LTD</t>
  </si>
  <si>
    <t>PLOT 3, BILLINGS WAY, IKEJA LAGOS</t>
  </si>
  <si>
    <t>solomonsemicrolabs@gmail.com</t>
  </si>
  <si>
    <t>08033555665</t>
  </si>
  <si>
    <t>SILYBON IMPROVES LIVER HEALTH!</t>
  </si>
  <si>
    <t>SILYBON TABLETS_0001.pdf</t>
  </si>
  <si>
    <t>SNIPER HOTSHOT MULTIPURPOSE INSECT KILLER (PIRIMIPHOS METHYL + DELTAMETHRIN)</t>
  </si>
  <si>
    <t>A10-100341</t>
  </si>
  <si>
    <t>SARO AGROSCIENCES</t>
  </si>
  <si>
    <t>PLOT 6-8, BLOCK 7, OFF - TOWN PLANING WAY, IBADAN OYO STATE</t>
  </si>
  <si>
    <t>saroagrosciences@saroafrica.com</t>
  </si>
  <si>
    <t>08077494225</t>
  </si>
  <si>
    <t>SNIPER HOTSHOT….BE PRECISE, BE POWERFUL</t>
  </si>
  <si>
    <t>SNIPER HOTSHOT MULTIPURPOSE INSECT KILLER_0001.pdf</t>
  </si>
  <si>
    <t>GROWBETT 20-20-20+TE (WATER SOLUBLE FERTILIZER)</t>
  </si>
  <si>
    <t>A10-100370</t>
  </si>
  <si>
    <t>GROWBETTER IMPORT &amp; EXPORT GLOBAL 47 ADEBOYEJO STR LAGOS</t>
  </si>
  <si>
    <t>47 ADEBOYE STR LAGOS</t>
  </si>
  <si>
    <t>CHOOSE RIGHT, CHOOSE GROWBETT FERTILIZER</t>
  </si>
  <si>
    <t>GROWBETT WATER SOLUBLE FERTILIZER_0001.pdf</t>
  </si>
  <si>
    <t>SNIPER BEDBUG KILLER (IMIDACLOPRID + BETA-CYFLUTHRIN)</t>
  </si>
  <si>
    <t>A10-100343</t>
  </si>
  <si>
    <t>500ML</t>
  </si>
  <si>
    <t>BLOCK F, OFF TOWN PLANNING WAY, OLUYOLE ESTATE, OYO STATE</t>
  </si>
  <si>
    <t>SNIPER BEDBUG KILLER - ELIMINATE THE BLOOD SUCKERS</t>
  </si>
  <si>
    <t>SNIPER BEDBUG KILLER_0001.pdf</t>
  </si>
  <si>
    <t>ELIQUIS (APIXABAN 5MG) TABLET</t>
  </si>
  <si>
    <t>B4-1192</t>
  </si>
  <si>
    <t>2X10, 6X10</t>
  </si>
  <si>
    <t>PFIZER SPECIALTIES LIMITED</t>
  </si>
  <si>
    <t>HERITAGE PLACE 7TH FLOOR 21 LUGARD AVENUE, IKOYI LAGOS</t>
  </si>
  <si>
    <t>DETAILING AID</t>
  </si>
  <si>
    <t>VENOUS THROMBOEMBOLISM IN HIP AND KNEE REPLACEMENT SURGERY</t>
  </si>
  <si>
    <t>Promotional</t>
  </si>
  <si>
    <t>ELIQUIS (APIXABAN) TABLETS_0001.pdf</t>
  </si>
  <si>
    <t>MAMALAIT GRANULES</t>
  </si>
  <si>
    <t>A7-21209L</t>
  </si>
  <si>
    <t>REALS SPECIALTIES LIMITED</t>
  </si>
  <si>
    <t>PLOT 1, JUNAID DOSUNMU STREET, CBD ALAUSA, IKEJA, LAGOS STATE</t>
  </si>
  <si>
    <t>reals@realsgroup.com ; realsspecialties@yahoo.com</t>
  </si>
  <si>
    <t>0809 142 5157</t>
  </si>
  <si>
    <t>MAMALAIT--- PROMOTE LACTATION</t>
  </si>
  <si>
    <t>Nutraceuticals</t>
  </si>
  <si>
    <t>MAMALAIT GRANULES_0001.pdf</t>
  </si>
  <si>
    <t>FACEBOOK</t>
  </si>
  <si>
    <t>15:33PM</t>
  </si>
  <si>
    <t>17/07/2026</t>
  </si>
  <si>
    <t>COATAL SOFT GELATIN CAPSULES (ARTEMETHER/LUMEFANTRINE 20/120MG) AND COATAL FORTE SOFT GELATIN CAPSULES (ARTEMETHER/LUMEFANTRINE 80/480MG)</t>
  </si>
  <si>
    <t>1X24</t>
  </si>
  <si>
    <t>GENEITH PHARMACEUTICAL LIMITED</t>
  </si>
  <si>
    <t>ADEWALE CRESCENT, OFF EWENLA STREET, OSHODI ISOLO LAGOS STATE</t>
  </si>
  <si>
    <t>TOUGH ON MALARIA, SOFT ON YOU</t>
  </si>
  <si>
    <t>COATAL SOFT GELATIN CAPSULES (ACT)_0001.pdf</t>
  </si>
  <si>
    <t>LOKMAL (ARTEMETER/LUMEFANTRINE 20/120MG) DISPERSIBLE TABLET</t>
  </si>
  <si>
    <t>A11-0292</t>
  </si>
  <si>
    <t>1X6, 2X6</t>
  </si>
  <si>
    <t>EMZOR PHARMACEUTICAL INDUSTRIES LIMITED</t>
  </si>
  <si>
    <t>PLOT 3C, BLOCK 1, ASWANI MARKET ROAD, ISOLO, LAGOS STATE</t>
  </si>
  <si>
    <t>LOKDOWN MALARIA FAST</t>
  </si>
  <si>
    <t>LOKMAL DISPERSIBLE TABLET_0001.pdf</t>
  </si>
  <si>
    <t>KUKA DEXAMETHASONE TABLETS</t>
  </si>
  <si>
    <t>B4-2120</t>
  </si>
  <si>
    <t>10X10</t>
  </si>
  <si>
    <t>KCH CONSUMER HEALTHCARE LIMITED</t>
  </si>
  <si>
    <t>2B, KWAME NKRUMAH LANE, CROWN ESTATE, LEKKI EXPRESSWAY, LAGOS</t>
  </si>
  <si>
    <t>KUKA DEXAMETHASONE</t>
  </si>
  <si>
    <t>KUKA DEXAMETHASONE TABLETS_0001.pdf</t>
  </si>
  <si>
    <t>SLIP LOZ LOZENGES</t>
  </si>
  <si>
    <t>A7-102823L</t>
  </si>
  <si>
    <t>1980 PHARMACEUTICAL LIMITED</t>
  </si>
  <si>
    <t>NO. D103, LAGOS LINE, ABUBAKAR RIMI MARKET, KANO STATE.</t>
  </si>
  <si>
    <t>SLIP LOZ LOZENGES SLEEP LOZENGES</t>
  </si>
  <si>
    <t>ENGLISH, PIDGIN, YORUBA, HAUSA, IGBO</t>
  </si>
  <si>
    <t>SLIP LOZ LOZENGES_0001.pdf</t>
  </si>
  <si>
    <t>TAVANIC TABLET 500MG AND TAVANIC SOLUTION FOR INFUSION 5MG/5ML (LEVOFLOXACIN)</t>
  </si>
  <si>
    <t>04-3143, 04-5409</t>
  </si>
  <si>
    <t>1X5, 1X100ML</t>
  </si>
  <si>
    <t>RESSOURCETHICA NIGERIA LIMITED</t>
  </si>
  <si>
    <t>PLOT 2&amp;4, BLOCK B, AMUWO-ODOFIN INDUSTRIAL SCHEME, APAPA-OSHODI EXPRESSWAY, LAGOS.</t>
  </si>
  <si>
    <t>CHOOSE TAVANIC WHEN RESULT MATTERS</t>
  </si>
  <si>
    <t>TAVANIC TABLET_0001.pdf</t>
  </si>
  <si>
    <t>VITAL ESSENTIALS WELLNESS &amp; IMMUNITY SYRUP</t>
  </si>
  <si>
    <t>A7-102238</t>
  </si>
  <si>
    <t>365 BIOPHARMA LIMITED</t>
  </si>
  <si>
    <t>23, ADEOLA STREET, GBAGADA, LAGOS.</t>
  </si>
  <si>
    <t>SPECIALLY DESIGNED TO ENHANCE IMMUNITY AND KEEP THOSE PESKY COLDS AWAY</t>
  </si>
  <si>
    <t>BIOPHARMS LIMITED (VITAL ESSENTIAL APPETITE &amp; GROWTH SYRUP,VITAL ESSENTIAL FATIGUE &amp; RECOVERY SYRUP)_0001.pdf</t>
  </si>
  <si>
    <t>VITAL ESSENTIALS APPETITE &amp; GROWTH SYRUP</t>
  </si>
  <si>
    <t>A7-101042</t>
  </si>
  <si>
    <t>BOOST APPETITE &amp; GROWTH IN TODDLERS</t>
  </si>
  <si>
    <t>VITAL ESSENTIALS FATIGUE &amp; RECOVERY SYRUP</t>
  </si>
  <si>
    <t>A7-101224</t>
  </si>
  <si>
    <t>BOOST YOUR RECOVERY AND GET BACK TO DOING WHAT YOU LOVE</t>
  </si>
  <si>
    <t>TAG RANGE OF ROLL ONS</t>
  </si>
  <si>
    <t>A2-105080, A2-105081</t>
  </si>
  <si>
    <t>IMPERIO INTERNATIONAL LTD</t>
  </si>
  <si>
    <t>PLOT 6, AYODELE DIYAN RD, IKEJA LAGOS</t>
  </si>
  <si>
    <t>DON'T TROLL, JUST TAG</t>
  </si>
  <si>
    <t>Tag Range of Roll On_0001.pdf</t>
  </si>
  <si>
    <t>NIVEA BODY LOTION NOURISHING COCOA</t>
  </si>
  <si>
    <t>BEIERSDORF NIVEA CONSUMER PRODUCTS NIGERIA LTD</t>
  </si>
  <si>
    <t>19 KAFI STREET, ALAUSA IKEJA LAGOS</t>
  </si>
  <si>
    <t>NIVEA -LET YOUR SKIN SHINE THIS HARMATTAN</t>
  </si>
  <si>
    <t>Nivea body lotion nourishing cocoa 400ml_0001.pdf</t>
  </si>
  <si>
    <t>GOOD MAMA POWDER DETERGENT</t>
  </si>
  <si>
    <t>02-5471, 02-8830</t>
  </si>
  <si>
    <t>INDUSTRIAL 1, OPIC ESTATE, AGBARA OGUN STATE</t>
  </si>
  <si>
    <t>EXPRESS CLEANING, EXTRA FRESH</t>
  </si>
  <si>
    <t>Good Mama powder detergent_0001.pdf</t>
  </si>
  <si>
    <t>MACLEANS MILK TEETH TOOTHPASTE</t>
  </si>
  <si>
    <t>02-6748</t>
  </si>
  <si>
    <t>WORLDWIDE COMMERCIAL VENTURES LTD</t>
  </si>
  <si>
    <t>PLOTA1, BLOCK 9 ILUPEJU INUTRIAL ESTATE, LAGOS</t>
  </si>
  <si>
    <t>YOUR CHILD DESERVES THE REAL THING!!! ALWAYS CHOOSE GENUINE MACLEANS</t>
  </si>
  <si>
    <t>MACLEANS MILK TEETH TOOTHPASTE 50ML_0001.pdf</t>
  </si>
  <si>
    <t>200G, 90G, 25G</t>
  </si>
  <si>
    <t>EKO SUPREME RESOURCES NIG. LTD.</t>
  </si>
  <si>
    <t>41,PAYNE CRESCENT, APAPA, LAGOS STATE</t>
  </si>
  <si>
    <t>GOOD MAMA DIGITAL CONTENT</t>
  </si>
  <si>
    <t>GOOD MAMA POWDER DETERGENT_0002.pdf</t>
  </si>
  <si>
    <t>SO KLIN CONCENTRATED DETERGENT POWDER</t>
  </si>
  <si>
    <t>02-1034, A2-105311, A2-105312, A2-4099</t>
  </si>
  <si>
    <t>25G, 30ML</t>
  </si>
  <si>
    <t>SO KLIN DIGITAL CONTENT</t>
  </si>
  <si>
    <t>SO KLIN CONCENTRATED DETERGENT_0001.pdf</t>
  </si>
  <si>
    <t>PROFECTIV MEGA GROWTH ANTI-DANDRUFF HAIR SUPER-FOOD</t>
  </si>
  <si>
    <t>A2-105940</t>
  </si>
  <si>
    <t>250ML, 100ML</t>
  </si>
  <si>
    <t>PLOT 2A, AYODELE DIYAN STREET, OFF LADIPO OLUWOLE AVENUE, IKEJA, LAGOS STATE</t>
  </si>
  <si>
    <t>BYE-BYE SCALP WAHALA WITH HAIR SUPER FOOD</t>
  </si>
  <si>
    <t>PROFECTIN MEGA GROWTH ANTI DANDRUFF HAIR SUPER FOOD_0001.pdf</t>
  </si>
  <si>
    <t>MORNING FRESH RANGE OF PRODUCTS</t>
  </si>
  <si>
    <t>02-6824, 02-6651, 02-0283</t>
  </si>
  <si>
    <t>1L, 700ML</t>
  </si>
  <si>
    <t>TOWN PLANNING WAY, ILUPEJU, LAGOS STATE</t>
  </si>
  <si>
    <t>"A GIRL'S JOB?" NO MORNING FRESH - NO DISHES</t>
  </si>
  <si>
    <t>MORNING FRESH RANGE OF PRODUCTS_0001.pdf</t>
  </si>
  <si>
    <t>VASELINE EVENTONE B3 LOTION. VASELINE COCOA GLOW LOTION</t>
  </si>
  <si>
    <t>A2-106037, A2-106036</t>
  </si>
  <si>
    <t>UNILEVER NIGERIA PLC</t>
  </si>
  <si>
    <t>1, BILLINGS WAY, OREGUN, IKEJA, LAGOS STATE</t>
  </si>
  <si>
    <t>CHOOSE THE LOTION THAT GETS YOU</t>
  </si>
  <si>
    <t>VASELINE LOTIONS 400ML_0001.pdf</t>
  </si>
  <si>
    <t>VASELINE ADVANCE REPAIR FRAGRANCE FREE BODY LOTION. VASELINE MEN EXTRA HYDRATION EXTRA STRENGTH LOTION</t>
  </si>
  <si>
    <t>A2-106032, A2-106038</t>
  </si>
  <si>
    <t>VASELINE ALOE SOOTHE LOTION. VASELINE DRY SKIN REPAIR LOTION</t>
  </si>
  <si>
    <t>A2-106035, A2-106034</t>
  </si>
  <si>
    <t>ASTRO RANGE OF PRODUCTS (LOTIONS, SOAPS, JELLY&amp;HAIR PRODUCTS)</t>
  </si>
  <si>
    <t>A2-108066, A2-107476, A2-107480, A2-107479</t>
  </si>
  <si>
    <t>1000ML, 250ML, 150G, 1000ML</t>
  </si>
  <si>
    <t>TOPWIDE VENTURES LIMITED</t>
  </si>
  <si>
    <t>PLOT 30, BABS ANIMASHAUN STREET, OFF BODE THOMAS STREET, SURULERE, LAGOS.</t>
  </si>
  <si>
    <t>ASTRO RANGE OF PRODUCTS - BEAUTY FOR EVERYONE</t>
  </si>
  <si>
    <t>ASTYMIN SYRUP</t>
  </si>
  <si>
    <t>04-2571</t>
  </si>
  <si>
    <t>FIDSON HEALTHCARE PLC.</t>
  </si>
  <si>
    <t>IKORODU ROAD, OBANIKORO, LAGOS STATE</t>
  </si>
  <si>
    <t>REPAIR AND RECOVER WITH ASTYMIN. A BRAND OF AMINO ACIDS AND MULTIVITAMINS.</t>
  </si>
  <si>
    <t>26/11/2025</t>
  </si>
  <si>
    <t>November</t>
  </si>
  <si>
    <t>ASTYMIN_0001.pdf</t>
  </si>
  <si>
    <t>OUT-OF-HOME (OOH) (BRT)</t>
  </si>
  <si>
    <t>ASTYMIN CAPSULES</t>
  </si>
  <si>
    <t>04-3686</t>
  </si>
  <si>
    <t>2X10</t>
  </si>
  <si>
    <t>ASTYMIN G DROPS</t>
  </si>
  <si>
    <t>04-3461</t>
  </si>
  <si>
    <t>15ML</t>
  </si>
  <si>
    <t>NAXIDAL (SULPHADOXINE/PYRIMETHAMINE) 500/25MG TABLETS</t>
  </si>
  <si>
    <t>A11-100859</t>
  </si>
  <si>
    <t>PLOT 49, ORANGE DRIVE, CROWN ESTATE, LEKKI, LAGOS STATE</t>
  </si>
  <si>
    <t>NAXIDAR - STOP MALARIA BEFORE IT STOPS YOU</t>
  </si>
  <si>
    <t>NAXIDAR TABLETS_0001.pdf</t>
  </si>
  <si>
    <t>MOKO RANGE OF PRODUCTS</t>
  </si>
  <si>
    <t>04-4141, 04-1749, 04-3591, 04-3592</t>
  </si>
  <si>
    <t>50ML, 60ML, 200ML</t>
  </si>
  <si>
    <t>NEW HEALTHWAY CO. LTD.</t>
  </si>
  <si>
    <t>KM 22, LAGOS BADAGRY EXPRESSWAY, AJANGBADI, LAGOS STATE</t>
  </si>
  <si>
    <t>MOKO RANGE OF PRODUCTS….ADVERTISEMENT INSERTS/FLYERS</t>
  </si>
  <si>
    <t>MOKO RANGE OF PRODUCTS SEPT_0001.pdf</t>
  </si>
  <si>
    <t>AMATEM FORTE (ARTEMETER/LUMEFANTRINE) 80/480MG SOFT GEL CAPSULES</t>
  </si>
  <si>
    <t>B4-0953, B4-0952</t>
  </si>
  <si>
    <t>ELBE PHARMA NIG. LTD.</t>
  </si>
  <si>
    <t>1, AFRICAN CHURCH CLOSE, ILUPEJU, LAGOS STATE</t>
  </si>
  <si>
    <t>SAY NO TO MALARIA, YES TO LIFE</t>
  </si>
  <si>
    <t>AMATEM FORTE SOFTGEL SEPT.pdf</t>
  </si>
  <si>
    <t>DUODART (DUTASTERIDE/TAMSULOSIN HCL) CAPSULES</t>
  </si>
  <si>
    <t>B4-3532</t>
  </si>
  <si>
    <t>49, KOFO ABAYOMI STREET, APAPA, LAGOS STATE</t>
  </si>
  <si>
    <t>QUICK TOOL FOR DISGNOSING LUTS DUE TO BPH.</t>
  </si>
  <si>
    <t>DUODART CAP_0001.pdf</t>
  </si>
  <si>
    <t>TWYSTA (TELMISARTAN/AMLODIPINE) 40/10MG, 80/10MG, 40/5MG, 80/5MG TABLETS</t>
  </si>
  <si>
    <t>A4-7800, A4-7798</t>
  </si>
  <si>
    <t>4X7</t>
  </si>
  <si>
    <t>HYPERTENSIVE CARE, TAKE HEART, TAKE CHARGE</t>
  </si>
  <si>
    <t>TWYNSTA TAB_0001.pdf</t>
  </si>
  <si>
    <t>GAVISCON DOUBLE ACTION LIQUID</t>
  </si>
  <si>
    <t>RECKITT BENCKISER NIGERIA LIMITED</t>
  </si>
  <si>
    <t>HERITAGE PLACE, 21 LUGARD AVENUE, IKOYI, LAGOS STATE</t>
  </si>
  <si>
    <t>GAVISCON PREGNANCY CAMPAIGN</t>
  </si>
  <si>
    <t>30 CAPSULES</t>
  </si>
  <si>
    <t>LIFE NUTRACEUTICALS LIMITED</t>
  </si>
  <si>
    <t>2, OLUWATEDO ZONE, MODAKEKE, OSUN STATE</t>
  </si>
  <si>
    <t>CLEANSE NATURALLY, LIVE CONFIDENTLY</t>
  </si>
  <si>
    <t>YORUBA</t>
  </si>
  <si>
    <t>PADOSA CLEANSER HERBAL CAP_0001.pdf</t>
  </si>
  <si>
    <t>SNIPER HOTSHOT MULTIPURPOSE INSECT KILLER</t>
  </si>
  <si>
    <t>600ML</t>
  </si>
  <si>
    <t>SARO AGRO SCIENCE LIMITED</t>
  </si>
  <si>
    <t>BLOCK F, OFF TOWN PLANNING WAY, OLUYOLE INDUSTRIAL ESTATE, IBADAN, OYO STATE</t>
  </si>
  <si>
    <t>BE PRECISE, BE POWERFUL</t>
  </si>
  <si>
    <t>SNIPER BEDBUG KILLER</t>
  </si>
  <si>
    <t>SNIPER BEDBUG KILLER---ELIMINATE THE BLOOD SUCKERS</t>
  </si>
  <si>
    <t>SEE THE BEAUTY IN EVERY MOMENT</t>
  </si>
  <si>
    <t>JANDES HERBAL CAP_0001.pdf</t>
  </si>
  <si>
    <t>GOODKNIGHT MULTI INSECT SPRAY</t>
  </si>
  <si>
    <t>A5-0656</t>
  </si>
  <si>
    <t>700ML</t>
  </si>
  <si>
    <t>AYODELE DIYAN STREET, IKEJA, LAGOS STATE</t>
  </si>
  <si>
    <t>10X MORE EFFECTIVE. 10X MORE PROTECTION</t>
  </si>
  <si>
    <t>GOOD KNIGHT MULTI INSECT SPRAY_0001.pdf</t>
  </si>
  <si>
    <t>GOODKNIGHT MULTI INSECT KILLER (LEMON FRAGRANCE)</t>
  </si>
  <si>
    <t>A5-1242</t>
  </si>
  <si>
    <t>CO-MICARDIS (TELMISARTAN/HYDROCHLOROTHIAZIDE) 40/12.5MG &amp; 80/12.5MG TABLETS</t>
  </si>
  <si>
    <t>A4-2150, A4-2149</t>
  </si>
  <si>
    <t>49, KOFO ABAYOMI AVENUE, APAPA, LAGOS STATE</t>
  </si>
  <si>
    <t>PATIENT EDUCATION: UNCOVER THE CV PROTECTIVE BENEFITS OF TELMISARTAN - LOWER PATIENT RISK OUTCOME</t>
  </si>
  <si>
    <t>MICARDIS RANGE OF PRODUCTS_0001.pdf</t>
  </si>
  <si>
    <t>MICARDIS 40 (TELMISARTAN 40MG) &amp; MICARDIS 80 (TELMISARTAN 80MG) TABLETS</t>
  </si>
  <si>
    <t>A4-2151, A4-2152</t>
  </si>
  <si>
    <t>MICARDIS 40MG, 80MG, CO-MICARDIS 40/12.5MG, 80/12.5MG TABLETS</t>
  </si>
  <si>
    <t>A4-2151, A4-2152, A4-2150, A4-2149</t>
  </si>
  <si>
    <t>4X8</t>
  </si>
  <si>
    <t>TELMISARTAN: A CARDIOPROTECTIVE ARB WITH A CLASS-DISTINCT PROFILE</t>
  </si>
  <si>
    <t>SERETIDE (SALMETEROL/FLUTICASONE PROPIONATE) INHALAER</t>
  </si>
  <si>
    <t>1X60 DOSES</t>
  </si>
  <si>
    <t>GUIDE TO HAVING ENGAGING AND PRODUCTIVE CONVERSATIONS WITH PATIENTS AROUND ASTHMA MANAGEMENT</t>
  </si>
  <si>
    <t>SERETIDE INHALER_0001.pdf</t>
  </si>
  <si>
    <t>AVAMYS (FLUTICASONE FUROATE) NASAL SPRAY SUSPENSION &amp; VENTOLIN (SALBUTAMOL SULPHATE) INHALER</t>
  </si>
  <si>
    <t>A4-4904, 04-0519</t>
  </si>
  <si>
    <t>EFFECTIVE ASTHMA &amp; RHINITIS MANAGEMENT WITH VENTOLIN &amp; AVAMYS</t>
  </si>
  <si>
    <t>AVAMYS NASAL SPRAY AND VENTOLIN INHALER_0001.pdf</t>
  </si>
  <si>
    <t>AUGMENTIN (AMOXICILLIN/CLAUVUNATE) ES POWDER FOR ORAL SUSPENSION &amp; AUGMENTIN TABLET</t>
  </si>
  <si>
    <t>04-8655</t>
  </si>
  <si>
    <t>AUGMENTIN POWDER AND TAB_0001.pdf</t>
  </si>
  <si>
    <t>ELIPIY HERBAL CAPSULES</t>
  </si>
  <si>
    <t>A7-102320L</t>
  </si>
  <si>
    <t>ELIZWORTH CONSULTS ENT. LTD.</t>
  </si>
  <si>
    <t>26, ALGIERS STREET, WUSE ZONE 5, FCT ABUJA</t>
  </si>
  <si>
    <t>GENTLE RELIEF, NATURAL SUPPORT</t>
  </si>
  <si>
    <t>ELIPIY HERBAL CAP_0001.pdf</t>
  </si>
  <si>
    <t>ZEMDEN DETOX HERBAL TEA</t>
  </si>
  <si>
    <t>A7-102233L</t>
  </si>
  <si>
    <t>CLEANSE NATURALLY, LIVE BEAUTIFULLY</t>
  </si>
  <si>
    <t>ZEMDEN DETOX HERBAL TEA_0001.pdf</t>
  </si>
  <si>
    <t>TABIZO HERBAL CAPSULES</t>
  </si>
  <si>
    <t>A7-102306L</t>
  </si>
  <si>
    <t>NATURE'S SUPPORT FOR A HEALTHIER YOU</t>
  </si>
  <si>
    <t>TABIZO HERBAL CAP_0001.pdf</t>
  </si>
  <si>
    <t>DR. SECRET BIOHERBS MALE COFFEE</t>
  </si>
  <si>
    <t>A7-2968L</t>
  </si>
  <si>
    <t>PLOT 1, JUNAID DOSUNMU STREET, CBD ALAUSA IKEJA, LAGOS STATE</t>
  </si>
  <si>
    <t>BIOHERBS MALE COFFEE…OGBONGE GAME CHANGER FOR DESIRE AND PERFORMANCE</t>
  </si>
  <si>
    <t>PIDGIN-ENGLISH</t>
  </si>
  <si>
    <t>DR. SECRET BIOHERBS MALE COFFEE_0001.pdf</t>
  </si>
  <si>
    <t>CEVLAR (ARTEMETER/LUMEFANTRINE 80/480MG) TABLET</t>
  </si>
  <si>
    <t>A4-100825</t>
  </si>
  <si>
    <t>ITATSPHARMACIA LIMITED</t>
  </si>
  <si>
    <t>9B, IFEOLUWA DANIEL, MAGODO PHASE 1 ESTATE, LAGOS STATE</t>
  </si>
  <si>
    <t>CEVLAR - MALARIA ENDS WITH US</t>
  </si>
  <si>
    <t>CEVLAR TAB_0001.pdf</t>
  </si>
  <si>
    <t>ST. MAMA RANGE OF PRODUCTS (KIDDYMIN BABY SYRUP, KIDDYMIN MULTIVITAMIN DROPS, FYNMUN CAPSULES, FYNMUM 50+ TABLETS, FYNDAD TABLETS, MAMASEO TABLETS,….)</t>
  </si>
  <si>
    <t>A7-4957, A7-4988, A7-4789….</t>
  </si>
  <si>
    <t>150ML, 200ML, 30PCS</t>
  </si>
  <si>
    <t>ST. MAMA NIGERIA LIMITED</t>
  </si>
  <si>
    <t xml:space="preserve">NO 22 PALMER STREET, ONITSHA ANAMBRA </t>
  </si>
  <si>
    <t>ST. MAMA - WELLNESS THAT FEELS LIKE HOME</t>
  </si>
  <si>
    <t>ST. MAMA RANGE OF PRODUCTS_0001.pdf</t>
  </si>
  <si>
    <t>MEKBENNY RANGE OF PRODUCTS(MEKBENNY CLAPJOINIT TABLET, MEKBENNY MOTHERPREP TABLETS, MEKBTAN (ADULT) TABLET, PROSTAMEK)</t>
  </si>
  <si>
    <t>A7-102547, A7-102551, A7-101988L</t>
  </si>
  <si>
    <t>MEKBENNY HEALTH SERVICES LTD</t>
  </si>
  <si>
    <t>16B, RESIDENCE RD GBAGADA PHASE 2, LAGOS</t>
  </si>
  <si>
    <t>THINK HEALTHY LIFE, THINK MEKBENNY</t>
  </si>
  <si>
    <t>GOOD KNIGHT MULTI INSECT SPRAY &amp; GOOD KNIGHT MULTI INSECT KILLER (LEMON FRAGRANCE)</t>
  </si>
  <si>
    <t>A5-0656, A5-1242</t>
  </si>
  <si>
    <t>AYODELE DIYAN STREET, IKEJA LAGOS</t>
  </si>
  <si>
    <t>09070351631</t>
  </si>
  <si>
    <t>DOUBLE NOZZLE, DOUBLE PROTECTION. SPRAY SMARTER WITH OUR NEW DUAL NOZZLECAP</t>
  </si>
  <si>
    <t>THE GOOD KNIGHT YOU TRUST NOW 10X MORE EFFECTIVE</t>
  </si>
  <si>
    <t>10X MORE EFFECTIVE, 100% MORE CONFIDENCE</t>
  </si>
  <si>
    <t>PURNA GUMMIES MARDEN OF THE TOWER BIOTIN VITAMIN SUPPLEMENTS</t>
  </si>
  <si>
    <t>A7-102368</t>
  </si>
  <si>
    <t>X 30</t>
  </si>
  <si>
    <t>PURNA NIGERIA LTD</t>
  </si>
  <si>
    <t>86, OLOJO DRIVE, OJO ALABA , LAGOS</t>
  </si>
  <si>
    <t>purnanigeria@purnanigeria.com</t>
  </si>
  <si>
    <t>07080180448</t>
  </si>
  <si>
    <t>SWITH TO GUMMIES FOR ALL ROUND BEAUTY AND WELLNESS</t>
  </si>
  <si>
    <t>PURNA GUMMIES_0001.pdf</t>
  </si>
  <si>
    <t>WEBSITE</t>
  </si>
  <si>
    <t>19/07/2026</t>
  </si>
  <si>
    <t>PURNA GUMMIES LIL CUBS KIDS</t>
  </si>
  <si>
    <t>SWITH TO GUMMIES FOR KID'S WELLNESS AND IMMUNITY</t>
  </si>
  <si>
    <t xml:space="preserve">PURNA GUMMIES HAIRWAY TO BEAUTY BIOTIN VITAMIN SUPPLEMENTS </t>
  </si>
  <si>
    <t>A</t>
  </si>
  <si>
    <t>SWITH TO GUMMIES FOR HEALTHY HAIR AND CLEAR SKIN!</t>
  </si>
  <si>
    <t xml:space="preserve">PURNA GUMMIES MAMA BEAR (MULTIVITAMINS) </t>
  </si>
  <si>
    <t>SWITH TO GUMMIES FOR HEALTHY MUM AND CHILD, PURNA BACK STORY TRANSCRIPT (SO MAKE THE SWITH)</t>
  </si>
  <si>
    <t>AUGMENTIN 625MG &amp; AUGMENTIN 1G (AMOXICILLIN/CLAVULANIC ACID)</t>
  </si>
  <si>
    <t>04-1928, 04-8655</t>
  </si>
  <si>
    <t>2X7, 2X7</t>
  </si>
  <si>
    <t>osaretin.jaiyeoya@fensyi.com</t>
  </si>
  <si>
    <t>DIGITAL EMAIL COMMUNICATION AID</t>
  </si>
  <si>
    <t>AUGMENTIN QUALITY MASS EMAIL (DM-NG-ACA-EML-250007), AUGMENTIN COMMUNITY-ACQUIRED PNEUMONIA MASS EMAIL (DM-NG-ACA-EML-250008)</t>
  </si>
  <si>
    <t>AUGMENTIN 625_0001.pdf</t>
  </si>
  <si>
    <t>RANGE OF INVEGA SUSTENNA AND TREVICTA PROLONGED RELEASE SUSPENSION FOR INJECTION (PALIPERIDONE PALMITATE)</t>
  </si>
  <si>
    <t>C4-1971, C4-1972, C4-1973, A4-100554, A4-100553, A4-100677, A4-100578</t>
  </si>
  <si>
    <t>1X1, 1X1, 1X1, 1X1, 1X1, 1X1, 1X1</t>
  </si>
  <si>
    <t>J &amp; J COMPANY WEST AFRICA LIMITED</t>
  </si>
  <si>
    <t xml:space="preserve">1. PATIENTS WITH SCHIZOPHRENIA DESERVE CHANCE TO ACHIEVE THEIR GOALS. 2. REMISSION IS AN IMPORTANT GOAL FOR PATIENT WITH SCHIZOPHRENIA. 3. BY SWITCHING TO INVEGA SUSTENNA, YOU CAN OFFER PATIENTS EFFECTIVE RELAPSE PREVENTION AND RAPID CONTROLS. 4. BY TRANSITIONING PATIENTS TO TREVICTA, YOU CAN HELP THEM RETURN TO ENJOYING MEANINGFUL MOMENTS. 5. THE PLAN. 6. THE 12 PER YEAR PLAN. </t>
  </si>
  <si>
    <t>INVEGA SUSTENNA PROLONGED RELEASE SUSPENSION_0001.pdf</t>
  </si>
  <si>
    <t>BONEFLEX AND BONEFLEX FORTE CAPSULES</t>
  </si>
  <si>
    <t>A4-8081, A7-100714</t>
  </si>
  <si>
    <t>SUPPORT YOUR JOINTS WITH BONEFLEX AND BONEFLEX FORTE</t>
  </si>
  <si>
    <t>BONEFLEX CAP_0001.pdf</t>
  </si>
  <si>
    <t>COATAL SOFT GELATIN CAPSULES, COATAL FORTE GELATIN CAPSULES, COATAL FORTE TABLETS, COATAL DISPERSIBLE TABLET, AND COATAL TABLETS (ARTEMETHER/LUMEFANTRINE)</t>
  </si>
  <si>
    <t>A4-100474, B4-7306, A4-1371, B4-1056, A4-1178</t>
  </si>
  <si>
    <t>1X24, 1X6, 1X6, 1X6, 1X24, 1X12</t>
  </si>
  <si>
    <t>THE DOUBLE EDGED ATTACK</t>
  </si>
  <si>
    <t>COATAL RANGE OF PRODUCTS_0001.pdf</t>
  </si>
  <si>
    <t>KLINFAST VAGINAL SUPPOSITORIES AND KLINFAST FORTE VAGINAL SUPPOSITORIES</t>
  </si>
  <si>
    <t>A4-9680, A4-100456</t>
  </si>
  <si>
    <t>1X7, 1X7</t>
  </si>
  <si>
    <t>ACT FAST - KLINFAST!!!</t>
  </si>
  <si>
    <t>KLINFAST VAG. SUPPOSITORIES_0001.pdf</t>
  </si>
  <si>
    <t>CODIX EVEROSE SOFTGEL CAPSULES, CODIX VITAMIN C+D EFFERVESCENT TABLET, CODFEROL (VITAMIN D3 2000IU) SOFTGEL CAPSULES, SELCEA (VITAMINS A-800MG, C- 80MG, E-12MG, SELENIUM-200MG) TABLETS, CODIX MACA ROOT CAPSULES, WINWELL TABLET (VITAMINS), CODIX FAT BURNER CAPSULES, AND FLEXICOD TABLETS</t>
  </si>
  <si>
    <t>A7-101117, A7-100190, A7-10116L, A7-101115, A7-100197, A7-100297L, A7-100296L</t>
  </si>
  <si>
    <t>1X30, 1X30, 3X10, 1X30, 1X20, 1X30, 1X30, 1X30</t>
  </si>
  <si>
    <t>14, MICHAEL ADEKOYA STREET, ILUPEJU, LAGOS.</t>
  </si>
  <si>
    <t>CODIX WELLNESS PRODUCTS</t>
  </si>
  <si>
    <t>CODIX RANGE OF PRODUCTS_0001.pdf</t>
  </si>
  <si>
    <t>KONICE, RANUSA AND ZAVINA HERBAL TEAS</t>
  </si>
  <si>
    <t>A7-103150, A7-103149, A7-103151</t>
  </si>
  <si>
    <t xml:space="preserve"> 1X 30</t>
  </si>
  <si>
    <t xml:space="preserve">DESTMA WELLNESS </t>
  </si>
  <si>
    <t>I, BALOGUN STREET, OFF AWOLOWO WAY, IKEJA LAGOS</t>
  </si>
  <si>
    <t>KONICE HERBAL TEA….ENJOY PURE HERBAL GOODNESSS; RANUSA HERBAL TEA,,,,CLEANSE AND REFRESH; ZAVINA HERBAL TEA …..WELLNESS POWERED BY NATURE</t>
  </si>
  <si>
    <t>KONICE, RANUSA AND ZAVINA HERBAL TEA_0001.pdf</t>
  </si>
  <si>
    <t>LATINA SB, SAGEIRA AND YENITA HERBAL TEAS</t>
  </si>
  <si>
    <t>A7-103152, A7-103147, A7-103148</t>
  </si>
  <si>
    <t>LATEIN SB HERBAL TEA….NATURE'S SUPPORT FOR MEN'S HEALTH; SAGEIRA HERBAL TEA…..YOUR PEACEFUL NIGHT BEGINS IN A CUP;  YENITA HERBAL TEA …..SEE THE WORLD THROUGH THE POWER OF NATURE</t>
  </si>
  <si>
    <t>LATEIN SB HERBAL TEA_0001.pdf</t>
  </si>
  <si>
    <t>KESARTEM 80/480MG TABLETS AND KESARTEM 20/120MG TABLETS (ARTEMETHER/LUMEFANTRINE)</t>
  </si>
  <si>
    <t>C4-0143, C4-054</t>
  </si>
  <si>
    <t>1X6, 1X24</t>
  </si>
  <si>
    <t>KESSINGTON GLOBAL SYNERGY LIMITED</t>
  </si>
  <si>
    <t>38, GOVERNORS WAY, MAPLE WOOD ESTATE, OKO-OBA, LAGOS.</t>
  </si>
  <si>
    <t>KESARTEM TAB_0001.pdf</t>
  </si>
  <si>
    <t>SHALTOUX NATURAL COUGH LOZENGES (ORANGE, HONEY, &amp; LEMON FLAVOURS)</t>
  </si>
  <si>
    <t>A7-1271L, A7-100739L, A7-100740L</t>
  </si>
  <si>
    <t>1X100PCS</t>
  </si>
  <si>
    <t>SHALINA HEALTHCARE NIGERIA LIMITED</t>
  </si>
  <si>
    <t>19, FATAI ATERE WAY, MATORI, MUSHIN, LAGOS.</t>
  </si>
  <si>
    <t>THINK NATURAL - THINK SHALTOUX, GET YOUR VOICE BACK</t>
  </si>
  <si>
    <t>SHALTOUX LOZENGES ORANGE AND HONEY FLAVOUR 3_0001.pdf</t>
  </si>
  <si>
    <t>DENTIST - THINK NATURAL, THINK SHALTOUX</t>
  </si>
  <si>
    <t>THINK NATURAL - THINK SHALTOUX (THE PROPOSAL)</t>
  </si>
  <si>
    <t>THINK NATURAL - THINK SHALTOUX (THE COURTROOM)</t>
  </si>
  <si>
    <t>AUGMENTIN 1G (AMOXICILLIN/CLAVULANIC ACID)</t>
  </si>
  <si>
    <t>WHEN YOU NEED IT, AUGMENTIN WORKS</t>
  </si>
  <si>
    <t>AUGMENTIN TAB_0001.pdf</t>
  </si>
  <si>
    <t>KOMIX COUGH SYRUP (DEXTROMETHORPHAN 15MG, GUCIFENESIN 100MG, CHLORPHENIRAMINE 2MG)</t>
  </si>
  <si>
    <t>04-4693</t>
  </si>
  <si>
    <t>7ML X 30 SATCHETS</t>
  </si>
  <si>
    <t>ORANGE DRUGS LIMITED</t>
  </si>
  <si>
    <t>COUGH ? DRINK KOMIX, E DEY RELIEF COUGH</t>
  </si>
  <si>
    <t>PIDGIN, ENGLISH, HAUSA</t>
  </si>
  <si>
    <t>KOMIX COUGH SYRUP_0001.pdf</t>
  </si>
  <si>
    <t>PEPSODENT NATURAL CHARCOAL WHITENING TOOTHPASTE</t>
  </si>
  <si>
    <t>A2-105143</t>
  </si>
  <si>
    <t>120G</t>
  </si>
  <si>
    <t>BILLINGSWAY OREGUN, IKEJA, LAGOS STATE</t>
  </si>
  <si>
    <t>NATURAL CHARCOAL WHITER TEETH</t>
  </si>
  <si>
    <t>PEPSODENT Natural charcoal whitening Toothpaste_0001.pdf</t>
  </si>
  <si>
    <t>CUSSONS JOY BLACK SOAP</t>
  </si>
  <si>
    <t>A2-100646</t>
  </si>
  <si>
    <t>45/47, TOWN PLANNING WAY, ILUPEJU INDUSTRIAL ESTATE, LAGOS.</t>
  </si>
  <si>
    <t>JOY BLACK WORKS - 7 NATURAL SKIN RESTORING ACTIVES</t>
  </si>
  <si>
    <t>cussons Joy Black Soap_0001.pdf</t>
  </si>
  <si>
    <t>LASGIDI VANILLA CRUSH BODY MIST, LASGIDI GELATO CRUSH BODY MIST, LASGIDI PISTACHIO CRUSH BODY MIST, LASGIDI CANDY CRUSH BODY MIST, LASGIDI JUICY CRUSH BODY MIST AND LASGIDI PINKY CRUSH BODY MIST</t>
  </si>
  <si>
    <t>A2-107282, A2-10282, A2-108202</t>
  </si>
  <si>
    <t>PLOT 6, AYODELE DIYAN ROAD, IKEJA INDUSTRIAL ESTATE, IKEJA, LAGOS.</t>
  </si>
  <si>
    <t>LASGIDI- IT ALL STARTS WITH A SCENT …...FIND YOUR CRUSH</t>
  </si>
  <si>
    <t>lasgidi vanilla crush body Mist_0001.pdf</t>
  </si>
  <si>
    <t>COSMO RANGE OF ANTIPERSPIRANT ROLL ONS</t>
  </si>
  <si>
    <t>A2-107303, A2-107248</t>
  </si>
  <si>
    <t>50ML, 60ML</t>
  </si>
  <si>
    <t>GREENLIFE PHARMA. LTD</t>
  </si>
  <si>
    <t>35A, ASSOCIATION AVENUE, ILUPEJU, LAGOS STATE</t>
  </si>
  <si>
    <t>COSMO OR NOTHING, STEP ASIDE FOR THE GAME CHANGER</t>
  </si>
  <si>
    <t>cosmo range of antiperspirant roll ons_0001.pdf</t>
  </si>
  <si>
    <t>BIO-OIL RANGE OF PRODUCTS (BIO-OIL SKIN CARE (NATURAL), BIO-OIL</t>
  </si>
  <si>
    <t>A2-100540, 02-6924, A2-102148</t>
  </si>
  <si>
    <t>WORLD WIDE COMMERCIAL VENTURES LIMITED</t>
  </si>
  <si>
    <t>ILUPEJU INDUSTRIAL ESTATE, LAGOS STATE</t>
  </si>
  <si>
    <t>BIO OIL RANGE OF PRODUCTS</t>
  </si>
  <si>
    <t>BIO-OIL RANGE OF PRODUCTS_0001.pdf</t>
  </si>
  <si>
    <t>PREMIER COOL ANTIBACTERIAL BAR SOAP, PREMIER COL BLACK SOAP (SHEA BUTTER &amp; CAMWOOD)</t>
  </si>
  <si>
    <t>A2-3539, A2-100647, 02-6055</t>
  </si>
  <si>
    <t>60G</t>
  </si>
  <si>
    <t>PREMIER COOL 10K FOR 10K PROMO. N100 MILLION UP FOR GRABS!!!</t>
  </si>
  <si>
    <t>PROMOTIONAL</t>
  </si>
  <si>
    <t>PREMIER COOL SOAPs_0001.pdf</t>
  </si>
  <si>
    <t>GOOD MAMA POWDER DETERGENT (FLORAL BLISS), GOOD MAMA (LEMON BURST)</t>
  </si>
  <si>
    <t>200G,90G, 25G</t>
  </si>
  <si>
    <t>9, OYINKAN ABAYOMI DRIVE, IKOYI, LAGOS STATE</t>
  </si>
  <si>
    <t>PIDGIN, HAUSA, YORUBA</t>
  </si>
  <si>
    <t>good mama powder detergent_0001.pdf</t>
  </si>
  <si>
    <t>VIVA RANGE OF PRODUCTS</t>
  </si>
  <si>
    <t>A2-6037, A2-5626, A2-1064</t>
  </si>
  <si>
    <t>1KG, 1KG</t>
  </si>
  <si>
    <t>KM 8, HADEIJA ROAD, KANO STATE</t>
  </si>
  <si>
    <t>CHRISTMAS OUTDOOR ADVERT CAMPAIGN</t>
  </si>
  <si>
    <t>VIVA RANGE OF PRODUCTS_0001.pdf</t>
  </si>
  <si>
    <t>VIVA RANGE OF PRODUCTS_0001_0001.pdf</t>
  </si>
  <si>
    <t>A2-6037, A2-5626, A2-1064, A2-103808</t>
  </si>
  <si>
    <t>1KG, 1KG, 1KG</t>
  </si>
  <si>
    <t>TETMOSOL PROTECT PLUS ANTISEPTIC DISINFECTANT LIQUID</t>
  </si>
  <si>
    <t>A11-0143</t>
  </si>
  <si>
    <t>165ML</t>
  </si>
  <si>
    <t>HELLO PRODUCTS LIMITED</t>
  </si>
  <si>
    <t>JAGAL CLOSE, OREGUN, IKEJA, LAGOS.</t>
  </si>
  <si>
    <t>OUT-OF-HOME (PROMOTIONAL)</t>
  </si>
  <si>
    <t>BUY ONE GET ONE FREE</t>
  </si>
  <si>
    <t>TETMOSOL PROTECT PLUS ANTISEPTIC DISINFECTANT LIQUID_0001.pdf</t>
  </si>
  <si>
    <t>TAG RANGE OF ANTI-PERSPIRANT DEODORANT</t>
  </si>
  <si>
    <t>A2-105081, A2-105080, A2-105079, A2-105054, A2-105096, A2-105044, A2-105077</t>
  </si>
  <si>
    <t>DON'T TROLL - JUST TAG</t>
  </si>
  <si>
    <t>ENGLISH, YORUBA, IGBO</t>
  </si>
  <si>
    <t>RANGE OF ANTI-PERSPIRANT DEODORANT_0001.pdf</t>
  </si>
  <si>
    <t>GAVISCON DOUBLE ACTION LIQUID (ANTACID)</t>
  </si>
  <si>
    <t>HERITAGE PLACE, 21 LUGARD AVENUE, IKOYI, LAGOS.</t>
  </si>
  <si>
    <t>GAVISCON NOVEMBER ASSET</t>
  </si>
  <si>
    <t>18/12/2025</t>
  </si>
  <si>
    <t>December</t>
  </si>
  <si>
    <t>GAVISCON DOUBLE ACTION LIQUID.pdf</t>
  </si>
  <si>
    <t>TEE KAN LE HERBAL MIXTURE</t>
  </si>
  <si>
    <t>A7-4353L</t>
  </si>
  <si>
    <t>120ML</t>
  </si>
  <si>
    <t>EASTWOOD EDWIN RUSS DISTILLERIES AND FOOD LIMITED</t>
  </si>
  <si>
    <t>48/59 GBERIGBE ROAD, IKORODU, LAGOS.</t>
  </si>
  <si>
    <t>TEE KAN LE HERBAL MIXTURE (NON-ALCOHOLIC DRINK)</t>
  </si>
  <si>
    <t>tee kan lee herbal.pdf</t>
  </si>
  <si>
    <t>LISTERINE COOL MINT MOUTH MOUTH WASH</t>
  </si>
  <si>
    <t xml:space="preserve">PHILLIPS PHARMACEUTICALS NIGERIA LIMITED </t>
  </si>
  <si>
    <t>122-132 AFPRINT INDUSTRIAL ESTATE, APAPA-OSHODI EXPRESSWAY, IYANA-ISOLO, LAGOS.</t>
  </si>
  <si>
    <t>COMPLETE THE CLEAN WITH LISTERINE</t>
  </si>
  <si>
    <t>Listerine cool mint mouth wash_0001.pdf</t>
  </si>
  <si>
    <t>ARENAX PLUS TABLETS 20/120MG (ARTEMETHER/LUMEFANTRINE)</t>
  </si>
  <si>
    <t>1X6, 2X6, 3X6, 4X6</t>
  </si>
  <si>
    <t>5, DOPEMU ROAD, AGEGE, LAGOS.</t>
  </si>
  <si>
    <t>ARENAX PLUS ONLINE VIDEO SCRIPT FOR DIGITAL DEPLOYMENT</t>
  </si>
  <si>
    <t>Arenax plus 20_120_0001.pdf</t>
  </si>
  <si>
    <t>7:23AM</t>
  </si>
  <si>
    <t>18/07/2026</t>
  </si>
  <si>
    <t>ARENAX PLUS FORTE TABLETS 80/480MG(ARTEMETHER/LUMEFANTRINE)</t>
  </si>
  <si>
    <t>A4-4854</t>
  </si>
  <si>
    <t>1. A NEW MORNING IN NAMADA. 2. TEACHERS JOIN THE FIGHT. 3. FRUSTRATED INVASION. 4. RAGE AND RETREAT. 5. MISSION MALARIA BEGINS. 6. GRANDPA TO THE RESCUE. 7. DON'T FORGET THE NAME!!! 8. PANIC + FLASHBACK. 9. ARENAX PLUS CONTENT CALENDAR</t>
  </si>
  <si>
    <t>ARENAX plus Forte_0001.pdf</t>
  </si>
  <si>
    <t>ZAVINA HERBAL CAPSULES, LATEIN HERBAL CAPSULES, LATEIN PRO HERBAL TEA AND YORVIX SB HERBAL TEA</t>
  </si>
  <si>
    <t>A7-103306L, A7-103280L, A7-103281L, A7-103315L</t>
  </si>
  <si>
    <t>1X30, 1X30 CAPSULES, 1X30 TEA BAGS, 1X20 TEA BAGS</t>
  </si>
  <si>
    <t>1, BALOGUN STREET, OFF AWOLOWO WAY, IKEJA, LAGOS.</t>
  </si>
  <si>
    <t>ONLINE SCRIPT FOR ZAVINA &amp; LATEIN HERBAL CAPSULES AND LATEIN PRO &amp; YORVIX SB HERBAL TEA</t>
  </si>
  <si>
    <t>Zavina Herbal Capsule_0001.pdf</t>
  </si>
  <si>
    <t>CAZIBIN HERBAL TEA, PINALLIA HERBAL TEA, AND YORVIX HERBAL TEA</t>
  </si>
  <si>
    <t>A7-103282L, A7-103298L, A7-103283L</t>
  </si>
  <si>
    <t>1X20, 1X30, 1X30 TEA BAGS</t>
  </si>
  <si>
    <t>ONLINE SCRIPT FOR CAZIBIN, PINALLIA AND YORVIX HERBAL TEA</t>
  </si>
  <si>
    <t>Pinallia, yorvix, cazibin 7_0001.pdf</t>
  </si>
  <si>
    <t>LUNESSA HERBAL TEA, YORVIX CLEANSER HERBAL TEA, TAVORA HERBAL TEA AND SOVANA DB HERBAL CAPSULES</t>
  </si>
  <si>
    <t>A7-103307L, A7-103304L, A7-103303L, A7-103305L</t>
  </si>
  <si>
    <t>1X30, 1X20, 1X30 TEA BAGS, 1X30 CAPSULES</t>
  </si>
  <si>
    <t>ONLINE SCRIPT FOR LUNESSA, YORVIX CLEANSER, TAVORA HERBAL TEA AND SOVANA DB HERBAL CAPSULES</t>
  </si>
  <si>
    <t>Yorvix, Tavora, Sovana, Luvessa Herbal Tea_0001.pdf</t>
  </si>
  <si>
    <t>HS 12 HAEMOGLOBIN STRUP WITH VITAMIN B12</t>
  </si>
  <si>
    <t>TETA PHARMACEUTICALS NIG. LTD.</t>
  </si>
  <si>
    <t>4, OKEHO STREET, IRE-AKARI ESTATE, ISOLO, LAGOS STATE</t>
  </si>
  <si>
    <t>OUT-OF-HOME (OOH) (BUS BRANDING)</t>
  </si>
  <si>
    <t>THE BLOOD BUILDER</t>
  </si>
  <si>
    <t>HS 12 Hb Syrup_0001.pdf</t>
  </si>
  <si>
    <t>PINEWOOD HB12 FORTE SYRUP</t>
  </si>
  <si>
    <t>A4-7540</t>
  </si>
  <si>
    <t>NANCIL NIG. LTD.</t>
  </si>
  <si>
    <t>11, OMONIYI STREET, IJU ROAD, LAGOS</t>
  </si>
  <si>
    <t>Pine wood HB 12 forte syrup Drug_0001.pdf</t>
  </si>
  <si>
    <t>AGATEM 20/120MG TABLETS &amp; AGATEM 80/480MG TABLETS (ARTEMETHER/LUMEFANTRINE)</t>
  </si>
  <si>
    <t>A4-101254, A4-101253</t>
  </si>
  <si>
    <t>GROHE PHARMACEUTICALS LIMITED</t>
  </si>
  <si>
    <t>55A, COPERATION ESTATE, AMUWO ODOFIN, FESTAC, LAGOS.</t>
  </si>
  <si>
    <t>AGATEM - RELIEF STARTS HERE!!!</t>
  </si>
  <si>
    <t>Agatem 20_120 Tablet Drug_0001.pdf</t>
  </si>
  <si>
    <t>3:48PM</t>
  </si>
  <si>
    <t>Agatem 20_120 Tablet 12 Drug_0001.pdf</t>
  </si>
  <si>
    <t>ENGLISH, PIDGIN</t>
  </si>
  <si>
    <t>FERTILGAIN TABLETS</t>
  </si>
  <si>
    <t>A7-2763</t>
  </si>
  <si>
    <t>ALMOND ETHICALS LIMITED</t>
  </si>
  <si>
    <t>28, MOJOLA STREET, AJAO ESTATE, ANTHONY VILLAGE, LAGOS.</t>
  </si>
  <si>
    <t>FERTILGAIN TABLETS - THE FERTILITY FILES</t>
  </si>
  <si>
    <t>Fertilgain Tablets ENG Drug_0001.pdf</t>
  </si>
  <si>
    <t>FERTILGAIN - A WOMAN'S JOURNEY TO MOTHERHOOD</t>
  </si>
  <si>
    <t>ENGLISH, YORUBA</t>
  </si>
  <si>
    <t>Fertilgain Tablets ENG_YOR Drug_0001.pdf</t>
  </si>
  <si>
    <t>JOINGAIN OMEGA-3 CAPSULES, OSTEOGAIN CAPSULES, IMMUNGAIN CAPSULES, CALCIGAIN TABLETS, VISIOGAIN CAPSULES, MEMORIL FORTE CAPSULES</t>
  </si>
  <si>
    <t>A7-2451, A7-4411, A7-2450, A7-2448, A7-2449</t>
  </si>
  <si>
    <t>2X15, 2X15, 2X15</t>
  </si>
  <si>
    <t>ALMOND ETHICALS RANGE OF VITAMINS AND SUPPLEMENT PRODUCTS</t>
  </si>
  <si>
    <t> </t>
  </si>
  <si>
    <t>RAMI SIRDIS CAPSULES (MAGNESIUM OXIDE)</t>
  </si>
  <si>
    <t>A7-2447L</t>
  </si>
  <si>
    <t>RAMI SIRDIS MAGNESIUM OXIDE CAPSULES</t>
  </si>
  <si>
    <t>ROBB EXTRA MENTHOL OINTMENT</t>
  </si>
  <si>
    <t>A11-100633</t>
  </si>
  <si>
    <t>23ML</t>
  </si>
  <si>
    <t>45/47 TOWN PLANNING WAY, ILUPEJU INDUSTRIAL ESTATE, ILUPEJU, LAGOS.</t>
  </si>
  <si>
    <t>USE ROBB - EXTRA MENTHOL</t>
  </si>
  <si>
    <t>YORUBA, PIDGIN, HAUSA</t>
  </si>
  <si>
    <t>Robb extra menthol ointment_0001.pdf</t>
  </si>
  <si>
    <t>SARO AGRO SCIENCES LIMITED</t>
  </si>
  <si>
    <t>SNIPER HOTSHOT MULTIPURPOSE INSECT KILLER RADIO SCRIPT</t>
  </si>
  <si>
    <t>YORUBA, HAUSA, PIDGIN</t>
  </si>
  <si>
    <t>Sniper hot shot_0001.pdf</t>
  </si>
  <si>
    <t>SNIPER BEDBUG KILLER LOCALIZED RADIO SCRIPT</t>
  </si>
  <si>
    <t>Sniper bed bug killer_0001.pdf</t>
  </si>
  <si>
    <t>SUDREX EXTRA (PARACETAMOL, IBUPROFEN, CAFFEINE) TABLETS</t>
  </si>
  <si>
    <t>B4-4854</t>
  </si>
  <si>
    <t>10X2</t>
  </si>
  <si>
    <t>TEMPO SCAN AFRICA LIMITED</t>
  </si>
  <si>
    <t>SKY WATER TOWER, NO. 6 OTUNBA YOMI OSHIKOYA DRIVE, OFF MOBOLAJI BANK ANTHONY WAY, IKEJA, LAGOS STATE</t>
  </si>
  <si>
    <t>EFFECTIVE PAIN RELIEF</t>
  </si>
  <si>
    <t>WAVE CREST EAU DE PARFUM</t>
  </si>
  <si>
    <t>A2-105805</t>
  </si>
  <si>
    <t>INTRODUCING - WAVE CREST</t>
  </si>
  <si>
    <t>Wave crest eau de parfum_0001.pdf</t>
  </si>
  <si>
    <t>MASSIMO POUR HOMME EAU DE PARFUM</t>
  </si>
  <si>
    <t>A2-105806</t>
  </si>
  <si>
    <t>FRESH, FLORAL, WOODY MASSIMO</t>
  </si>
  <si>
    <t>FLORDESSY EAU DE PARFUM</t>
  </si>
  <si>
    <t>A2-105935</t>
  </si>
  <si>
    <t>FLORDESSY - THERE IS BEAUTY IN ALL OF US</t>
  </si>
  <si>
    <t>Flordessy eau de parfum_0001.pdf</t>
  </si>
  <si>
    <t>CYBELE RANGE OF PRODUCTS (WAVE CREST, FLORDESSY, MASSIMO POUR HOMMIE, AFRICAN WOOD, SIGNIFICANCE, AND CYBELE BLACK INTENSE)</t>
  </si>
  <si>
    <t>A2-105805, A2-105806, A2-105935, A2-105804, A2-3749, A2-105807</t>
  </si>
  <si>
    <t>BRING BACK MEMORIES FRAGRANCES</t>
  </si>
  <si>
    <t>Cybele Range of products_0001.pdf</t>
  </si>
  <si>
    <t>DETTOL ORIGINAL ANTIBACTERIAL BAR AND DETTOL ANTISEPTIC LIQUID</t>
  </si>
  <si>
    <t>02-3465, 04-2487</t>
  </si>
  <si>
    <t>70G, 250ML</t>
  </si>
  <si>
    <t>12HR PROTECTIVE SHIELD AND PROTECTION THAT WALKS WITH YOU</t>
  </si>
  <si>
    <t>Dettol Original Antibacterial bar_0001.pdf</t>
  </si>
  <si>
    <t>DETTOL ORIGINAL ANTIBACTERIAL BAR</t>
  </si>
  <si>
    <t>70G</t>
  </si>
  <si>
    <t>DETTOL - HARMATTAN HAS NOTHING ON YOU</t>
  </si>
  <si>
    <t>Dettol Original Antiseptic Bar 2_0001.pdf</t>
  </si>
  <si>
    <t>DETTOL 100X COOL ANTIBACTERIAL SOAP</t>
  </si>
  <si>
    <t xml:space="preserve">DETTOL COOL BAR UP TO 5 DEGREE COOLER </t>
  </si>
  <si>
    <t>Detol cool soap 70g_0001.pdf</t>
  </si>
  <si>
    <t>VASELINE BODY LOTION RANGE OF PRODUCTS</t>
  </si>
  <si>
    <t>A2-106032, A2-106035, A2-106036, A2-106034</t>
  </si>
  <si>
    <t>400ML, 400ML, 400ML, 400ML, 400ML</t>
  </si>
  <si>
    <t>1, BILLINGS WAY, OREGUN, IKEJA, LAGOS.</t>
  </si>
  <si>
    <t>VASELINE BODY LOTION - ENRICHED WITH OILS &amp; EXTRACTS PLUS MOISTURISING GLYCERIN</t>
  </si>
  <si>
    <t>PIDGIN, IGBO, HAUSA, YORUBA</t>
  </si>
  <si>
    <t>Vaseline advance repair free body lotion, Vasline alde sothe_0001.pdf</t>
  </si>
  <si>
    <t>GOOD MAMA POWDER DETERGENT (FLORAL BLISS &amp; LEMON BURST)</t>
  </si>
  <si>
    <t>200G, 200G</t>
  </si>
  <si>
    <t>9, OYINKAN ABAYOMI DRIVE, IKOYI, LAGOS.</t>
  </si>
  <si>
    <t>GOOD MAMA - EXPRESS CLEANING, EXTRA FRESH</t>
  </si>
  <si>
    <t>Good mama powder detergent 200g_0001.pdf</t>
  </si>
  <si>
    <t>NIVEA RANGE OF COSMETICS PRODUCTS</t>
  </si>
  <si>
    <t>A2-100249, 02-5407, A2-101409, A2-101230, 02-4308, 02-8748</t>
  </si>
  <si>
    <t>BEIERSDORF NIVEA CONSUMER PRODUCTS NIGERIA LIMITED</t>
  </si>
  <si>
    <t>19, KAFFI STREET, ALAUSA, IKEJA, LAGOS.</t>
  </si>
  <si>
    <t>START TO SCRATCH, START TO WIN, START TO SHINE</t>
  </si>
  <si>
    <t>ADMIN PROMOTIONAL</t>
  </si>
  <si>
    <t>HAUSA, PIDGIN</t>
  </si>
  <si>
    <t>Nivea range of cosmetic products_0001.pdf</t>
  </si>
  <si>
    <t>EUCERIN RANGE OF PRODUCTS</t>
  </si>
  <si>
    <t>A2-103368, A2-103364, A2-103369</t>
  </si>
  <si>
    <t>EVERYDAY SUN PROTECTION TAILORED TO YOUR INDIVIDUAL NEEDS</t>
  </si>
  <si>
    <t>Eucerin range of products_0001.pdf</t>
  </si>
  <si>
    <t>EUCERIN EVEN PIGMENT PERFECTOR DUAL SERUM</t>
  </si>
  <si>
    <t>A2-103362</t>
  </si>
  <si>
    <t>30ML</t>
  </si>
  <si>
    <t>VISIBLY REDUCES DARK MARKS FROM 2 WEEKS</t>
  </si>
  <si>
    <t>Eucerin Even pigment perfector Dual serum_0001.pdf</t>
  </si>
  <si>
    <t>PEPSODENT CHARCOAL WHITENING TOOTHPASTE</t>
  </si>
  <si>
    <t>PEPSODENT NATURAL CHARCOAL WHITER TEETH</t>
  </si>
  <si>
    <t>ENGLISH, IGBO, YORUBA, HAUSA</t>
  </si>
  <si>
    <t>Pepsodent charcoal whitening toothpaste_0001.pdf</t>
  </si>
  <si>
    <t>XOLSTAT TABLETS 10MG (ROSUVASTATIN CALCIUM)</t>
  </si>
  <si>
    <t>B4-6098</t>
  </si>
  <si>
    <t xml:space="preserve">RANBAXY NIGERIA LIMITED </t>
  </si>
  <si>
    <t>24 ABIMBOLA STREET, ILASAMAJA, ISOLO, LAGOS.</t>
  </si>
  <si>
    <t>Rosanna.Iwuala@sunpharma.com</t>
  </si>
  <si>
    <t>0805 639 6595</t>
  </si>
  <si>
    <t>XOLSTAT - SAFEGUARD THEIR TOMORROW FROM CV RISKS</t>
  </si>
  <si>
    <t>22/01/2026</t>
  </si>
  <si>
    <t>January</t>
  </si>
  <si>
    <t>XOLSTAT TABLETS 10MG (2x7).pdf</t>
  </si>
  <si>
    <t>RANFERON-12 TONIC AND CAPSULES</t>
  </si>
  <si>
    <t>04-0511</t>
  </si>
  <si>
    <t>RANFERON-12 - THE BLOOD BUILDER FOR THE FAMILY</t>
  </si>
  <si>
    <t>RANFERON-12 TONIC SYRUP &amp; CAPSULES 200ML.pdf</t>
  </si>
  <si>
    <t>RANOPHAGE OD TABLETS 1G (METFORMIN EXTENDED RELEASE)</t>
  </si>
  <si>
    <t>A4-1454</t>
  </si>
  <si>
    <t>EXTENDED RELEASE METFORMIN ENSURES EXTENDED BENEFITS</t>
  </si>
  <si>
    <t>BACQURE INJECTION 500MG (IMIPENEM &amp; CILASTATIN IV)</t>
  </si>
  <si>
    <t>1X1 VIAL</t>
  </si>
  <si>
    <t>BACQURE - CRITICAL IN CRITICAL CONDITIONS      04-9478</t>
  </si>
  <si>
    <t>BACQURE INJECTION 500MG.pdf</t>
  </si>
  <si>
    <t>CARVALS 80 TABLETS (VALSARTAN 80MG)</t>
  </si>
  <si>
    <t>A4-5000</t>
  </si>
  <si>
    <t>FOR BETTER CARDIOPROTECTION WITH EFFECTIVE BP CONTROL</t>
  </si>
  <si>
    <t>CARVALS 80.pdf</t>
  </si>
  <si>
    <t>CARVALS-AM 5/160MG TABLETS (AMLODIPINE 5MG/VALSARTAN 160MG)</t>
  </si>
  <si>
    <t>B4-3318</t>
  </si>
  <si>
    <t>IN HYPERTENSION MANAGEMENT</t>
  </si>
  <si>
    <t>CARVALS AM.pdf</t>
  </si>
  <si>
    <t>NURONEM INJECTION 500MG (MEROPENEM 1V)</t>
  </si>
  <si>
    <t>A4-3705</t>
  </si>
  <si>
    <t>NURONEM - DELIVERS IN TOUGH TIMES</t>
  </si>
  <si>
    <t>CILENTRA TABLETS 10MG (ESCITALOPRAM)</t>
  </si>
  <si>
    <t>B4-6472</t>
  </si>
  <si>
    <t>CILENTRA - HELP THEM STAY HAPPY</t>
  </si>
  <si>
    <t>CILENTRA TABLET 10MG.pdf</t>
  </si>
  <si>
    <t>CONTIFLO OD CAPSULES 0.4MG (TAMSULOSIN HYDROCHLORIDE EXTENDED RELEASE)</t>
  </si>
  <si>
    <t>04-9467</t>
  </si>
  <si>
    <t>CONTIFLO OD - IN BENIGN PROSTATIC HYPERPLASIA</t>
  </si>
  <si>
    <t>CONTIFLO OD CAPSULES.pdf</t>
  </si>
  <si>
    <t>OFRAMAX S INJECTION 1500MG (CEFTRIAXONE &amp; SULBACTAM)</t>
  </si>
  <si>
    <t>C4-0168</t>
  </si>
  <si>
    <t>OFRAMAX S - THE STRONGER WAY TO TACKLE ESBLs, OVERCOME RESISTANCE, TREAT TOUGH INFECTIONS</t>
  </si>
  <si>
    <t>OFRAMAX S INJECTION 1500MG.pdf</t>
  </si>
  <si>
    <t>VESIZEN TABLETS 5/10MG (SOLIFENACIN SUCCINATE)</t>
  </si>
  <si>
    <t>B4-8259</t>
  </si>
  <si>
    <t>VESIZEN - TO CONTROL URINARY BLADDER TONE</t>
  </si>
  <si>
    <t>VESIZEN TABLETS 5MG.pdf</t>
  </si>
  <si>
    <t>LIRAPYN CAPSULES 50MG (PREGABALIN)</t>
  </si>
  <si>
    <t>B4-4772</t>
  </si>
  <si>
    <t>LIRAPYN - IN DIABETIC PERIPHERAL NEUROPATHY</t>
  </si>
  <si>
    <t>LIRAPYN CAPSULES 50MG.pdf</t>
  </si>
  <si>
    <t>ENHANCIN 625 TABLETS (AMOXICILLIN + CLAVULANIC ACID)</t>
  </si>
  <si>
    <t>04-2105</t>
  </si>
  <si>
    <t>ENHANCIN - ACE AGAINST INFECTIONS</t>
  </si>
  <si>
    <t>ENHANCIN 625 TABLETS.pdf</t>
  </si>
  <si>
    <t>OFRAMAX INJECTION 1G (CEFTRIAXONE SODIUM)</t>
  </si>
  <si>
    <t>04-1930</t>
  </si>
  <si>
    <t>OFRAMAX - MAXIMUM COVERAGE WITH MAXIMUM COMPLIANCE</t>
  </si>
  <si>
    <t>OFRAMAX INJECTION IG.pdf</t>
  </si>
  <si>
    <t xml:space="preserve">FLOTRAL TABLET (ALFUZOSIN HYDROCHLORIDE 10MG MODIFIED RELEASE) </t>
  </si>
  <si>
    <t>A4-1876</t>
  </si>
  <si>
    <t>FLOTRAL - RESTORING FLOW THROUGH BPH TREATMENT</t>
  </si>
  <si>
    <t>FLOTRAL TABLETS.pdf</t>
  </si>
  <si>
    <t>ENCORATE CHRONO TABLETS 300MG (SODIUM VALPROATE &amp; VALPROIC ACID CONTROLLED RELEASE)</t>
  </si>
  <si>
    <t>A4-101449</t>
  </si>
  <si>
    <t>ENCORATE CHRONO - STAY FIT WITHOUT FITS…</t>
  </si>
  <si>
    <t>ENCORATE CHRONO TABLETS.pdf</t>
  </si>
  <si>
    <t>MENTOS FRESH ACTION MEDICATED CANDY WITH GINGER EXTRACT AND HONEY LOZENGES</t>
  </si>
  <si>
    <t>A7-101936</t>
  </si>
  <si>
    <t>102G</t>
  </si>
  <si>
    <t>PERFETTI VAN MELLE NIGERIA LIMITED</t>
  </si>
  <si>
    <t>OLUMO CLOSE, PARKVIEW ESTATE, IKOYI, LAGOS.</t>
  </si>
  <si>
    <t>info@ng.pvmgrp.com</t>
  </si>
  <si>
    <t>SWEET, SPICY, SOOTHING - JUST THE RIGHT BALANCE</t>
  </si>
  <si>
    <t>MENTOS FRESH ACTION MEDICATED CANDY.pdf</t>
  </si>
  <si>
    <t>RULOX SUSPENSION (ANTACID)</t>
  </si>
  <si>
    <t>04-2233</t>
  </si>
  <si>
    <t>SKG PHARMA LIMITED</t>
  </si>
  <si>
    <t>7/9 SAPARA STREET, OFF OBA AKRAN AVENUE IKEJA, LAGOS.</t>
  </si>
  <si>
    <t>0906 160 2268</t>
  </si>
  <si>
    <t>RULOX - VOLCANO</t>
  </si>
  <si>
    <t>HAUSA, ENGLISH, PIDGIN</t>
  </si>
  <si>
    <t>RULOX SUSPENSION 200MG.pdf</t>
  </si>
  <si>
    <t>CO-MAL AND CO-MAL FORTE TABLETS (ARTEMETHER/LUMEFANTRINE)</t>
  </si>
  <si>
    <t>B4-0279, B4-5283</t>
  </si>
  <si>
    <t>CHI PHARMACEUTICAL LIMITED</t>
  </si>
  <si>
    <t>14, CHIVITA AVENUE, APAKUN ESTATE, OSHODI, LAGOS.</t>
  </si>
  <si>
    <t>+234 1 7003000</t>
  </si>
  <si>
    <t>CO-MAL ON - MALARIA GONE</t>
  </si>
  <si>
    <t>CO-MAL TABLET &amp; CO-MAL FORTE TABLETS.pdf</t>
  </si>
  <si>
    <t>CO-MAL TABLETS AND CO-MAL FORTE TABLETS (ARTEMETHER/LUMEFANTRINE)</t>
  </si>
  <si>
    <t>3:31PM</t>
  </si>
  <si>
    <t>PYRANTRIN SUSPENSION AND PYRANTRIN TABLETS (PYRANTEL PAMOATE)</t>
  </si>
  <si>
    <t>04-7510, 04-7511</t>
  </si>
  <si>
    <t>15ML, 25X6</t>
  </si>
  <si>
    <t>NEIMETH INTERNATIONAL PHARMACEUTICALS PLC</t>
  </si>
  <si>
    <t>PLOT 16, AKANNI DOHERTY LAYOUT, BILLINGS WAY, OREGUN, LAGOS.</t>
  </si>
  <si>
    <t>PYRANTRIN - STAY WORM FREE, STAY HEALTHY</t>
  </si>
  <si>
    <t>PYRANTIN SUSPENSION.pdf</t>
  </si>
  <si>
    <t>GAVISCON DOUBLE ACTION LIQUID AND GAVISCON PEPPERMINT LIQUID SACHET (ANTACID)</t>
  </si>
  <si>
    <t>A4-9366, A4-7058</t>
  </si>
  <si>
    <t>150ML, 12X10ML</t>
  </si>
  <si>
    <t>uzo.amatokwu@reckitt.com</t>
  </si>
  <si>
    <t>0817 460 0370</t>
  </si>
  <si>
    <t>GAVISCON SUPERIORITY COPY</t>
  </si>
  <si>
    <t>LOSARTAN 25MG, 50MG, 100MG TABLETS</t>
  </si>
  <si>
    <t>A4-100075, A4-100076, A4-100077</t>
  </si>
  <si>
    <t>1X28</t>
  </si>
  <si>
    <t>WORLDWIDE COMMERCIAL VENTURES LIMITED</t>
  </si>
  <si>
    <t>PLOT A1, BLOCK 9, ILUPEJU INDUSTRIAL ESTATE, ILUPEJU, LAGOS.</t>
  </si>
  <si>
    <t>ayanlami.ronke@wwcvl.com</t>
  </si>
  <si>
    <t>0705 189 0004</t>
  </si>
  <si>
    <t>LOSARTAN - A COMPREHENSIVE OVERVIEW</t>
  </si>
  <si>
    <t>LOSARTAN 25MG,50MG,1OOMG TABLETS.pdf</t>
  </si>
  <si>
    <t>FLUCONAZOLE 50MG, 150MG, 200MG CAPSULES</t>
  </si>
  <si>
    <t>A4-100966, A4-100965, A4-100967</t>
  </si>
  <si>
    <t>1X10, 1X1, 1X10</t>
  </si>
  <si>
    <t>Adenike.ibironke@worldwidehealthcare.com</t>
  </si>
  <si>
    <t>FLUCONAZOLE 50MG, 150MG, 200MG ORAL USE</t>
  </si>
  <si>
    <t>FLUCONAZOLE 50MG,150MG,200MG CAPSULES(1).pdf</t>
  </si>
  <si>
    <t>FLUCONAZOLE - A COMPREHENSIVE OVERVIEW</t>
  </si>
  <si>
    <t>JARDIANCE 10MG &amp; 25MG (EMPAGLIFLOZIN 10MG &amp; 25MG)</t>
  </si>
  <si>
    <t>C4-0225, C4-0226</t>
  </si>
  <si>
    <t>NO. 49, KOFO ABAYOMI STREET, APAPA, LAGOS.</t>
  </si>
  <si>
    <t>0803 322 1004</t>
  </si>
  <si>
    <t>JARDIANCE - MAKE PROTECTION YOUR SUPERPOWER</t>
  </si>
  <si>
    <t>JARDIANCE 10MG &amp; 25MG.pdf</t>
  </si>
  <si>
    <t>MICARDIS 40MG AND MICARDIS 80MG (TELMISARTAN), CO-MICARDIS 40/12.5G (TELMISARTAN 40MG/HYDROCHLOROTHIAZIDE 12.5G)AND CO-MICARDIS 80/12.5G (TELMISARTAN 80MG/HYDROCHLOROTHIAZIDE 12.5G)</t>
  </si>
  <si>
    <t>4X7, 4X7, 4X7, 4X7</t>
  </si>
  <si>
    <t>TELMISARTAN - REDUCE LVH RISK UP TO 37%</t>
  </si>
  <si>
    <t>MICARDIS 40MG.pdf</t>
  </si>
  <si>
    <t>TWYNSTA 40/5 (TELMISARTAN 40MG/AMLODIPINE 5MG), TWYNSTA 40/10 (TELMISARTAN 40MG/AMLODIPINE 10MG), TWYNSTA 80/5 (TELMISARTAN 80MG/AMLODIPINE 5MG), AND TWYNSTA 80/10 (TELMISARTAN 80MG/AMLODIPINE 10MG)</t>
  </si>
  <si>
    <t>A4-7797, A4-7798, A4-7799, A4-7800</t>
  </si>
  <si>
    <t>TWYNSTA 4015.pdf</t>
  </si>
  <si>
    <t xml:space="preserve">COFEX COUGH SYRUP </t>
  </si>
  <si>
    <t>A4-1195</t>
  </si>
  <si>
    <t>COFEX - WHEN COUGH COMES</t>
  </si>
  <si>
    <t>COFEX SYRUP.pdf</t>
  </si>
  <si>
    <t>GAVISCON DOUBLE ACTION LIQUID AND GAVISCON PEPPERMINT LIQUID SUSPENSION (ANTACID)</t>
  </si>
  <si>
    <t>A4-7058, A4-9366</t>
  </si>
  <si>
    <t>200ML, 150ML</t>
  </si>
  <si>
    <t>GAVISCON RAMADAN ASSET</t>
  </si>
  <si>
    <t>RE-VIVE CAPSULE 400MG</t>
  </si>
  <si>
    <t>A7-0448L</t>
  </si>
  <si>
    <t>KEDI HEALTHCARE INDUSTRIES NIGERIA LIMITED</t>
  </si>
  <si>
    <t>4B, AGBEKE ROTINWA CLOSE, OFF HANNAT BALOGUN STREET, DOLPHIN EXTENSION ESTATE, IKOYO, LAGOS STATE</t>
  </si>
  <si>
    <t>customercare@kedihealth.com</t>
  </si>
  <si>
    <t>0903 740 0000</t>
  </si>
  <si>
    <t>IMPROVE YOUR SEX LIFE. RE-VIVE YOUR LOVE &amp; PASSION</t>
  </si>
  <si>
    <t>Herbal</t>
  </si>
  <si>
    <t>RE-VIVE CAPSUL 400MG.pdf</t>
  </si>
  <si>
    <t>KEDI RANGE OF PRODUCTS</t>
  </si>
  <si>
    <t>A7-0444L, A7-0466L, A7-1493L, A7-1288L, A7-1302L, A7-0492L, A7-0448L, A7-2350L</t>
  </si>
  <si>
    <t>WHATEVER YOUR HEALTH NEEDS ARE. THERE IS A KEDI PRODUCT FOR YOU!</t>
  </si>
  <si>
    <t>KEDI RANGE OF PRODUCTS (2H NOS).pdf</t>
  </si>
  <si>
    <t>STAY HEALTHY WITH KEDI PRODUCTS</t>
  </si>
  <si>
    <t>180G</t>
  </si>
  <si>
    <t>0816 880 0004</t>
  </si>
  <si>
    <t>SOKLIN PINK XMAS JINGLE - FEEL THE PINK</t>
  </si>
  <si>
    <t>SOKLIN PINK CONCENTRATED DETERGENT.pdf</t>
  </si>
  <si>
    <t>NEOSKIN ESSENCE-B SOAP AND NEOSKIN ESSENCE-B WHITENING LOTION</t>
  </si>
  <si>
    <t>A2-100711, A2-6642</t>
  </si>
  <si>
    <t>150G, 250ML</t>
  </si>
  <si>
    <t>DARVINKS HEALTHCARE NIGERIA LIMITED</t>
  </si>
  <si>
    <t>NO. 13 HOLLANDIA WAY, AJAO ESTATE, ISOLO, LAGOS.</t>
  </si>
  <si>
    <t>info@elbepharma.com</t>
  </si>
  <si>
    <t>0907 777 7770</t>
  </si>
  <si>
    <t>NEOSKIN - NEW SKIN ALWAYS</t>
  </si>
  <si>
    <t>NEDSKIN ESSENCE-B SOAP &amp; NEOSKIN ESSENCE-B WHITENING LOTION.pdf</t>
  </si>
  <si>
    <t>VISITA ESSENCE-B COMPLEXION BODY CREAM, VISITA ESSENCE-B WHITENING LOTION AND VISITA ESSENCE-B COMPLEXION CARROT SOAP</t>
  </si>
  <si>
    <t>A2-100962, A2-3771, A2-100966</t>
  </si>
  <si>
    <t>VISITA ESSENCE-B - VISIBLE BEAUTY</t>
  </si>
  <si>
    <t>VISITA ESSENCE-B COMPLEXION BODY CREAM, VISITA ESSENCE-B COMPLEXION SOAP CARROT.pdf</t>
  </si>
  <si>
    <t>A2-106032, A2-10635, A2-106036, A2-106034,</t>
  </si>
  <si>
    <t>400ML, 400ML, 400ML, 400ML</t>
  </si>
  <si>
    <t>kesster.chimyenum@unilever.com</t>
  </si>
  <si>
    <t>0803 906 6000</t>
  </si>
  <si>
    <t>VASELINE BODY LOTIONS - ENRICH WITH OILS AND EXTRACTS PLUS MOISTURISING GLYCERIN - CHOOSE THE LOTION THAT GETS YOU</t>
  </si>
  <si>
    <t>VASELINE ADVANCE REPAIR FRANRANCE FREE BODY LOTION.pdf</t>
  </si>
  <si>
    <t>SUPRADYN EFFERVESCENT TABLETS AND SUPRADYN FILM COATED TABLETS</t>
  </si>
  <si>
    <t>A7-5154, A7-4079</t>
  </si>
  <si>
    <t xml:space="preserve">1X30, 1X15 </t>
  </si>
  <si>
    <t>BAYER MIDDLE AFRICA LIMITED</t>
  </si>
  <si>
    <t>NO 20, MOBOLAJI BANK ANTHONY WAY, IKEJA, LAGOS.</t>
  </si>
  <si>
    <t>sefihait.kone@bayer.com</t>
  </si>
  <si>
    <t>0903 886 7145</t>
  </si>
  <si>
    <t>SUPRADYN - KEEPING YOU GOING STRONG (PULL UP BANNER)</t>
  </si>
  <si>
    <t>24/02/2026</t>
  </si>
  <si>
    <t>February</t>
  </si>
  <si>
    <t>Supradyn_0001.pdf</t>
  </si>
  <si>
    <t>SUPRADYN - KEEPING YOU GOING STRONG (SHELF STRIP)</t>
  </si>
  <si>
    <t>SUPRADYN - KEEPING YOU GOING STRONG (SHELF TALKER)</t>
  </si>
  <si>
    <t>SUPRADYN BRANDED PAPER FOR DISPLAY IN PHARMACIES (BACKING PAPER)</t>
  </si>
  <si>
    <t>SUPRADYN - KEEPING YOU GOING STRONG (WASHLINE BANNER)</t>
  </si>
  <si>
    <t>SUPRADYN - KEEPING YOU GOING STRONG (DISPLAY CUBE)</t>
  </si>
  <si>
    <t>SUPRADYN - KEEPING YOU GOING STRONG (POSTERS)</t>
  </si>
  <si>
    <t>SUPRADYN - KEEPING YOU GOING STRONG (COUNTER TOP UNIT)</t>
  </si>
  <si>
    <t>SUPRADYN - KEEPING YOU GOING STRONG</t>
  </si>
  <si>
    <t>DIGITAL DETAILING AID - WEBSITE CONTAINING INFORMATION ON SUPRADYN EFFERVESCENT AND SUPRADYN FILM COATED TABLETS</t>
  </si>
  <si>
    <t>EFAMOL WOMAN PURE EVENING PRIMROSE OIL 500MG</t>
  </si>
  <si>
    <t>A7-4163</t>
  </si>
  <si>
    <t>1X90</t>
  </si>
  <si>
    <t>NEW HEIGHTS PHARMACEUTICALS LIMITED</t>
  </si>
  <si>
    <t>3A, OLAIDE BENSON STREET, MARYLAND, LAGOS.</t>
  </si>
  <si>
    <t>info@newheightpharma.coom</t>
  </si>
  <si>
    <t>0807 479 5886</t>
  </si>
  <si>
    <t>EFAMOL - RADIANCE FROM THE INSIDE OUT</t>
  </si>
  <si>
    <t>Efamol radiance_0001.pdf</t>
  </si>
  <si>
    <t>LYNTEMIN TABLETS (DIHYDROARTEMISININ40MG/PIPERAQUINE PHOSPHATE 320MG)</t>
  </si>
  <si>
    <t>C4-1061</t>
  </si>
  <si>
    <t>LYN-EDGE PHARMACEUTICALS LIMITED</t>
  </si>
  <si>
    <t>BLOCK VIII, PLOT 23, ORCHARD CLOSE, CHEVRON ALTERNATIVE ROAD, LEKKI, LAGOS</t>
  </si>
  <si>
    <t>blessing_lynedge@yahoo.com</t>
  </si>
  <si>
    <t>0803 341 1628</t>
  </si>
  <si>
    <t>HEADS UP! YOU CAN KNOCK THAT MALARIA OUT WITH LYNTEMIN</t>
  </si>
  <si>
    <t>Lyn Edge_0001.pdf</t>
  </si>
  <si>
    <t>SEPTAMAL TABLETS 80/480MG (ARTEMETHER/LUMEFANTRINE)</t>
  </si>
  <si>
    <t>C4-0969</t>
  </si>
  <si>
    <t>SEPAT PHARMACEUTICALS LIMITED</t>
  </si>
  <si>
    <t>SUITE 7, COMMERCE PLAZA, GARKI, ABUJA.</t>
  </si>
  <si>
    <t>sepatpharmaceuticals@gmail.com</t>
  </si>
  <si>
    <t>0809 503 0128</t>
  </si>
  <si>
    <t>SEPTAMAL! BEATING MALARIA, RESTORING HEALTH</t>
  </si>
  <si>
    <t>LYNSUNATE FORTE TABLETS (ARTEMETHER/LUMEFANTRINE)</t>
  </si>
  <si>
    <t>A4-5641</t>
  </si>
  <si>
    <t>1. CHECK THAT MALARIA WITH LYNSUNATE FORTE. 2. WITH LYNSUNATE FORTE - MALARIA OWN DON FINISH.</t>
  </si>
  <si>
    <t>TAVORA TEA</t>
  </si>
  <si>
    <t>A7-103506L</t>
  </si>
  <si>
    <t>TOPMO WELLNESS ENTERPRISE</t>
  </si>
  <si>
    <t>16, ALEKUWODO STREET, IKEJA, LAGOS.</t>
  </si>
  <si>
    <t>TAVORA TEA ONLINE SCRIPT</t>
  </si>
  <si>
    <t>Herbal_0001.pdf</t>
  </si>
  <si>
    <t>BIMYO CAPSULES</t>
  </si>
  <si>
    <t>A7-103508L</t>
  </si>
  <si>
    <t>ONLINE SCRIPT FOR BIMYO CAPSULES</t>
  </si>
  <si>
    <t>DUVERA CAPSULES</t>
  </si>
  <si>
    <t>A7-103507L</t>
  </si>
  <si>
    <t>ONLINE SCRIPT FOR DUVERA CAPSULES</t>
  </si>
  <si>
    <t>ELANO CLEANSER CAPSULES</t>
  </si>
  <si>
    <t>A7-103509L</t>
  </si>
  <si>
    <t>ONLINE SCRIPT FOR ELANO CLEANSER CAPSULES</t>
  </si>
  <si>
    <t>KOZEP DETOX TEA</t>
  </si>
  <si>
    <t>A7-103521L</t>
  </si>
  <si>
    <t>30 TEA BAGS</t>
  </si>
  <si>
    <t>ONLINE SCRIPT FOR KOZEP DETOX TEA</t>
  </si>
  <si>
    <t>VANISO SP CAPSULES</t>
  </si>
  <si>
    <t>A7-103523L</t>
  </si>
  <si>
    <t>VANISO SP CAPSULES ONLINE SCRIPT</t>
  </si>
  <si>
    <t>SAGEIRA HERBAL CAPSULE</t>
  </si>
  <si>
    <t>A7-103524L</t>
  </si>
  <si>
    <t>1, BALOGUN STREET OFF AWOLOWO WAY, IKEJA, LAGOS.</t>
  </si>
  <si>
    <t>destmawellness1234@gmail.com</t>
  </si>
  <si>
    <t>0901 569 5976</t>
  </si>
  <si>
    <t>ONLINE SCRIPT FOR SAGEIRA HERBAL CAPSULE - SAY GOODBYE TO DISCOMFORT</t>
  </si>
  <si>
    <t>YENITA DETOX HERBAL CAPSULE</t>
  </si>
  <si>
    <t>A7-103520L</t>
  </si>
  <si>
    <t>YENITA DETOX HERBAL CAPSULES ONLINE SCRIPT</t>
  </si>
  <si>
    <t>GASCOL ANTACID SUSPENSION SUGAR FREE, GASCOL ANTACID SUSPENSION, GASCOL ANTACID SUSPENSION BANANA FLAVOUR, GASCOL ANTACID SUSPENSION STRAWBERRY FLAVOUR AND GASCOL CHEWABLE TABLET</t>
  </si>
  <si>
    <t>A4-8779, A4-9254, 04-6546, A4-8719, A4-8721</t>
  </si>
  <si>
    <t>150ML, 150ML, 150ML, 150ML, 1X6</t>
  </si>
  <si>
    <t>0807 700 8888</t>
  </si>
  <si>
    <t>FAST RELIEF FROM HEARTBURN AND INDIGESTION</t>
  </si>
  <si>
    <t>ENGLISH, YORUBA, PIDGIN, HAUSA, IGBO</t>
  </si>
  <si>
    <t>Gascol_0001.pdf</t>
  </si>
  <si>
    <t>COMFORT FROM IFTAR TO SAHUR</t>
  </si>
  <si>
    <t>HAUSA, YORUBA, ENGLISH</t>
  </si>
  <si>
    <t>GAVISCON DOUBLE ACTION LIQUID AND GAVISCON PEPPERMINT LIQUID SUSPENSION</t>
  </si>
  <si>
    <t>150ML, 200ML</t>
  </si>
  <si>
    <t>HERITAGE HOUSE, 21 LUGGARD AVENUE, IKOYI, LAGOS</t>
  </si>
  <si>
    <t>Gaviscon_0001.pdf</t>
  </si>
  <si>
    <t>14:37PM</t>
  </si>
  <si>
    <t>GAVISCON</t>
  </si>
  <si>
    <t>1X10 LOZENGES</t>
  </si>
  <si>
    <t>D103, LAGOS LINE ABUBAKAR RIMI MARKET, KANO.</t>
  </si>
  <si>
    <t>0809 843 7975</t>
  </si>
  <si>
    <t>SLIP LOZ LOZENGES - SLEEP LOZENGES</t>
  </si>
  <si>
    <t>Slip loz_0001.pdf</t>
  </si>
  <si>
    <t xml:space="preserve">TRIBACT CREAM </t>
  </si>
  <si>
    <t>A4-3648</t>
  </si>
  <si>
    <t>GENEITH PHARM LTD</t>
  </si>
  <si>
    <t>12, ADEWALE CRESCENT, OSHODI LAGOS</t>
  </si>
  <si>
    <t>info@geneithpharm.com</t>
  </si>
  <si>
    <t>0812 900 8556</t>
  </si>
  <si>
    <t>TRIBACT CREAM….ANTIFUNGAL, ANTIBACTERIAL, ANTI-INFLAMMATORY, ANTI-PRURITIC.</t>
  </si>
  <si>
    <t>Geneith products_0001.pdf</t>
  </si>
  <si>
    <t xml:space="preserve">KETINEAL CREAM </t>
  </si>
  <si>
    <t>B4-8244</t>
  </si>
  <si>
    <t>20G</t>
  </si>
  <si>
    <t>KETINEAL….NOW AVAILABLE IN A NEW LAMI TUBE CONVENIENT PACK</t>
  </si>
  <si>
    <t>MYMIN CAPSULES AND SYRUP</t>
  </si>
  <si>
    <t>B4-8245</t>
  </si>
  <si>
    <t>30G, 2000ML</t>
  </si>
  <si>
    <t>MYMIN…..GROW HEALTHY, AGE GRACEFULLY</t>
  </si>
  <si>
    <t>LEVER AND ROPEM INJECTIONS</t>
  </si>
  <si>
    <t>B4-8246</t>
  </si>
  <si>
    <t>60MG, 120MG</t>
  </si>
  <si>
    <t>LEVER ARTESUNATE INJECTION AND ROPEM INJECTION</t>
  </si>
  <si>
    <t>ROBOMAX GEL</t>
  </si>
  <si>
    <t>B4-3722</t>
  </si>
  <si>
    <t>EFFECTIVE TREATMENT FOR MUSCULAR PAIN &amp; INFLAMMATION</t>
  </si>
  <si>
    <t>CODISIN PLUS TABLET</t>
  </si>
  <si>
    <t>A4-4917</t>
  </si>
  <si>
    <t>1 X 9</t>
  </si>
  <si>
    <t>INTRODUCING CODISIN PLUS TABLETS</t>
  </si>
  <si>
    <t>ASHWAGANDHA DIETRY SUPPLEMENT</t>
  </si>
  <si>
    <t>A7-100909</t>
  </si>
  <si>
    <t>1 X 60</t>
  </si>
  <si>
    <t>JANIS NUTRITION</t>
  </si>
  <si>
    <t>15, RAFIU AJIBADE CLOSE OMOLE PHASE 2, EXTENSION LAGOS</t>
  </si>
  <si>
    <t>janisnutrition@gmail.com</t>
  </si>
  <si>
    <t>0905 022 8890</t>
  </si>
  <si>
    <t>ASHWAGANDHA ….HELPS IN THE MANAGEMENT OF GASTRIC HEALTH</t>
  </si>
  <si>
    <t>Ashwaganda Yastimadu Madhuhara_0001.pdf</t>
  </si>
  <si>
    <t>YASTIMADU DIETRY SUPPLEMENT</t>
  </si>
  <si>
    <t xml:space="preserve"> A7-100910</t>
  </si>
  <si>
    <t>ASHWAGANDHA ….HELPS IN THE MANAGEMENT OF BP</t>
  </si>
  <si>
    <t>MADHUHARA DIETRY SUPPLEMENT</t>
  </si>
  <si>
    <t>ASHWAGANDHA ….HELPS IN THE MANAGEMENT OF A HEALTHY BLOOD SUGAR BALANCE</t>
  </si>
  <si>
    <t>COLGATE MAXIMUM CAVITY PROTECTION GREAT REGULAR FLAVOUR TOOTHPASTE</t>
  </si>
  <si>
    <t>02-8764</t>
  </si>
  <si>
    <t>44, ERIC MOORE SURULERE, LAGOS.</t>
  </si>
  <si>
    <t>WITH COLGATE, NA TO DO YANGA WITH YOUR SMILE</t>
  </si>
  <si>
    <t>Colgate_0001.pdf</t>
  </si>
  <si>
    <t>24HR MAXIMUM CAVITY PROTECTION</t>
  </si>
  <si>
    <t>DETTOL COOL ANTIBACTERIAL BAR</t>
  </si>
  <si>
    <t>02-4311</t>
  </si>
  <si>
    <t>75G</t>
  </si>
  <si>
    <t>DETTOL OWN THE SWEAT CHALLENGE</t>
  </si>
  <si>
    <t>Dettol_0001.pdf</t>
  </si>
  <si>
    <t xml:space="preserve"> SO KLIN RANGE OF DETERGENTS </t>
  </si>
  <si>
    <t>A2-4099, A2-3909, 02-6093</t>
  </si>
  <si>
    <t>170G, 800G</t>
  </si>
  <si>
    <t>EKO SUPREME RESOURCES NIGERIA LTD</t>
  </si>
  <si>
    <t>41, PAYNE CRESCENT APAPA, LAGOS</t>
  </si>
  <si>
    <t xml:space="preserve">SO KLIN CONTENT </t>
  </si>
  <si>
    <t>Klin2_0001.pdf</t>
  </si>
  <si>
    <t>GOOD MAMA POWDER (FLORAL BLISS &amp; LEMON BURST)</t>
  </si>
  <si>
    <t>200G, 20G</t>
  </si>
  <si>
    <t xml:space="preserve">GOOD MAMA CONTENT </t>
  </si>
  <si>
    <t>Good Mama_0001.pdf</t>
  </si>
  <si>
    <t>PEPSODENT CHARCOAL WHITE TOOTHPASTES</t>
  </si>
  <si>
    <t>UNILEVER NIG. PLC</t>
  </si>
  <si>
    <t>1, BILLINGS WAY OREGUN IKEJA LAGOS.</t>
  </si>
  <si>
    <t>PEPSODENT CHARCOAL, NATURAL CHARCOAL,  WHITER TEETH</t>
  </si>
  <si>
    <t>ENGLISH, YORUBA, HAUSA, IGBO</t>
  </si>
  <si>
    <t>Charcoal Radio_0001.pdf</t>
  </si>
  <si>
    <t>HAIR HARMONY RANGE OF PRODUCTS (HAIR MIST, SHAMPOO, LEAVE-IN CONDITIONER, STRENGHTENING OIL, RINSE OUT DEEP CONDITIONER)</t>
  </si>
  <si>
    <t>A2-108092, A2-108088</t>
  </si>
  <si>
    <t>IMPERIO INT'L LTD</t>
  </si>
  <si>
    <t>PLOT 6, AYODELE DIYAN RD IKEJA LAGOS</t>
  </si>
  <si>
    <t>0812 301 8496</t>
  </si>
  <si>
    <t>RADIANT HAIR STARTS WITH HARMONY</t>
  </si>
  <si>
    <t>Hair Harmony_0001.pdf</t>
  </si>
  <si>
    <t>VIVA RANGE OF DETERGENTS</t>
  </si>
  <si>
    <t>A2-103808</t>
  </si>
  <si>
    <t>800G, 1KG</t>
  </si>
  <si>
    <t xml:space="preserve">ASPIRA NIG LTD </t>
  </si>
  <si>
    <t>HADEJIA RD, KANO</t>
  </si>
  <si>
    <t>0909 305 0014</t>
  </si>
  <si>
    <t>TRUE CLEANINES BEGINS WITH CARE….RAMADAN KAREEM, WHERE PURITY MEETS RAMADAN EVENINGS.</t>
  </si>
  <si>
    <t>Others</t>
  </si>
  <si>
    <t>Viva Ramadan 2_0001.pdf</t>
  </si>
  <si>
    <t>GODREJ AER POWER POCKET BATHROOM FRESHERS (BERRY, LUSH, JASMINE FLORAL, LEMON TANGY, LAVENDER BLOOM, ROSE FRESH &amp; SEA BREEZE)</t>
  </si>
  <si>
    <t>A2-101298, A2-101301, A2-101297</t>
  </si>
  <si>
    <t>10G</t>
  </si>
  <si>
    <t>PLOT 2A AYODELE DIYAN STREET, IKEJA LAGOS</t>
  </si>
  <si>
    <t>grace.iyiola@godrejcp.com</t>
  </si>
  <si>
    <t>BYE BYE BAD SMELL, HELLO SWEET FRAGRANCE</t>
  </si>
  <si>
    <t>AER lemon Power pocket_0001.pdf</t>
  </si>
  <si>
    <t>CLOSEUP COMPLETE FRESH FORMULA TOOTHPASTE</t>
  </si>
  <si>
    <t>A2-5334</t>
  </si>
  <si>
    <t>1 BILLINGS WAY, OREGUN, LAGOS.</t>
  </si>
  <si>
    <t>803 906 6000</t>
  </si>
  <si>
    <t>CLOSEP - BLUE IVY</t>
  </si>
  <si>
    <t>Close up_0001.pdf</t>
  </si>
  <si>
    <t>SOKLIN - IT'S YOUR TIME TO SHINE</t>
  </si>
  <si>
    <t>Klin_0001.pdf</t>
  </si>
  <si>
    <t>VIVA PLUS DETERGENT POWDER AND VIVA PLUS HAND WASHING LIQUID DETERGENT (ORIGINAL)</t>
  </si>
  <si>
    <t>A2-1064, A2-108042</t>
  </si>
  <si>
    <t>200G, 1L</t>
  </si>
  <si>
    <t>KM 8, HADEJIA ROAD, KANO STATE.</t>
  </si>
  <si>
    <t xml:space="preserve">RAMADAN CREATIVES OF VIVA CAMPAIGN </t>
  </si>
  <si>
    <t>ENGLISH, YORUBA, HAUSA</t>
  </si>
  <si>
    <t>Viva Ramadan_0001.pdf</t>
  </si>
  <si>
    <t xml:space="preserve">ASPIRA NIGERIA LIMITED </t>
  </si>
  <si>
    <t>JARDIANCE 10MG TABLET</t>
  </si>
  <si>
    <t>C4-0225</t>
  </si>
  <si>
    <t>10MG</t>
  </si>
  <si>
    <t>NO. 49, KOFO ABAYOMI STREET, APAPA, LAGOS STATE.</t>
  </si>
  <si>
    <t>DEMONSTRATE BENEFITS 4 OOF SGLT2 INHIBITORS IN CV RISKS ACROSS</t>
  </si>
  <si>
    <t>26/3/2026</t>
  </si>
  <si>
    <t>March</t>
  </si>
  <si>
    <t>JARDIANCE 10MG</t>
  </si>
  <si>
    <t>JARDIANCE 25MG TABLET</t>
  </si>
  <si>
    <t>C4-0226</t>
  </si>
  <si>
    <t>25MG</t>
  </si>
  <si>
    <t>JARDIANCE 25MG</t>
  </si>
  <si>
    <r>
      <rPr>
        <b/>
        <sz val="11"/>
        <color rgb="FF000000"/>
        <rFont val="Times New Roman"/>
        <family val="1"/>
      </rPr>
      <t>L</t>
    </r>
    <r>
      <rPr>
        <b/>
        <sz val="8"/>
        <color rgb="FF000000"/>
        <rFont val="Times New Roman"/>
        <family val="1"/>
      </rPr>
      <t>UREZA TEA</t>
    </r>
  </si>
  <si>
    <t>A7-103571L</t>
  </si>
  <si>
    <t>20 TEA BAGS</t>
  </si>
  <si>
    <t>16, ALEKUWODOO STREET.</t>
  </si>
  <si>
    <t>LUREZA TEA – Supporting digestive wellness naturally</t>
  </si>
  <si>
    <t>LUREZA</t>
  </si>
  <si>
    <t xml:space="preserve">LORIVEN TEA </t>
  </si>
  <si>
    <t>A7-103572L</t>
  </si>
  <si>
    <t>LORIVEN TEA – Supporting healthy vision</t>
  </si>
  <si>
    <t>LORIVEN</t>
  </si>
  <si>
    <t>KONICE HERBAL CAPSULE</t>
  </si>
  <si>
    <t xml:space="preserve">A7-103566L, </t>
  </si>
  <si>
    <t>1, balogun street off awolowo way, LAGOS, Ikeja, LAGOS</t>
  </si>
  <si>
    <t>0806 261 0092</t>
  </si>
  <si>
    <t>KONICE HERBAL CAPSULE supporting male reproductive wellness naturally.</t>
  </si>
  <si>
    <t>MARCH</t>
  </si>
  <si>
    <t>KONICE</t>
  </si>
  <si>
    <t>FLORIMA HERBAL CAPSULE</t>
  </si>
  <si>
    <t>A7-103584L</t>
  </si>
  <si>
    <t>FLORIMA – Naturally supporting your eye health</t>
  </si>
  <si>
    <t>FLORIMA</t>
  </si>
  <si>
    <t xml:space="preserve">VELINA HERBAL CAPSULE </t>
  </si>
  <si>
    <t>A7-103583L</t>
  </si>
  <si>
    <t xml:space="preserve">1X30 CAPSULES	</t>
  </si>
  <si>
    <t>Velina Herbal Capsules — supporting immunity and helping your body fight viral infections, naturally</t>
  </si>
  <si>
    <t>VELINA</t>
  </si>
  <si>
    <t xml:space="preserve"> C4-0225</t>
  </si>
  <si>
    <t>3*10</t>
  </si>
  <si>
    <t>FENSYL MHP CONSULTING LIMITED,</t>
  </si>
  <si>
    <t>16, ALEKUWODOO STREET</t>
  </si>
  <si>
    <t xml:space="preserve">Early intervention is key for your patients
</t>
  </si>
  <si>
    <t>1 YEAR</t>
  </si>
  <si>
    <t>DRUG</t>
  </si>
  <si>
    <t>Early intervention is key for your patients</t>
  </si>
  <si>
    <t xml:space="preserve">DRUG </t>
  </si>
  <si>
    <t xml:space="preserve"> 16, ALEKUWODOO STREET</t>
  </si>
  <si>
    <t>DRUGS</t>
  </si>
  <si>
    <t>GOOD KNIGHT POWER ACTIV+ ELECTRIC LIQUID MOSQUITO REPELLENT</t>
  </si>
  <si>
    <t>A5-2072</t>
  </si>
  <si>
    <t>45ml</t>
  </si>
  <si>
    <t>PLOT 2A, AYODELE DIYAN, STREET, IKEJA</t>
  </si>
  <si>
    <t xml:space="preserve">1.SPRAY INSIDE ,STAY INSIDE  
</t>
  </si>
  <si>
    <t>GOOD KNIGHT</t>
  </si>
  <si>
    <t>1.SPRAY INSIDE ,STAY INSIDE</t>
  </si>
  <si>
    <t xml:space="preserve">GoodKnight Powershot </t>
  </si>
  <si>
    <t>A5-2231</t>
  </si>
  <si>
    <t>120ml</t>
  </si>
  <si>
    <t xml:space="preserve"> 2.A CALM AND PEACEFUL SLEEP
</t>
  </si>
  <si>
    <t>2 Years</t>
  </si>
  <si>
    <t>GOODKNIGHT POWERSHOT</t>
  </si>
  <si>
    <t>2.A CALM AND PEACEFUL SLEEP</t>
  </si>
  <si>
    <t xml:space="preserve">NOCOGIN EXTRA CAPLETS </t>
  </si>
  <si>
    <t>B4-0419</t>
  </si>
  <si>
    <t>2 x 10</t>
  </si>
  <si>
    <t>KCH CONSUMER HEALTHCARE LIMITED.</t>
  </si>
  <si>
    <t>PLOT 49, ORANGE DRIVE CROWN ESTATE, LEKKI, LAGOS.</t>
  </si>
  <si>
    <t>kchconsumer@gmail.com</t>
  </si>
  <si>
    <t>0803 231 7925</t>
  </si>
  <si>
    <t xml:space="preserve">Recommended for fast and effective relief from Headache, Pain, Aches, Cold &amp; Fever
</t>
  </si>
  <si>
    <t>NOCOGIN</t>
  </si>
  <si>
    <t xml:space="preserve">Diclomol Gel	</t>
  </si>
  <si>
    <t>A4-5409</t>
  </si>
  <si>
    <t>THERAPEUTIC LAB. (NIGERIA) LIMITED</t>
  </si>
  <si>
    <t xml:space="preserve">372, Ikorodu Road, Maryland, Lagos,	</t>
  </si>
  <si>
    <t>therapeuticlab@yahoo.com</t>
  </si>
  <si>
    <t>0701 864 3272, 0701 348 5526</t>
  </si>
  <si>
    <t xml:space="preserve">KNOCKS OUT MUSCULAR &amp; JOINT PAINS
</t>
  </si>
  <si>
    <t>DICLOMOL GEL</t>
  </si>
  <si>
    <t>372, Ikorodu Road, Maryland, Lagos</t>
  </si>
  <si>
    <t>KNOCKS OUT MUSCULAR &amp; JOINT PAINS</t>
  </si>
  <si>
    <t>IMMUNECARE VITAMIN C 1000MG</t>
  </si>
  <si>
    <t>B4-6902</t>
  </si>
  <si>
    <t>1X20</t>
  </si>
  <si>
    <t xml:space="preserve">BIOFEM SPECIALTIES LIMITED.
</t>
  </si>
  <si>
    <t>OLORUNNIMBE STREET WEMABOD ESTATE IKEJA LAGOS</t>
  </si>
  <si>
    <t xml:space="preserve">biofem@biofemgroup.com	</t>
  </si>
  <si>
    <t>0805 924 6336</t>
  </si>
  <si>
    <t>WHY VITAMIN C 1000MG 1. BOOST IMMUNITY: HELPS S STRENGTHEN THE BODY'S NATURAL DEFENCE SYSTEM 2. FIGHTS FATIGUE: SUPPORTS ENERGY AND REDUCES TIREDNESS 3. POWERFUL ANTIOXIDANT: PROTECTS CELLS FROM OXIDATIVE STRESS 4. SUPPORTS SKIN HEALTH: AIDS COLLAGEN FORMATION FOR HEALTHY SKIN 5. FAST RECOVERY: HELPS THE BODY RECOVER FASTER FROM ILLNESS</t>
  </si>
  <si>
    <t>IMMUNECARE</t>
  </si>
  <si>
    <t>BIOFEM SPECIALTIES LIMITED.</t>
  </si>
  <si>
    <t>biofem@biofemgroup.com</t>
  </si>
  <si>
    <t>Medik 55 tablet</t>
  </si>
  <si>
    <t>04-1234</t>
  </si>
  <si>
    <t>10*2</t>
  </si>
  <si>
    <t>ORANGE KALBE LTD</t>
  </si>
  <si>
    <t xml:space="preserve"> TOWN PLANNING, ILUPEJU. LAGOS LAGOS</t>
  </si>
  <si>
    <t>orangekalbenigeria@gmail.com</t>
  </si>
  <si>
    <t>0706 408 9351</t>
  </si>
  <si>
    <t>Trusted fast relief from Headache</t>
  </si>
  <si>
    <t>MEDIK 55</t>
  </si>
  <si>
    <t>2:28PM</t>
  </si>
  <si>
    <t>Lush Hair Ultra-Nourishing Hair Food</t>
  </si>
  <si>
    <t>A2-105170</t>
  </si>
  <si>
    <t xml:space="preserve">250ML,500ML,15g	</t>
  </si>
  <si>
    <t>LUCKY FIBRES LTD</t>
  </si>
  <si>
    <t>Km 5, Itokin Road, Itamope, Ikorodu</t>
  </si>
  <si>
    <t>info@nobleafrica.com</t>
  </si>
  <si>
    <t>0803 528 1460</t>
  </si>
  <si>
    <t>Introducing Lush Hair Food Range. Live the Soft Life</t>
  </si>
  <si>
    <t>COSMETICS</t>
  </si>
  <si>
    <t>LUSH HAIR</t>
  </si>
  <si>
    <t>Lush Hair Anti-Dandruff Treatment</t>
  </si>
  <si>
    <t>A2-105171</t>
  </si>
  <si>
    <t>Lush Hair Mentholated Hair &amp; Scalp Treatment</t>
  </si>
  <si>
    <t>A2-105173</t>
  </si>
  <si>
    <t xml:space="preserve">Lush Hair Indian Herbs Hair Growth Treatment	</t>
  </si>
  <si>
    <t>A2-105172</t>
  </si>
  <si>
    <t>NOVEX ULTRA CLEAN TOILET CLEANER</t>
  </si>
  <si>
    <t>A2-102083L</t>
  </si>
  <si>
    <t>800ML</t>
  </si>
  <si>
    <t>GIVANAS COSMETICS NIGERIA LIMITED</t>
  </si>
  <si>
    <t>PLOT C 49 AMUWO ODOFIN COMMERCIAL SCHEME AMUWO ODOFIN</t>
  </si>
  <si>
    <t>cosmeticsgiv17@yahoo.com</t>
  </si>
  <si>
    <t xml:space="preserve">A friend was impressed with the change in the her friends house on her visit because of the use of Novex Toilet cleaner -clean home, happy pocket
</t>
  </si>
  <si>
    <t>NOVEX</t>
  </si>
  <si>
    <t>A friend was impressed with the change in the her friends house on her visit because of the use of Novex Toilet cleaner -clean home, happy pocket</t>
  </si>
  <si>
    <t>STIMUNO FORTE CAPSULES</t>
  </si>
  <si>
    <t>A7-0761L</t>
  </si>
  <si>
    <t>10x1x10,5x3x10CAPSULES</t>
  </si>
  <si>
    <t>GLORIOUS DEXA MANDAYA LIMITED</t>
  </si>
  <si>
    <t xml:space="preserve">NIS BUILDING, PLOT B, BLOCK H, ELEPHANT CEMENT WAY CBD, IKEJA IKEJA LAGOS
</t>
  </si>
  <si>
    <t xml:space="preserve">gloriousdexamandayaltd@gmail.com	</t>
  </si>
  <si>
    <t xml:space="preserve">Smart immunity for the whole family
</t>
  </si>
  <si>
    <t>STIMUNO FORTE</t>
  </si>
  <si>
    <t xml:space="preserve">KARNVINA DETOX TEA </t>
  </si>
  <si>
    <t>A7-103619L</t>
  </si>
  <si>
    <t>16, ALEKUWODO STREET</t>
  </si>
  <si>
    <t xml:space="preserve">KARNVINA DETOX TEA- Supports the body’s natural cleansing process
</t>
  </si>
  <si>
    <t>KARNVINA</t>
  </si>
  <si>
    <t xml:space="preserve">WELLROZE CAPSULES </t>
  </si>
  <si>
    <t>B4-8042</t>
  </si>
  <si>
    <t>2X15,3X10,1X7,1X5,1X10</t>
  </si>
  <si>
    <t>BLOCK VIII, PLOT 23, ORCHARD CLOSE, CHEVRON ALTERNATIVE ROAD, LEKKI LAGOS STATE</t>
  </si>
  <si>
    <t>Ramadan MUBARAK</t>
  </si>
  <si>
    <t>WELLROZE</t>
  </si>
  <si>
    <t>CUSSONS MORNING FRESH SCOURING POWDER</t>
  </si>
  <si>
    <t>02-1677</t>
  </si>
  <si>
    <t>500G</t>
  </si>
  <si>
    <t>TOWN PLANNING WAY ILUPEJU LAGOS</t>
  </si>
  <si>
    <t>udoka.adegor@pzcussons.com</t>
  </si>
  <si>
    <t>0903 779 4741</t>
  </si>
  <si>
    <t>MEET THE NEW WAY TO SHINE</t>
  </si>
  <si>
    <t>Cosmetics</t>
  </si>
  <si>
    <t>PZ CUSSONS</t>
  </si>
  <si>
    <t>Boscold Tablets</t>
  </si>
  <si>
    <t>A11-100710</t>
  </si>
  <si>
    <t>1x4</t>
  </si>
  <si>
    <t xml:space="preserve"> PLOT 49, ORANGE DRIVE CROWN ESTATE, LEKKI, LAGOS, , LAGOS PLOT 49, ORANGE DRIVE CROWN ESTATE, LEKKI, LAGOS, , LAGOS</t>
  </si>
  <si>
    <t>For the treatment of cold and flu symptoms</t>
  </si>
  <si>
    <t>BOSCOLD</t>
  </si>
  <si>
    <t xml:space="preserve"> PLOT 49, ORANGE DRIVE CROWN ESTATE, LEKKI, LAGOS, , LAGOS</t>
  </si>
  <si>
    <t>2:18PM</t>
  </si>
  <si>
    <t>17/07/206</t>
  </si>
  <si>
    <t xml:space="preserve">NOCOGIN CAPLETS </t>
  </si>
  <si>
    <t xml:space="preserve"> A11-100709</t>
  </si>
  <si>
    <t>10x10Caplets</t>
  </si>
  <si>
    <t>For the treatment of mild pain and the prevention or relief of fever</t>
  </si>
  <si>
    <t>NICOGIN CAPLETS</t>
  </si>
  <si>
    <t>M &amp; B Isopropyl Alcohol</t>
  </si>
  <si>
    <t xml:space="preserve"> A11-100581</t>
  </si>
  <si>
    <t>MAY &amp; BAKER NIGERIA PLC</t>
  </si>
  <si>
    <t>3/5, SAPARA STREET. IND ESTATE, IKEJA</t>
  </si>
  <si>
    <t>info@may-baker.com</t>
  </si>
  <si>
    <t>0811 368 1447</t>
  </si>
  <si>
    <t>DISINFECT WITH M&amp;B ISOPROPYL ALCOHOL</t>
  </si>
  <si>
    <t>M&amp;B ISOPROPYL ALCOHOL</t>
  </si>
  <si>
    <t>NEUROGESIC GREASELESS OINTMENT</t>
  </si>
  <si>
    <t>04-1828</t>
  </si>
  <si>
    <t>35g,85g</t>
  </si>
  <si>
    <t>DRUGFIELD PHARMACEUTICALS LIMITED.</t>
  </si>
  <si>
    <t>LYNSON CHEMICAL AVENUE, KM 38 LAGOS-ABEOKUTA EXPRESSWAY, SANGO-OTA,OGUN STATE</t>
  </si>
  <si>
    <t>info@drugfieldpharma.com</t>
  </si>
  <si>
    <t>0803 351 3989</t>
  </si>
  <si>
    <t xml:space="preserve">STOP THAT PAIN
</t>
  </si>
  <si>
    <t>NEUROGESIC</t>
  </si>
  <si>
    <t>NEUROGESIC EXTRA OINTMENT</t>
  </si>
  <si>
    <t>A4-0708</t>
  </si>
  <si>
    <t>NEO PRESOL LOTION</t>
  </si>
  <si>
    <t>04-2017</t>
  </si>
  <si>
    <t>25ML</t>
  </si>
  <si>
    <t>For After Shave and Acne (Pimples)</t>
  </si>
  <si>
    <t>NEO PRESOL</t>
  </si>
  <si>
    <t>ENGLSH</t>
  </si>
  <si>
    <t>DRUGFIELD PHARMACEUTICALS LIMITED.DRUGFIELD PHARMACEUTICALS LIMITED.</t>
  </si>
  <si>
    <t>VENTOLIN 100MCG INHALER</t>
  </si>
  <si>
    <t>04-0519</t>
  </si>
  <si>
    <t>1 x 200 Metered Doses</t>
  </si>
  <si>
    <t>NO. 49, KOFO ABAYOMI STREET, LAGOS</t>
  </si>
  <si>
    <t>08033221004;08099993487</t>
  </si>
  <si>
    <t>The role of SABA relievers in asthma management (PM-NG-SLB-EML-260001), The Role of SABA in Today’s Asthma Care (PM-NG-SLB-EML-260002), What is Behind 50 Years of Proven Safety? (PM-NG-SLB-EML-260003)</t>
  </si>
  <si>
    <t>VENTOLIN</t>
  </si>
  <si>
    <t xml:space="preserve">Good Knight Multi Insect Spray </t>
  </si>
  <si>
    <t>300ml,700ml</t>
  </si>
  <si>
    <t xml:space="preserve">PROTECTION FROM MOSQUITOES THAT CAUSE MALARIA
</t>
  </si>
  <si>
    <t xml:space="preserve">GOOD KNIGHT MULTI INSECT KILLER - LEMON FRAGRANCE </t>
  </si>
  <si>
    <t>PROTECTION FROM MOSQUITOES THAT CAUSE MALARI</t>
  </si>
  <si>
    <t>CIPROZERA 500 CAPLET</t>
  </si>
  <si>
    <t>A4-7780</t>
  </si>
  <si>
    <t>1x10</t>
  </si>
  <si>
    <t>PLOT 49, ORANGE DRIVE CROWN ESTATE, LEKKI, LAGOS, , LAGOS</t>
  </si>
  <si>
    <t>For the treatment of different types of bacterial infection, including exposure to anthrax or certain types of plague</t>
  </si>
  <si>
    <t>CIPROZERA</t>
  </si>
  <si>
    <t>ALFABERRY VITAMIN E 1000IU SOFTGEL</t>
  </si>
  <si>
    <t>A7-100063</t>
  </si>
  <si>
    <t>SKYVILLE MULTI CARE LTD</t>
  </si>
  <si>
    <t>50 EZE GBAKA GBAKA AVENUE WOJI PHC</t>
  </si>
  <si>
    <t>skyvillemulticare@yahoo.com</t>
  </si>
  <si>
    <t>0803 588 1905 , 0815 127 7446</t>
  </si>
  <si>
    <t>ALFABERRY VITAMIN E 1000 IU</t>
  </si>
  <si>
    <t>ALFABERRY</t>
  </si>
  <si>
    <t>1  Year</t>
  </si>
  <si>
    <t>NO. 49, KOFO ABAYOMI STREET, APAPA NULL NULL, LAGOS</t>
  </si>
  <si>
    <t>CKD Guidelines at a Glance</t>
  </si>
  <si>
    <t>FAST TRACK</t>
  </si>
  <si>
    <t>JARDIANCE 10MG, 25MG.</t>
  </si>
  <si>
    <t xml:space="preserve">Pepsodent triple protection 123 complete </t>
  </si>
  <si>
    <t>02-8608</t>
  </si>
  <si>
    <t>130G,40G,35G,175G</t>
  </si>
  <si>
    <t>BILLINGSWAY OREGUN, IKEJA LAGOS LAGOS</t>
  </si>
  <si>
    <t>Pepsodent</t>
  </si>
  <si>
    <t xml:space="preserve">Pepsodent Natural Charcoal Whitening </t>
  </si>
  <si>
    <t>communications.ng@unilever.com</t>
  </si>
  <si>
    <t xml:space="preserve">Happy Ramadan from Pepsodent
</t>
  </si>
  <si>
    <t>ENGLISH, HAUSA, YORUBA</t>
  </si>
  <si>
    <t>PEPSODENT</t>
  </si>
  <si>
    <t>Happy Ramadan from Pepsodent</t>
  </si>
  <si>
    <t xml:space="preserve">Viva Plus Dishwashing Liquid Antibacterial (5x Power) </t>
  </si>
  <si>
    <t>A2-6043</t>
  </si>
  <si>
    <t>1000, 600, 300</t>
  </si>
  <si>
    <t>HADEJIA ROAD, TOKARAWA KANO KANO</t>
  </si>
  <si>
    <t>RAMADAN KAREEM</t>
  </si>
  <si>
    <t>1 Year</t>
  </si>
  <si>
    <t>Viva Plus Dishwashing Liquid Antibacterial (5x Power)</t>
  </si>
  <si>
    <t>VIVA PLUS DETERGENT POWDER</t>
  </si>
  <si>
    <t>A2-1064</t>
  </si>
  <si>
    <t>Closeup Triple Fresh Formula</t>
  </si>
  <si>
    <t xml:space="preserve"> 02-7346</t>
  </si>
  <si>
    <t>140G,10G,40G,190G,90G,130G, 8.5G,35G,175G</t>
  </si>
  <si>
    <t>KESSTER.CHIMYENUM@UNILEVER.COM</t>
  </si>
  <si>
    <t>CLoseup</t>
  </si>
  <si>
    <t>HAUSA, IGBO, PIDGIN, YORUBA</t>
  </si>
  <si>
    <t>CLOSE UP TRIPLE</t>
  </si>
  <si>
    <t xml:space="preserve">CUSSONS MORNING FRESH SCOURING POWDER </t>
  </si>
  <si>
    <t xml:space="preserve"> TOWN PLANNING WAY ILUPEJU LAGOS</t>
  </si>
  <si>
    <t xml:space="preserve">SHINE NO BE STRUGGLE
</t>
  </si>
  <si>
    <t xml:space="preserve">Pidgin	</t>
  </si>
  <si>
    <t>MORNING FRESH</t>
  </si>
  <si>
    <t>SHINE NO BE STRUGGLE</t>
  </si>
  <si>
    <t>Pidgin</t>
  </si>
  <si>
    <t xml:space="preserve">NIVEA PERFECT &amp; RADIANT BODY LOTION </t>
  </si>
  <si>
    <t>400ML,250ML,100ML</t>
  </si>
  <si>
    <t>BEIERSDORF NIVEA CONSUMERS PRODUCTS NIGERIA LIMITED</t>
  </si>
  <si>
    <t>19, Kaffi Street, Alausa, Ikeja Lagos.</t>
  </si>
  <si>
    <t>taiwo.oteju@beiersdorf.com</t>
  </si>
  <si>
    <t>Win Your Share of 3 Billion</t>
  </si>
  <si>
    <t>15 WEEKS</t>
  </si>
  <si>
    <t>NIVEA LOTION</t>
  </si>
  <si>
    <t>NIVEA MEN DEEP LOTION</t>
  </si>
  <si>
    <t>A2-100249</t>
  </si>
  <si>
    <t>400ml</t>
  </si>
  <si>
    <t>Luis.munoz@beiersdorf.comv</t>
  </si>
  <si>
    <t>Luis.munoz@beiersdorf.com</t>
  </si>
  <si>
    <t xml:space="preserve">Nivea Radiant &amp; Beauty Even glow Body Lotion  </t>
  </si>
  <si>
    <t>A2-101230</t>
  </si>
  <si>
    <t>400ml,250ml</t>
  </si>
  <si>
    <t xml:space="preserve">Nivea Radiant &amp; Beauty Even glow Body Lotion </t>
  </si>
  <si>
    <t>ttaiwo.oteju@beiersdorf.com</t>
  </si>
  <si>
    <t>Nivea Radiant &amp; Beauty Advanced Care Body Lotion</t>
  </si>
  <si>
    <t xml:space="preserve">Nivea Radiant &amp; Beauty Advanced Care Body Lotion </t>
  </si>
  <si>
    <t xml:space="preserve">Nivea Rich Nourishing Body Lotion </t>
  </si>
  <si>
    <t>02-4308</t>
  </si>
  <si>
    <t>400ML,100ML,250ml</t>
  </si>
  <si>
    <t>Nivea Rich Nourishing Body Lotion</t>
  </si>
  <si>
    <t xml:space="preserve">NIVEA BODY LOTION NOURISHING COCOA </t>
  </si>
  <si>
    <t>Nivea Men Deep Lotion</t>
  </si>
  <si>
    <t>luis.munoz@beiersdorf.com</t>
  </si>
  <si>
    <t>NIVEA LOTION2</t>
  </si>
  <si>
    <t>Nivea Radiant &amp; Beauty Even glow Body Lotion</t>
  </si>
  <si>
    <t xml:space="preserve"> A2-101230</t>
  </si>
  <si>
    <t xml:space="preserve">Nivea Body Lotion Nourishing Cocoa </t>
  </si>
  <si>
    <t xml:space="preserve">NIVEA RICH NOURISHING BODY LOTION </t>
  </si>
  <si>
    <t>TETMOSOL MEDICATED CREAM</t>
  </si>
  <si>
    <t>A11-1274</t>
  </si>
  <si>
    <t>15g,30g</t>
  </si>
  <si>
    <t>AGAL CLOSE, OGERUN IKEJA LAGOS LAGOS</t>
  </si>
  <si>
    <t>info@helloproductsafrica.com</t>
  </si>
  <si>
    <t>PROTECTION FROM GERMS, IT WORKS</t>
  </si>
  <si>
    <t>TETMOSOL</t>
  </si>
  <si>
    <t>TETMOSOL PROTECT PLUS ANTISEPTIC DISINFECTANT</t>
  </si>
  <si>
    <t xml:space="preserve">A11-0143	</t>
  </si>
  <si>
    <t xml:space="preserve">50,70,140,165,240,250,500,750,1000,2000,5000,1L, 1.2L	</t>
  </si>
  <si>
    <t>TETMOSOL MEDICATED SOAP CITRONELLA</t>
  </si>
  <si>
    <t>02-4225</t>
  </si>
  <si>
    <t>75,120,25</t>
  </si>
  <si>
    <t>Tydiclear Cream</t>
  </si>
  <si>
    <t>B4-3821</t>
  </si>
  <si>
    <t>3/5SAPARASTREET,IKEJA,IKEJA,LAGOS</t>
  </si>
  <si>
    <t>osworthnigeria@yahoo.com</t>
  </si>
  <si>
    <t>0709 800 5296, 0808 718 9930</t>
  </si>
  <si>
    <t>CLEAR INFLAMMATORY &amp; ALLERGIC SKIN PROBLEMS</t>
  </si>
  <si>
    <t>2  Years</t>
  </si>
  <si>
    <t>TYDICLEAR</t>
  </si>
  <si>
    <t>Anofast Gel</t>
  </si>
  <si>
    <t>A4-100318</t>
  </si>
  <si>
    <t>30g</t>
  </si>
  <si>
    <t xml:space="preserve">ONE SOLUTION TO VARIOUS PAIN CONDITION
</t>
  </si>
  <si>
    <t>ANOFAST</t>
  </si>
  <si>
    <t>ONE SOLUTION TO VARIOUS PAIN CONDITION</t>
  </si>
  <si>
    <t>Tydibact Plus Cream</t>
  </si>
  <si>
    <t>B4-3822</t>
  </si>
  <si>
    <t>30G;5G</t>
  </si>
  <si>
    <t>YOUR HANDY REMEDY FOR SKIN DISEASES</t>
  </si>
  <si>
    <t>TYDIBACT</t>
  </si>
  <si>
    <t>OUT OF HOME</t>
  </si>
  <si>
    <t>Tydisil Cream</t>
  </si>
  <si>
    <t>A4-9291</t>
  </si>
  <si>
    <t xml:space="preserve">20g,5g	</t>
  </si>
  <si>
    <t>FOR FUNGAL SKIN INFECTIONS? KNOCK THEM OUT WITH TYDISIL.</t>
  </si>
  <si>
    <t>26/03/2026</t>
  </si>
  <si>
    <t>TYDISIL</t>
  </si>
  <si>
    <t>TYDIISIL</t>
  </si>
  <si>
    <t>Tydineal Cream</t>
  </si>
  <si>
    <t>A4-9674</t>
  </si>
  <si>
    <t>YOUR CHOICE FOR EFFECTIVE RESOLUTION OF SKIN DISEASES</t>
  </si>
  <si>
    <t>TYDINEAL</t>
  </si>
  <si>
    <t>BIOHARB VETRA CAPSULES</t>
  </si>
  <si>
    <t>A7-103670L</t>
  </si>
  <si>
    <t>BIOHARB GLOBAL LIMITED</t>
  </si>
  <si>
    <t>BUSYMART PLAZA, EBITU UKIWE STREET, JABI ABUJA, JABI/ABUJA, AMAC, FCT</t>
  </si>
  <si>
    <t>BIOHARB VETRA  CAPSULES - NATURAL SUPPORT FOR YOUR VISION</t>
  </si>
  <si>
    <t>28/4/2026</t>
  </si>
  <si>
    <t>April</t>
  </si>
  <si>
    <t>BIOHARB VETRA CAPSULES.pdf</t>
  </si>
  <si>
    <t>LORIVEN HERBAL CAPSULE</t>
  </si>
  <si>
    <t>A7-103582L</t>
  </si>
  <si>
    <t>ONLINE SCRIPT - LORIVEN HERBAL CAPSULE</t>
  </si>
  <si>
    <t>LORIVEN HERBAL CAPSULE.pdf</t>
  </si>
  <si>
    <t>BROZELIN SYRUP</t>
  </si>
  <si>
    <t>A4-3215</t>
  </si>
  <si>
    <t>1X100ML</t>
  </si>
  <si>
    <t>PHILLIPS PHARMACEUTICALS (NIGERIA) LIMITED</t>
  </si>
  <si>
    <t>RELIEVES PRODUCTIVE COUGH…EFFECTIVELY</t>
  </si>
  <si>
    <t>BROZELIN SYRUP.pdf</t>
  </si>
  <si>
    <t>COLOPREP ORANGE</t>
  </si>
  <si>
    <t>A7-100144</t>
  </si>
  <si>
    <t>FOR CLEAN AND CLEAR COLON</t>
  </si>
  <si>
    <t>COLOPREP ORANGE.pdf</t>
  </si>
  <si>
    <t>PYLOCARE</t>
  </si>
  <si>
    <t>A7-102375</t>
  </si>
  <si>
    <t>TARGETS AND ERADICATES H.PYLORI WITH PRECISION</t>
  </si>
  <si>
    <t>PYLOCARE.pdf</t>
  </si>
  <si>
    <t>FLORANORM EXTRA</t>
  </si>
  <si>
    <t>A7-102374</t>
  </si>
  <si>
    <t>1.5G x 6</t>
  </si>
  <si>
    <t>REDEFINES DIARRHEA CONTROL…</t>
  </si>
  <si>
    <t>FLORANORM EXTRA.pdf</t>
  </si>
  <si>
    <t>EASADOL CAPLET</t>
  </si>
  <si>
    <t>04-8592</t>
  </si>
  <si>
    <t>3/5, SAPARA STREET, INDUSTRIAL ESTATE, IKEJA</t>
  </si>
  <si>
    <t>toluwasanmi@may-bakerng.com;info@may-bakerng.com</t>
  </si>
  <si>
    <t>08033137565;08113681447</t>
  </si>
  <si>
    <t>EASADOL HAS A NEW LOOK - EASADOL EASE THE PAIN</t>
  </si>
  <si>
    <t>EASADOL CAPLET-EASADOL SUSPENSION (STRAWBERRY FLAVOR).pdf</t>
  </si>
  <si>
    <t>2:09PM</t>
  </si>
  <si>
    <t>EASADOL SUSPENSION (STRAWBERRY FLAVOR)</t>
  </si>
  <si>
    <t>A4-2653</t>
  </si>
  <si>
    <t>2:05PM</t>
  </si>
  <si>
    <t>MULTAMIN PLUS SYRUP</t>
  </si>
  <si>
    <t>A11-100605</t>
  </si>
  <si>
    <t>MULTAMIN PLUS - OPTIMISE YOUR WELL-BEING</t>
  </si>
  <si>
    <t>MULTAMIN PLUS SYRUP.pdf</t>
  </si>
  <si>
    <t>1:59PM</t>
  </si>
  <si>
    <t>AVAMYS NASAL SPRAY</t>
  </si>
  <si>
    <t>1X120SPRAYS</t>
  </si>
  <si>
    <t>EMAIL</t>
  </si>
  <si>
    <t>AR GUIDANCE IN PRACTICE AND HOW IT CAN HELP  - PM-NG-FLF-EML-260001</t>
  </si>
  <si>
    <t>HARPIC POWER PLUS ORIGINAL DISINFECTANT TOILET CLEANER</t>
  </si>
  <si>
    <t>02-2018</t>
  </si>
  <si>
    <t>1L,725ML,450ML,200ML,100ML</t>
  </si>
  <si>
    <t>11TH FLOOR, HERITAGE PLACE, 21 LUGARD AVENUE, IKOYI, LAGOS.</t>
  </si>
  <si>
    <t>1 IS BETTER THAN 10</t>
  </si>
  <si>
    <t>HARPIC POWER PLUS ORIGINAL DISINFECTANT TOILET CLEANER.pdf</t>
  </si>
  <si>
    <t>PINAMAL 20/120 TABLETS</t>
  </si>
  <si>
    <t>C4-0595</t>
  </si>
  <si>
    <t>1X6,1X12,1X18,1X24</t>
  </si>
  <si>
    <t>P K N PHARMACEUTICAL LIMITED</t>
  </si>
  <si>
    <t>2 MAI KARAM PLAZA, NIGER STREET, KANO</t>
  </si>
  <si>
    <t>pknpharmaceuticalsltd@gmail.com</t>
  </si>
  <si>
    <t>08068244299</t>
  </si>
  <si>
    <t>FIGHTING MALARIA CHOOSE PINAMAL ARTEMETHER &amp; LUMEFANTRINE</t>
  </si>
  <si>
    <t>PINAMAL 20120 n 80480 TABLETS.pdf</t>
  </si>
  <si>
    <t>PINAMAL 80/480 TABLETS</t>
  </si>
  <si>
    <t>C4-1060</t>
  </si>
  <si>
    <t>ONLINE/TIKTOK</t>
  </si>
  <si>
    <t>11:13am</t>
  </si>
  <si>
    <t>Yes</t>
  </si>
  <si>
    <t>MICOZOL-PLUS VAGINAL TABLET</t>
  </si>
  <si>
    <t>B4-4483</t>
  </si>
  <si>
    <t>1X7Tablets</t>
  </si>
  <si>
    <t>LYNSON CHEMICAL AVENUE, KM38 LAGOS-ABEOKUTA EXPRESSWAY, SANGO-OTA, OGUN; 48 AKEJU STREET, PALMGROVE, SOMOLU, LAGOS</t>
  </si>
  <si>
    <t>info@drugfieldpharma.com;olakunleekundayo@msn.com</t>
  </si>
  <si>
    <t>08029055002;08084354700;08034726449;08033513989;08039472494;07064278629;08033594790</t>
  </si>
  <si>
    <t>NO VAGINAL DISCHARGE, NO ITCHING, NO FOUL ODOUR, NO BURNING SENSATION</t>
  </si>
  <si>
    <t>MICOZOL-PLUS VAGINAL TABLET.pdf</t>
  </si>
  <si>
    <t>08029055002;08084354700;08034726449;08033513989;08039472494;07064278629</t>
  </si>
  <si>
    <t>KUINOPRIL TABLETS</t>
  </si>
  <si>
    <t>04-9631,B4-3261,B43263,B4-3260</t>
  </si>
  <si>
    <t>3X10,1X28</t>
  </si>
  <si>
    <t>MANAGE HIGH BP BEFORE IT KILLS</t>
  </si>
  <si>
    <t>KUINOPRIL TABLETS n DRULOVASK 5MG TABLET.pdf</t>
  </si>
  <si>
    <t>DRULOVASK 5MG TABLET</t>
  </si>
  <si>
    <t>A11-1223,A11-100104</t>
  </si>
  <si>
    <t>2X14</t>
  </si>
  <si>
    <t>MEPRACID CAPSULES</t>
  </si>
  <si>
    <t>A11-100731</t>
  </si>
  <si>
    <t>FOR EFFECTIVE ACID REFLUX TREATMENT</t>
  </si>
  <si>
    <t>MEPRACID CAPSULES.pdf</t>
  </si>
  <si>
    <t>REPTOGEL MOSQUITO REPELLANT GEL</t>
  </si>
  <si>
    <t>A5-1245</t>
  </si>
  <si>
    <t>25G</t>
  </si>
  <si>
    <t>NOW YOU CAN PREVENT MOSQUITO BITE</t>
  </si>
  <si>
    <t>REPTOGEL MOSQUITO REPELLANT GEL.pdf</t>
  </si>
  <si>
    <t>DRUGAMOL SYRUP</t>
  </si>
  <si>
    <t>04-8333</t>
  </si>
  <si>
    <t>X60ML</t>
  </si>
  <si>
    <t>FOR  FAST AND EFFECTIVE RELIEF FROM FEVER, ACHES AND PAINS</t>
  </si>
  <si>
    <t>28/04/2026</t>
  </si>
  <si>
    <t>DRUGAMOL SYRUP.pdf</t>
  </si>
  <si>
    <t>JIK HOUSEHOLD BLEACH</t>
  </si>
  <si>
    <t>02-0356</t>
  </si>
  <si>
    <t>475ML,950ML,1.4L,60ML</t>
  </si>
  <si>
    <t>JIK SACHET RADIO SCRIPT</t>
  </si>
  <si>
    <t>ENGLISH,HAUSA,PIDGIN</t>
  </si>
  <si>
    <t>JIK HOUSEHOLD BLEACH.pdf</t>
  </si>
  <si>
    <t>HARPIC 1 IS BETTER THAN 10 INFLUENCER SCRIPT</t>
  </si>
  <si>
    <t>HARPIC POWER PLUS ORIGINAL DISINFECTANT TOILET CLEANER (2).pdf</t>
  </si>
  <si>
    <t>OCUVISION</t>
  </si>
  <si>
    <t>A7-101766</t>
  </si>
  <si>
    <t>NOMEDI PHARMACEUTICALS LIMITED</t>
  </si>
  <si>
    <t>115B OKOTA  ROAD, OPPOSITE IKEJA ELECTRIC OKOTA,  LAGOS</t>
  </si>
  <si>
    <t>info@oculuspharma-ng.com</t>
  </si>
  <si>
    <t>09124821143</t>
  </si>
  <si>
    <t>OCUVISION TABLETS HELPS SUPPORT EYE HEALTH. THE CAROTENOIDS (LUTEIN, ZEAXANTHIN) PLAY A CRUCIAL ROLE IN PROTECTING AGAINST AGE-RELATED MACULAR DEGENERATION WHILE THE ANTI-OXIDANTS (VITAMIN C &amp; E), D3, ZINC AND COPPER ASSIST IN OXIDATIVE STRESS/DAMAGE REDUCTION AND MAINTENANCE OF OVERALL OCULAR HEALTH.</t>
  </si>
  <si>
    <t>OCUVISION.pdf</t>
  </si>
  <si>
    <t>M&amp;B PARACETAMOL SYRUP</t>
  </si>
  <si>
    <t>04-0247</t>
  </si>
  <si>
    <t>MAY AND BAKER PARACETAMOL, THE RED ONE - E GET WHY</t>
  </si>
  <si>
    <t>ENGLISH,HAUSA,IGBO,PIDGIN,YORUBA</t>
  </si>
  <si>
    <t>M&amp;B PARACETAMOL SYRUP n TABLET.pdf</t>
  </si>
  <si>
    <t>13:05PM</t>
  </si>
  <si>
    <t>M&amp;B PARACETAMOL</t>
  </si>
  <si>
    <t>M&amp;B PARACETAMOL TABLET</t>
  </si>
  <si>
    <t>04-0633</t>
  </si>
  <si>
    <t>8X12,32X12,1X1000</t>
  </si>
  <si>
    <t>13:04PM</t>
  </si>
  <si>
    <t>DR. FIZZO EFFERVESCENT GRANULES ORANGE FLAVOUR</t>
  </si>
  <si>
    <t>A7-101184</t>
  </si>
  <si>
    <t>5G</t>
  </si>
  <si>
    <t>REALS PHARMACEUTICAL LIMITED</t>
  </si>
  <si>
    <t>PLOT 1 L.J. DOSUNMU STREET, CENTRAL BUSINESS DISTRICT,  ALAUSA, IKEJA, LAGOS</t>
  </si>
  <si>
    <t>reals@realsgroup.com</t>
  </si>
  <si>
    <t>08136873447</t>
  </si>
  <si>
    <t>DR. FIZZO, RELIEF THAT WORKS FAST AND LAST</t>
  </si>
  <si>
    <t>DR. FIZZO EFFERVESCENT GRANULES ORANGE FLAVOUR.pdf</t>
  </si>
  <si>
    <t>DR. FIZZO EFFERVESCENT GRANULES LEMON FLAVOUR</t>
  </si>
  <si>
    <t>A7-101185</t>
  </si>
  <si>
    <t>DGF CHLORXY-G GEL</t>
  </si>
  <si>
    <t>B4-0794</t>
  </si>
  <si>
    <t>3G,10G,20G,25G</t>
  </si>
  <si>
    <t>EVERY CHILD COUNTS, NO NEWBORN BABY SHOULD BE LEFT BEHIND</t>
  </si>
  <si>
    <t>DGF CHLORXY-G GEL.pdf</t>
  </si>
  <si>
    <t>EMPRIN 75 TABLET</t>
  </si>
  <si>
    <t>04-8344</t>
  </si>
  <si>
    <t>PLOT 3C BLOCK A, ASWANI MARKET ROAD, ISOLO, LAGOS;10, KOLAWOLE  SHONIBARE STREET, AJAO ESTATE, LAGOS. (1-8);13, RICHFIELD AVENUE, AJAO ESTATE,  LAGOS (9-19);FLOWERGATE MIXED DEVELOPMENT SCHEME,  KM1 SAGAMU/BENIN EXPRESSWAY, SAGAMU, OGUN STATE (20-43)</t>
  </si>
  <si>
    <t>customerservice@emzorpharma.com;chinelo@emzorpharma.com;info@emzorpharma.com</t>
  </si>
  <si>
    <t>07080606000</t>
  </si>
  <si>
    <t>TO ENSURE YOUR HEART BEAT GOES ON</t>
  </si>
  <si>
    <t>EMPRIN 75 TABLET.pdf</t>
  </si>
  <si>
    <t>EMCAP CAPLET</t>
  </si>
  <si>
    <t>04-0261</t>
  </si>
  <si>
    <t>X1000,10X10</t>
  </si>
  <si>
    <t>EMCAP RELIEVES PAINS</t>
  </si>
  <si>
    <t>ENGLISH,PIDGIN</t>
  </si>
  <si>
    <t>EMCAP CAPLET n EMCAP EXTRA CAPLET .pdf</t>
  </si>
  <si>
    <t>EMCAP EXTRA CAPLET</t>
  </si>
  <si>
    <t>04-1451</t>
  </si>
  <si>
    <t>LOKMAL QS COMBI</t>
  </si>
  <si>
    <t>A11-0157</t>
  </si>
  <si>
    <t>1X6,1X12</t>
  </si>
  <si>
    <t>LOCK MALARIA DOWN</t>
  </si>
  <si>
    <t>LOKMAL QS COMBI n LOKMAL DISPERSIBLE TABLET.pdf</t>
  </si>
  <si>
    <t>LOKMAL DISPERSIBLE TABLET</t>
  </si>
  <si>
    <t>1X6,2X6</t>
  </si>
  <si>
    <t>EMTRISIL CHEWABLE TABLET</t>
  </si>
  <si>
    <t>A4-6606</t>
  </si>
  <si>
    <t>3X8,12X8,1X500</t>
  </si>
  <si>
    <t>WORST POSSIBLE</t>
  </si>
  <si>
    <t>EMTRISIL CHEWABLE TABLET.pdf</t>
  </si>
  <si>
    <t>CLOSEUP TRIPLE FRESH FORMULA</t>
  </si>
  <si>
    <t>140G,10G,40G,190G,90G,130G,8.5G,35G,175G</t>
  </si>
  <si>
    <t>1 BILLINGS WAY, OREGUN, IKEJA LAGOS</t>
  </si>
  <si>
    <t>bridget.mayor@unilever.com;mercy.chibueze2@unilever.com;communications.ng@unilever.com</t>
  </si>
  <si>
    <t>08039066000</t>
  </si>
  <si>
    <t>CLOSEUP TRIPLE FRESH FORMULA n CLOSEUP COMPLETE FRESH PROTECTION TOOTHPASTE n CLOSEUP EVERFRESH MENTHOL FRESH.pdf</t>
  </si>
  <si>
    <t>CLOSEUP COMPLETE FRESH PROTECTION TOOTHPASTE</t>
  </si>
  <si>
    <t>130G</t>
  </si>
  <si>
    <t>CLOSEUP EVERFRESH MENTHOL FRESH</t>
  </si>
  <si>
    <t>02-7347</t>
  </si>
  <si>
    <t>PEPSODENT NATURAL CHARCOAL WHITENING TOOTHPASTE.pdf</t>
  </si>
  <si>
    <t>1:41PM</t>
  </si>
  <si>
    <t>ELYSEEMAN 70+ CAPSULES</t>
  </si>
  <si>
    <t>A7-100554</t>
  </si>
  <si>
    <t>2X15CAPSULES</t>
  </si>
  <si>
    <t>08032317925</t>
  </si>
  <si>
    <t>AN EXTENSIVE FORMULA DESIGNED WITH VITAMINS, MICRONUTRIENTS AND MINERALS FOR ALL ROUND NUTRITIONAL SUPPORT</t>
  </si>
  <si>
    <t>ELYSEEMAN 70+ CAPSULES.pdf</t>
  </si>
  <si>
    <t>ELYSEEWOMAN 70+ CAPSULES</t>
  </si>
  <si>
    <t>A7-100560</t>
  </si>
  <si>
    <t>ELYSEEWOMAN 70+ CAPSULES.pdf</t>
  </si>
  <si>
    <t>ELYSEEMAN CAPSULES</t>
  </si>
  <si>
    <t>B4-5989</t>
  </si>
  <si>
    <t>ELYSEEMAN CAPSULES.pdf</t>
  </si>
  <si>
    <t>1:38pm</t>
  </si>
  <si>
    <t>ELYSEEWOMAN CAPSULES</t>
  </si>
  <si>
    <t>B4-3784</t>
  </si>
  <si>
    <t>ELYSEEWOMAN CAPSULES.pdf</t>
  </si>
  <si>
    <t>1:33PM</t>
  </si>
  <si>
    <t>BIOHARB ZEMORA DETOX TEA</t>
  </si>
  <si>
    <t>A7-103683L</t>
  </si>
  <si>
    <t>2GX30</t>
  </si>
  <si>
    <t>bioharbglobal@gmail.com</t>
  </si>
  <si>
    <t>08056891418</t>
  </si>
  <si>
    <t>ENJOY A CALMING CUP DAILY AS YOU SUPPORT YOUR BODY FROM WITHIN</t>
  </si>
  <si>
    <t>BIOHARB ZEMORA DETOX TEA.pdf</t>
  </si>
  <si>
    <t>DRUMAZINE-PLUS CREAM</t>
  </si>
  <si>
    <t>A11-100113</t>
  </si>
  <si>
    <t>MANAGE BURNS</t>
  </si>
  <si>
    <t>DRUMAZINE-PLUS CREAM.pdf</t>
  </si>
  <si>
    <t>SO KLIN CONCENTRATED DETERGENT</t>
  </si>
  <si>
    <t>02-1034</t>
  </si>
  <si>
    <t>9 OYINKAN ABAYOMI DRIVE, IKOYI, LAGOS</t>
  </si>
  <si>
    <t>stella@primerafood-nigeria.com;info@esrnl.com;dare.ojo@esrnl.com</t>
  </si>
  <si>
    <t>APRIL CONTENT CALENDER</t>
  </si>
  <si>
    <t>SO KLIN DETERGENTS-5 VARIANTS.pdf</t>
  </si>
  <si>
    <t>13:24PM</t>
  </si>
  <si>
    <t>N</t>
  </si>
  <si>
    <t>Non-Compliant</t>
  </si>
  <si>
    <r>
      <rPr>
        <sz val="11"/>
        <color rgb="FF000000"/>
        <rFont val="Calibri"/>
        <family val="2"/>
        <scheme val="minor"/>
      </rPr>
      <t xml:space="preserve">The approved advrt shows </t>
    </r>
    <r>
      <rPr>
        <b/>
        <sz val="11"/>
        <color rgb="FF000000"/>
        <rFont val="Calibri"/>
        <family val="2"/>
        <scheme val="minor"/>
      </rPr>
      <t>99%</t>
    </r>
    <r>
      <rPr>
        <sz val="11"/>
        <color rgb="FF000000"/>
        <rFont val="Calibri"/>
        <family val="2"/>
        <scheme val="minor"/>
      </rPr>
      <t xml:space="preserve"> germ protection while the advert aired shows </t>
    </r>
    <r>
      <rPr>
        <b/>
        <sz val="11"/>
        <color rgb="FF000000"/>
        <rFont val="Calibri"/>
        <family val="2"/>
        <scheme val="minor"/>
      </rPr>
      <t>99.9%</t>
    </r>
    <r>
      <rPr>
        <sz val="11"/>
        <color rgb="FF000000"/>
        <rFont val="Calibri"/>
        <family val="2"/>
        <scheme val="minor"/>
      </rPr>
      <t xml:space="preserve"> germ protection</t>
    </r>
  </si>
  <si>
    <t>SO KLIN MATIC DETERGENT</t>
  </si>
  <si>
    <t>A2-3909</t>
  </si>
  <si>
    <t>1KG,2KG</t>
  </si>
  <si>
    <t>Unable to Monitor</t>
  </si>
  <si>
    <t>Seen similar concepts but not the approved advert.</t>
  </si>
  <si>
    <t>SOKLIN SMART CONCENTRATED LIQUID DETERGENT -INTENSE PERFUME</t>
  </si>
  <si>
    <t>A2-105312</t>
  </si>
  <si>
    <t>2X30ML,20ML,23ML,25ML,30ML,35ML,40ML,45ML,50ML,80ML,90ML</t>
  </si>
  <si>
    <t>SOKLIN SMART CONCENTRATED LIQUID DETERGENT -ULTIMATE CLEAN</t>
  </si>
  <si>
    <t>A2-105311</t>
  </si>
  <si>
    <t>2X30ML,20ML,23ML,25ML,30ML,35ML,40ML,45ML,50ML,80ML,90ML,170ML,180ML,200ML,210ML</t>
  </si>
  <si>
    <t>13:25PM</t>
  </si>
  <si>
    <t>BIOHARB VIZEM CLEANSER HERBAL TEA</t>
  </si>
  <si>
    <t>A7-103689L</t>
  </si>
  <si>
    <t>BIOHARB VIZEM CLEANSER HERBAL TEA… YOUR IMMUNE SYSTEM NEEDS SUPPORT DURING INFECTION</t>
  </si>
  <si>
    <t>BIOHARB VIZEM CLEANSER HERBAL TEA.pdf</t>
  </si>
  <si>
    <t>BIOHARB SOMIVA TEA</t>
  </si>
  <si>
    <t>A7-103676L</t>
  </si>
  <si>
    <t>ENJOY EVERY SIP OF THIS HERBAL GOODNESS FOR YOUR CARDIOVASCULAR WELLNESS</t>
  </si>
  <si>
    <t>BIOHARB SOMIVA TEA.pdf</t>
  </si>
  <si>
    <t>MACROBAN CREAM</t>
  </si>
  <si>
    <t>A11-100574</t>
  </si>
  <si>
    <t>15G</t>
  </si>
  <si>
    <t>IN THE TREATMENT OF IMPETIGO</t>
  </si>
  <si>
    <t>MACROBAN CREAM.pdf</t>
  </si>
  <si>
    <t>BIOHARB YAVANA ΤΕΑ</t>
  </si>
  <si>
    <t>A7-103671L</t>
  </si>
  <si>
    <t>BIOHARB YAVANA TEA…..SUPPORTING YOUR WELLNESS NATURALLY</t>
  </si>
  <si>
    <t>BIOHARB YAVANA ΤΕΑ.pdf</t>
  </si>
  <si>
    <t>PROFECTIV MEGA GROWTH BREAK-FREE DAILY LEAVE-IN STRENGTHENER</t>
  </si>
  <si>
    <t>250G,500G,100G,43G,23G</t>
  </si>
  <si>
    <t>PLOT 2A, AYODELE DIYAN STREET, OFF LADIPO OLUWOLE AVENUE, IKEJA INDUSTRIAL ESTATE, IKEJA, LAGOS</t>
  </si>
  <si>
    <t>yinka.olufade@godrejnl.com</t>
  </si>
  <si>
    <t>GOODBYE HAIR BREAKAGE</t>
  </si>
  <si>
    <t>PROFECTIV MEGA GROWTH BREAK-FREE DAILY LEAVE-IN STRENGTHENER.pdf</t>
  </si>
  <si>
    <t>BIOHARB PROZENO CAPSULES</t>
  </si>
  <si>
    <t>A7-103669L</t>
  </si>
  <si>
    <t>BIOHARB PROZENO CAPSULES….CARE FOR YOUR WELLNESS, NATURALLY</t>
  </si>
  <si>
    <t>BIOHARB PROZENO CAPSULES.pdf</t>
  </si>
  <si>
    <t>BIOHARB HARZEN CAPSULES</t>
  </si>
  <si>
    <t>A7-103668L</t>
  </si>
  <si>
    <t>BIOHARB HARZEN CAPSULES….CONTRIBUTES TO NORMAL CARDIVASCULAR FUNCTION AND SUPPORT BLOOD PRESSURE WHEN USED ACCORDINGLY</t>
  </si>
  <si>
    <t>BIOHARB HARZEN CAPSULES.pdf</t>
  </si>
  <si>
    <t>BIOHARB ZENVIRA CLEANSER TEA</t>
  </si>
  <si>
    <t>A7-103684L</t>
  </si>
  <si>
    <t>BIOHARB ZENVIRA CLEANSER TEA….WELLNESS AND CARE IN EVERY CUP</t>
  </si>
  <si>
    <t>BIOHARB ZENVIRA CLEANSER TEA.pdf</t>
  </si>
  <si>
    <t>VEET HAIR REMOVAL CREAM (SENSITIVE SKIN)</t>
  </si>
  <si>
    <t>A2-0925</t>
  </si>
  <si>
    <t>bolanle.aladegbola@rb.com;uzo.amatokwu@reckitt.com</t>
  </si>
  <si>
    <t>FABULOUS SMOOTH SKIN</t>
  </si>
  <si>
    <t>VEET HAIR REMOVAL CREAM SENSITIVE n NORMAL.pdf</t>
  </si>
  <si>
    <t>VEET PURE</t>
  </si>
  <si>
    <t>VEET HAIR REMOVAL CREAM (NORMAL SKIN)</t>
  </si>
  <si>
    <t>A2-0827</t>
  </si>
  <si>
    <t>GAVISCON PEPPERMINT LIQUID SACHET</t>
  </si>
  <si>
    <t>A4-7058</t>
  </si>
  <si>
    <t>12X10ML</t>
  </si>
  <si>
    <t>Small Sachet, Big relief</t>
  </si>
  <si>
    <t>GAVISCON PEPPERMINT LIQUID SACHET.pdf</t>
  </si>
  <si>
    <t>BIOHARB VETRA DETOX TEA</t>
  </si>
  <si>
    <t>A7-103681L</t>
  </si>
  <si>
    <t>2GX30 teabags</t>
  </si>
  <si>
    <t>Make detox part of your daily routine — simple and natural</t>
  </si>
  <si>
    <t>BIOHARB VETRA DETOX TEA.pdf</t>
  </si>
  <si>
    <t>BIOHARB VIZEM TEA</t>
  </si>
  <si>
    <t>A7-103682L</t>
  </si>
  <si>
    <t>2GX20 teabags</t>
  </si>
  <si>
    <t>ur eyes a moment to relax and recharge . Bioharb Vizem Tea supports visual clarity and comfort</t>
  </si>
  <si>
    <t>BIOHARB VIZEM TEA.pdf</t>
  </si>
  <si>
    <t>LORIVEN CLEANSER CAPSULES</t>
  </si>
  <si>
    <t>A7-103680L</t>
  </si>
  <si>
    <t>topmowellnessenterprise@gmail.com</t>
  </si>
  <si>
    <t>08139338849</t>
  </si>
  <si>
    <t>Loriven Cleanser Capsules …. Supporting your digestive and immune health</t>
  </si>
  <si>
    <t>LORIVEN CLEANSER CAPSULES.pdf</t>
  </si>
  <si>
    <t>LORIVEN (DETOX) CAPSULES</t>
  </si>
  <si>
    <t>A7-103679L</t>
  </si>
  <si>
    <t>50MG</t>
  </si>
  <si>
    <t>LORIVEN CAPSULES is a herbal product developed to support your wellbeing</t>
  </si>
  <si>
    <t>LORIVEN DETOX CAPSULES.pdf</t>
  </si>
  <si>
    <t>NAFOMA HERBAL TEA</t>
  </si>
  <si>
    <t>A7-103678L</t>
  </si>
  <si>
    <t>1, BALOGUN STREET, OFF AWOLOWO WAY, IKEJA, LAGOS; 5 SAMUEL SODE STREET, EGBE, IKOTUN, LAGOS</t>
  </si>
  <si>
    <t>08062610092</t>
  </si>
  <si>
    <t>Choose Nafoma Herbal Tea —Supporting your eye health, one cup at a time</t>
  </si>
  <si>
    <t>NAFOMA HERBAL TEA.pdf</t>
  </si>
  <si>
    <t>SOVANA HERBAL CAPSULE</t>
  </si>
  <si>
    <t>A7-103674L</t>
  </si>
  <si>
    <t>Sovana Herbal Capsules — natural support for you</t>
  </si>
  <si>
    <t>SOVANA HERBAL CAPSULE.pdf</t>
  </si>
  <si>
    <t>Viva Plus Dishwashing Liquid (Ultra Strength Original) 5x Power</t>
  </si>
  <si>
    <t>A2-6041</t>
  </si>
  <si>
    <t>1000ML,600ML,300ML</t>
  </si>
  <si>
    <t>KM 8, HADEJIA ROAD, TOKARAWA, KANO</t>
  </si>
  <si>
    <t>A DEEPER CLEAN IN EVERY DROP; LET THEM LIVE IN COLORS WE'LL HANDLE THE REST; COLORFUL MOMENTS SPOTLESS CLOTHES</t>
  </si>
  <si>
    <t>180G,200G,900G</t>
  </si>
  <si>
    <t>SERETIDE 250MCG/50MCG DISKUS INHALATION POWDER</t>
  </si>
  <si>
    <t>04--3323</t>
  </si>
  <si>
    <t>60 DOSES INHALATION</t>
  </si>
  <si>
    <t>GSK Pro Nigeria Product Page 2026</t>
  </si>
  <si>
    <t>26/05/2026</t>
  </si>
  <si>
    <t>May</t>
  </si>
  <si>
    <t>Seretide Diskus</t>
  </si>
  <si>
    <t>SOKLIN SMART CONCENTRATED LIQUID DETERGENT -INTENSE</t>
  </si>
  <si>
    <t>2*30ML,20ML,23ML,25ML,30ML,35ML,40ML,45ML,50ML,80ML,90ML,</t>
  </si>
  <si>
    <t> 9, OYINKAN ABAYOMI DRIVE, IKOYI</t>
  </si>
  <si>
    <t>info@esrnl.com</t>
  </si>
  <si>
    <t>TWO TIMES CLEANER, MORE FRAGRANCE IN ONE SACHET</t>
  </si>
  <si>
    <t>Cleaning agent</t>
  </si>
  <si>
    <t>2*30ml,20ml,23ml,25ml,30ml,35ml,40ml,45ml,50ml,80ml,90ml,170ml,180ml,200ml,210ml</t>
  </si>
  <si>
    <t>https://1drv.ms/b/c/94bd56ed68f00427/IQBgtK6YmyrFSZ11DWYYcC9_ASAFXzxFWMFUw0h9Nza8b3o?e=ig6yd8</t>
  </si>
  <si>
    <t>CO-MAL FORTE TABLET</t>
  </si>
  <si>
    <t>B4-5283</t>
  </si>
  <si>
    <t>1*6</t>
  </si>
  <si>
    <t>14 CHIVITA AVENUE APAKUN EST, OSHODI. LAGOS STATE</t>
  </si>
  <si>
    <t>management@svnl.in</t>
  </si>
  <si>
    <t>CO- MAL.pdf</t>
  </si>
  <si>
    <t>1*120sprays</t>
  </si>
  <si>
    <t>Advert Message: Avamys AR guidelines 2026 Mass Email 2 PM-NG-FLF-EML-260002</t>
  </si>
  <si>
    <t>KOMIX COUGH SYRUP</t>
  </si>
  <si>
    <t>04--4693</t>
  </si>
  <si>
    <t>7ML*30</t>
  </si>
  <si>
    <t>ORANGE DRUG LTD</t>
  </si>
  <si>
    <t>TOWN PLANNING WAY ILUPEJU LAGOS LAGOS</t>
  </si>
  <si>
    <t>oktafiana.prihantari@kalbe.co.id</t>
  </si>
  <si>
    <t>08121814410 ;08023000000</t>
  </si>
  <si>
    <t>DRINK KOMIX,E DEY RELIEF COUGH</t>
  </si>
  <si>
    <t>PIDGIN,HAUSA</t>
  </si>
  <si>
    <t>KOMIX.pdf</t>
  </si>
  <si>
    <t>KOMIX</t>
  </si>
  <si>
    <t>O'JEZ PHARMACY, EGBEDA.</t>
  </si>
  <si>
    <t>15:23PM</t>
  </si>
  <si>
    <t>MOXIE LORATADINE SYRUP</t>
  </si>
  <si>
    <t>A11-101035</t>
  </si>
  <si>
    <t>PHARMALLIANCE CONSULTING LIMITED</t>
  </si>
  <si>
    <t>3A, OLAIDE BENSON STREET MARYLAND ONIGBONGBO</t>
  </si>
  <si>
    <t>adehina@rxevolution.com</t>
  </si>
  <si>
    <t>08033379541,</t>
  </si>
  <si>
    <t>NO MORE MEDICINE DRAMA</t>
  </si>
  <si>
    <t>MOXIE LORATIDINE.pdf</t>
  </si>
  <si>
    <t>COCO CEMITAB 400MG</t>
  </si>
  <si>
    <t>A4-7657</t>
  </si>
  <si>
    <t>20 TABLETS</t>
  </si>
  <si>
    <t>KCH CONSUMER HEALTHCARE LIMITED,</t>
  </si>
  <si>
    <t>PLOT 49, ORANGE DRIVE CROWN ESTATE, LEKKI, LAGOS</t>
  </si>
  <si>
    <t>FOR TREATMENT AND RELIEF OF SYMPTOMS OF STOMACH &amp;DUODENAL ULCER</t>
  </si>
  <si>
    <t>COCO CEMITAB 400MG.pdf</t>
  </si>
  <si>
    <t>COCO CEMITAB 200MG</t>
  </si>
  <si>
    <t>A4-5614</t>
  </si>
  <si>
    <t>COCO CEMITAB 200MG.pdf</t>
  </si>
  <si>
    <t>ZERAMAL-QS</t>
  </si>
  <si>
    <t>A4-6531</t>
  </si>
  <si>
    <t>1x6</t>
  </si>
  <si>
    <t>FOR TREATMENT AGAINST MALARIA</t>
  </si>
  <si>
    <t>ZERAMAL QS.pdf</t>
  </si>
  <si>
    <t>12:42PM</t>
  </si>
  <si>
    <t>ZERAMAL</t>
  </si>
  <si>
    <t>CHEMIRON CAPSULES</t>
  </si>
  <si>
    <t>04--0944</t>
  </si>
  <si>
    <t>10X12</t>
  </si>
  <si>
    <t>CHEMIRON CARE LIMITED</t>
  </si>
  <si>
    <t>ANIOMA INDUSTRIAL ESTATE, AGBARA AGBARA LAGOS</t>
  </si>
  <si>
    <t>emeka.chukwurah@cqraff.com</t>
  </si>
  <si>
    <t>08036212057</t>
  </si>
  <si>
    <t>SWITCH ON WITH CHEMIRON</t>
  </si>
  <si>
    <t>CHEMIRON CAPSULE.pdf</t>
  </si>
  <si>
    <t>CHEMIRON TONIC</t>
  </si>
  <si>
    <t>04--0942</t>
  </si>
  <si>
    <t>API - PALU HERBAL CAPSULE</t>
  </si>
  <si>
    <t>A7-102242L</t>
  </si>
  <si>
    <t>10*1Pack</t>
  </si>
  <si>
    <t>TIFI LUXE LIMITED</t>
  </si>
  <si>
    <t>MCNEIL ROAD SABO LAGOS DELTA</t>
  </si>
  <si>
    <t>info@tifiluxe.com</t>
  </si>
  <si>
    <t>08089587618</t>
  </si>
  <si>
    <t>“API‑PALU: A natural, plant‑based product, effective, that eliminates the feverish symptoms of malaria”. 2. “The natural acts. API‑PALU, the innovation that eliminates the feverish symptoms of malaria”. 3. “API‑PALU, the strength of natural plants that eliminates the feverish symptoms of malaria fever.” 4. “API‑PALU, a genuine natural plant‑based product that eliminates the feverish symptoms of malaria fever.</t>
  </si>
  <si>
    <t>API-PALU.pdf</t>
  </si>
  <si>
    <t>TAMCONTIN</t>
  </si>
  <si>
    <t>A4-101181</t>
  </si>
  <si>
    <t>3*10,10*10</t>
  </si>
  <si>
    <t>122-132 AFPRINT INDUSTRIAL ESTATE APAPA-OSHODI EXPRESSWAY IYANA-ISOLO LAGOS NIGERIA</t>
  </si>
  <si>
    <t>info@phillipsnigeria.com</t>
  </si>
  <si>
    <t>08056292409</t>
  </si>
  <si>
    <t>Nocturia impacts sleep</t>
  </si>
  <si>
    <t>TAMCONTIN.pdf</t>
  </si>
  <si>
    <t>ESVEROL</t>
  </si>
  <si>
    <t>A7-100181</t>
  </si>
  <si>
    <t>2*15,3X10</t>
  </si>
  <si>
    <t>Cardioprotective antioxidant cover</t>
  </si>
  <si>
    <t>ESVEROL.pdf</t>
  </si>
  <si>
    <t>02--7346</t>
  </si>
  <si>
    <t> BILLINGSWAY OREGUN, IKEJA LAGOS LAGOS</t>
  </si>
  <si>
    <t>EVERYBODY GO CHOP PROMO</t>
  </si>
  <si>
    <t>CLOSEUP TRIPLE FRESH.pdf</t>
  </si>
  <si>
    <t xml:space="preserve">TAMCONTIN 0.4MG </t>
  </si>
  <si>
    <t>A4--101181</t>
  </si>
  <si>
    <t>The unavoidable The unavoidable therapy, for easy voiding</t>
  </si>
  <si>
    <t>TAMCONTIN 0.4MG.pdf</t>
  </si>
  <si>
    <t>FASTUM GEL</t>
  </si>
  <si>
    <t>B4-4421</t>
  </si>
  <si>
    <t>1*50gtube,1*10gtube,1*50gdispenser,1*100gdispense</t>
  </si>
  <si>
    <t>NO PAIN JUST GAIN</t>
  </si>
  <si>
    <t>FASTUM GEL.pdf</t>
  </si>
  <si>
    <t>NIVEA RADIANT&amp;BEAUTY ADVANCED CARE BODY LOTION</t>
  </si>
  <si>
    <t>A2--101409</t>
  </si>
  <si>
    <t>400ML,250ML</t>
  </si>
  <si>
    <t>19 KAFFI STREET , ALAUSA,IKEJA,LAGOS</t>
  </si>
  <si>
    <t>HELPS REPAIR DRY AND ASHY SKIN,</t>
  </si>
  <si>
    <t>NIVEA RADIANT &amp; BEAUTY ADVANCED CARE BODY LOTION.pdf</t>
  </si>
  <si>
    <t>BIOHARB CLM31 TEA</t>
  </si>
  <si>
    <t>A7--103779L</t>
  </si>
  <si>
    <t>FOOD</t>
  </si>
  <si>
    <t>Bioharb Clm31 Tea ….Relaxation in every sip</t>
  </si>
  <si>
    <t>NEW</t>
  </si>
  <si>
    <t>BIOHARB CLM31 TEA.pdf</t>
  </si>
  <si>
    <t>GODREJ AER POWER POCKET BATHROOM FRESHNER-LEMON TANGY DELIGHT</t>
  </si>
  <si>
    <t>A7--101298</t>
  </si>
  <si>
    <t>10g</t>
  </si>
  <si>
    <t>08058299207</t>
  </si>
  <si>
    <t>GUEST- READY HOME FRAGRANCE</t>
  </si>
  <si>
    <t>GODREJ AER POWER POCKET BATHROOM FRESHNER-LEMON TANGY DELIGHT.pdf</t>
  </si>
  <si>
    <t>TARORA TEA</t>
  </si>
  <si>
    <t>A7--103710L</t>
  </si>
  <si>
    <t>2g x 30 Tea Bags</t>
  </si>
  <si>
    <t> 16, ALEKUWODO STREET</t>
  </si>
  <si>
    <t>TARORA Tea…. Your nightly cup of calm and comfort</t>
  </si>
  <si>
    <t>Food</t>
  </si>
  <si>
    <t>TARORA TEA.pdf</t>
  </si>
  <si>
    <t>MOSROT HERBAL MIXTURE</t>
  </si>
  <si>
    <t>A7-102393L</t>
  </si>
  <si>
    <t>HERBAL</t>
  </si>
  <si>
    <t>MOSROT VENTURES LTD</t>
  </si>
  <si>
    <t> 20/22, DAPO FAFIADE STR, PEDRO, PALMGROVE, LAGOS</t>
  </si>
  <si>
    <t>tonadegrande@gmail.com</t>
  </si>
  <si>
    <t>08066735846</t>
  </si>
  <si>
    <t>MOSROT HERBAL MIXTURE 100ML,USED TO PROMOTE MEN SEXUAL WELLNESS AND BOOST MEN SEXUAL PERFORMANCE.</t>
  </si>
  <si>
    <t>MOSROT HERBAL MIXTURE.pdf</t>
  </si>
  <si>
    <t>BIOHARB FRT77 CAPSULES</t>
  </si>
  <si>
    <t>A7-103778L</t>
  </si>
  <si>
    <t>BIOHARB FRT77 Capsules ….Comfort for your respiratory wellness.</t>
  </si>
  <si>
    <t>BIOHARB FRT77 Capsules.pdf</t>
  </si>
  <si>
    <t>LIDOCAINE HYDROCHLORIDE INJECTION</t>
  </si>
  <si>
    <t>C4-1943</t>
  </si>
  <si>
    <t>BLOCK</t>
  </si>
  <si>
    <t>LIDOCAINE HCL.pdf</t>
  </si>
  <si>
    <t>250ML,500ML,15g</t>
  </si>
  <si>
    <t>LUSH HAIR FOOD RANGE - LIVE THE SOFT LIFE</t>
  </si>
  <si>
    <t>LUSH HAIR.pdf</t>
  </si>
  <si>
    <t>LONART-DS TABLETS</t>
  </si>
  <si>
    <t>04-9927</t>
  </si>
  <si>
    <t>GREENLIFE PHARMACEUTICAL LIMITED,</t>
  </si>
  <si>
    <t>35A, ASSOCIATION AVENUE, ILUPEJU, LAGOS</t>
  </si>
  <si>
    <t>info@greenlifepharmaceuticals.com.ng</t>
  </si>
  <si>
    <t>07046183362</t>
  </si>
  <si>
    <t>LONART-DS NEW LOOK</t>
  </si>
  <si>
    <t>LONART DS.pdf</t>
  </si>
  <si>
    <t>8:12am</t>
  </si>
  <si>
    <t>16th July 2026</t>
  </si>
  <si>
    <t>SUPRA SLEEP</t>
  </si>
  <si>
    <t>A7-100814L</t>
  </si>
  <si>
    <t>2*15,1X10</t>
  </si>
  <si>
    <t>5,DOPEMU ROAD AGEGE, LAGOS STATE</t>
  </si>
  <si>
    <t>Falling asleep shouldn't be a struggle for the ones who wait to rest. Supra Sleep a gentle knock on the door of sleep</t>
  </si>
  <si>
    <t>SUPRA SLEEP.pdf</t>
  </si>
  <si>
    <t>EMZOR PARACETAMOL SYRUP</t>
  </si>
  <si>
    <t>04-0289</t>
  </si>
  <si>
    <t>1x15ml</t>
  </si>
  <si>
    <t>PLOT 3C BLK ASWANI MARKET ROAD, ISOLO, LAGOS</t>
  </si>
  <si>
    <t>customerservice@emzorpharma.com</t>
  </si>
  <si>
    <t>EMZOR PARACETAMOL MAKES YOU FEEL BETTER</t>
  </si>
  <si>
    <t>EMZOR PARACETAMOL SYRUP.pdf</t>
  </si>
  <si>
    <t>PIRAMAL TS-COMBI</t>
  </si>
  <si>
    <t>A11-100925</t>
  </si>
  <si>
    <t>3x3</t>
  </si>
  <si>
    <t>COMPLETE TREATMENT FOR MALARIA</t>
  </si>
  <si>
    <t>PIRAMAL TS.pdf</t>
  </si>
  <si>
    <t>EMZOR PARA 1000 CAPLETS</t>
  </si>
  <si>
    <t>A11-0104</t>
  </si>
  <si>
    <t>RELIEVES PAIN</t>
  </si>
  <si>
    <t>EMZOR PARA 1000.pdf</t>
  </si>
  <si>
    <t>EMZOR PARANIGHT CAPLET</t>
  </si>
  <si>
    <t>A11-0424</t>
  </si>
  <si>
    <t>PANDA DROPS</t>
  </si>
  <si>
    <t>04--1956</t>
  </si>
  <si>
    <t>15ML,30ML</t>
  </si>
  <si>
    <t>AFRAB CHEM LIMITED</t>
  </si>
  <si>
    <t>22, ABIMBOLA STREET, ISOLO INDUSTRIAL ESTATE, ISOLO, LAGOS, NIGERIA</t>
  </si>
  <si>
    <t>info@afrabchem.com</t>
  </si>
  <si>
    <t>234-1-2700057</t>
  </si>
  <si>
    <t>BILLBOARD</t>
  </si>
  <si>
    <t>AFRAB CHEM.pdf</t>
  </si>
  <si>
    <t>PANDA SYRUP</t>
  </si>
  <si>
    <t>04--1918</t>
  </si>
  <si>
    <t>CITRAMIN DROPS</t>
  </si>
  <si>
    <t>04--2341</t>
  </si>
  <si>
    <t>15ML 30ML</t>
  </si>
  <si>
    <t>CITRAMIN VITAMIN C SYRUP</t>
  </si>
  <si>
    <t>A4-6044</t>
  </si>
  <si>
    <t>AFRABVITE MULTIVITAMIN DROPS</t>
  </si>
  <si>
    <t>04-0213</t>
  </si>
  <si>
    <t>AFRABVITE MULTIVITAMIN SYRUP</t>
  </si>
  <si>
    <t>04-0215</t>
  </si>
  <si>
    <t>THORNTINA-74 MIXTURE</t>
  </si>
  <si>
    <t>A7-102868L</t>
  </si>
  <si>
    <t>300ML</t>
  </si>
  <si>
    <t>DIAGNOSTIC HERBAL INDUSTRY NIGERIA LIMITED</t>
  </si>
  <si>
    <t>23, LADOKE AKINTOLA STREET</t>
  </si>
  <si>
    <t>info@dhi.com.gh</t>
  </si>
  <si>
    <t>08033039267</t>
  </si>
  <si>
    <t>IMMUNE BOOSTER FOR GENERAL WELLNESS,COLOURLESS AND BITERLESS</t>
  </si>
  <si>
    <t>THORNTINA-74.pdf</t>
  </si>
  <si>
    <t>PIRAMAL TS TABLETS</t>
  </si>
  <si>
    <t>A11-100118</t>
  </si>
  <si>
    <t>1x3</t>
  </si>
  <si>
    <t>LET MALARIA FACE THE MUSIC WITH PIRAMAL TS.</t>
  </si>
  <si>
    <t>ENGLISH,IGBO,HAUSA,PIDGIN,YORUBA</t>
  </si>
  <si>
    <t>PIRAMAL.pdf</t>
  </si>
  <si>
    <t>EMZOLYN 4-WAY SYRUP</t>
  </si>
  <si>
    <t>A11-0921</t>
  </si>
  <si>
    <t>100ml</t>
  </si>
  <si>
    <t>MY PEOPLE NO LET STUBBORN COUGH,COLD&amp; CATARRH SHAME UNA FOR PUBLIC O,USE EMZOLYN-4-WAY COUGH SYRUP SAMA AM WELL WELL</t>
  </si>
  <si>
    <t>EMZOLYN 4-WAY COUGH SYRUP.pdf</t>
  </si>
  <si>
    <t>PIRAMAL DRY POWDER FOR ORAL SUSPENSION</t>
  </si>
  <si>
    <t>A11-100067</t>
  </si>
  <si>
    <t>80ML</t>
  </si>
  <si>
    <t>COMPLETE TREATMENT OF MALARIA</t>
  </si>
  <si>
    <t>PIRAMAL DRY POWDER.pdf</t>
  </si>
  <si>
    <t>DRUPHAGAN 0.2% STERILE EYE DROPS</t>
  </si>
  <si>
    <t>A11-0252</t>
  </si>
  <si>
    <t>5ML</t>
  </si>
  <si>
    <t>DRUGFIELD PHARMACEUTICALS LIMITED</t>
  </si>
  <si>
    <t> LYNSON CHEMICAL AVENUE, KM 38 LAGOS-ABEOKUTA EXPRESSWAY, SANGO-OTA,OGUN STATE</t>
  </si>
  <si>
    <t>08084354700</t>
  </si>
  <si>
    <t>BEAT INVISIBLE GLAUCOMA</t>
  </si>
  <si>
    <t>DRUPHAGAN.pdf</t>
  </si>
  <si>
    <t>NOSDRINE PLUS SYRUP</t>
  </si>
  <si>
    <t>A11-100672</t>
  </si>
  <si>
    <t>ONE STOP TREATMENT TO ALLERGIES</t>
  </si>
  <si>
    <t>NOSDRINE SYRUP.pdf</t>
  </si>
  <si>
    <t>DRUPANCID CAPSULE</t>
  </si>
  <si>
    <t>A11-100865</t>
  </si>
  <si>
    <t>3x10capsules</t>
  </si>
  <si>
    <t>DELIVERING PEACE OF MIND,LESS INTERACTION,FOR EFFECTIVE ACID REFLUX TREATMENT</t>
  </si>
  <si>
    <t>DRUPANCID CAPSULES.pdf</t>
  </si>
  <si>
    <t>TYDISIL TABLET</t>
  </si>
  <si>
    <t>A4-100352</t>
  </si>
  <si>
    <t>2*7</t>
  </si>
  <si>
    <t>info@osworthnigeria.com</t>
  </si>
  <si>
    <t>08087189930</t>
  </si>
  <si>
    <t>KNOCK OUT FUNGAL INFECTIONS WITH TYDISIL</t>
  </si>
  <si>
    <t>TYDISIL TABLET.pdf</t>
  </si>
  <si>
    <t>HAEPLER BLOOD CAPSULES</t>
  </si>
  <si>
    <t>04-7680</t>
  </si>
  <si>
    <t>RESTORES ENERGY,VIGUOR&amp; VITALITY</t>
  </si>
  <si>
    <t>HAEPLER BLOOD CAPSULES.pdf</t>
  </si>
  <si>
    <t>HAEPLER BLOOD TONIC</t>
  </si>
  <si>
    <t>04-7681</t>
  </si>
  <si>
    <t>1x6,1x12,1X18,1x24Tablet</t>
  </si>
  <si>
    <t>NO.2, MAI KARAM PLAZA NIGER STREET, KANO</t>
  </si>
  <si>
    <t>FIGHTING MALARIA CHOOSE PINAMAL</t>
  </si>
  <si>
    <t>PINAMAL TABLET.pdf</t>
  </si>
  <si>
    <t>12:56pm</t>
  </si>
  <si>
    <t>yes</t>
  </si>
  <si>
    <t>LUTER TABLETS</t>
  </si>
  <si>
    <t>B4-3240</t>
  </si>
  <si>
    <t>PHAMATEX NIGERIA LIMITED</t>
  </si>
  <si>
    <t> 1, CRYSTAL GLASS CLOSE, AMUWO-ODOFIN</t>
  </si>
  <si>
    <t>pharmatex@gmail.com</t>
  </si>
  <si>
    <t>07068929900</t>
  </si>
  <si>
    <t>FINAL MATCH</t>
  </si>
  <si>
    <t>LUTER TABLET.pdf</t>
  </si>
  <si>
    <t>HELD CAPTIVE BY MALARIA</t>
  </si>
  <si>
    <t>LUTER-HELD BY MALARIA.pdf</t>
  </si>
  <si>
    <t>REXONA BRIGHT BOUQUET</t>
  </si>
  <si>
    <t>A2-102859</t>
  </si>
  <si>
    <t>EVERYBODY MOVES</t>
  </si>
  <si>
    <t>REXONA BRIGHT BOUQUET.pdf</t>
  </si>
  <si>
    <t>NIS BUILDING, PLOT B, BLOCK H, ELEPHANT CEMENT WAY CBD, IKEJA IKEJA LAGOS</t>
  </si>
  <si>
    <t>IMMUNE BOOSTING SUPPORT YOU CAN TRUST</t>
  </si>
  <si>
    <t>STIMUNO FORTE CAPSULES.pdf</t>
  </si>
  <si>
    <t>STIMUNO FORTE SYRUP</t>
  </si>
  <si>
    <t>A7-0890L</t>
  </si>
  <si>
    <t>IMMUNE SUPPORT YOU CAN TRUST</t>
  </si>
  <si>
    <t>IMMUNE SUPPORT FOR THE WHOLE FAMILY</t>
  </si>
  <si>
    <t>STIMUNO-IMMUNE SUPPORT FOR THE WHOLE FAMILY.pdf</t>
  </si>
  <si>
    <t>GOODKNIGHT POWER STICK ANTIMOSQUITO INCENSE STICKS</t>
  </si>
  <si>
    <t>BRAHMI SHAKTI CAPSULES</t>
  </si>
  <si>
    <t>A7-103068</t>
  </si>
  <si>
    <t>60 CAPSULES / BOTTLE</t>
  </si>
  <si>
    <t> 15, RAFIU AJIBADE CLOSE OMOLE PHASE 2, EXTENTION LAGOS LAGOS</t>
  </si>
  <si>
    <t>09050228890</t>
  </si>
  <si>
    <t>BRAHMI SHAKTI STORYBOARD</t>
  </si>
  <si>
    <t>30/06/2026</t>
  </si>
  <si>
    <t>June</t>
  </si>
  <si>
    <t>BRAHMI SHAKTI HERBAL CAPSULE.pdf</t>
  </si>
  <si>
    <t>PANADOL EXTRA CAPLET</t>
  </si>
  <si>
    <t>04-0005</t>
  </si>
  <si>
    <t>10X10,4X25</t>
  </si>
  <si>
    <t>PLOT 1, BLOCK 9, ALHAJI ADEJUMO AVENUE, ILUPEJU IND. ESTATE</t>
  </si>
  <si>
    <t>adenike.ibironke  @worldwidehealthcare.com</t>
  </si>
  <si>
    <t>07051890004</t>
  </si>
  <si>
    <t>If e no be Panadol, e no fit be like Panadol</t>
  </si>
  <si>
    <t>PANADOL EXTRA.pdf</t>
  </si>
  <si>
    <t>PANADOL PAIN AND FEVER CAPLET</t>
  </si>
  <si>
    <t>04-0205</t>
  </si>
  <si>
    <t>Kia Kia Relief from pain and fever</t>
  </si>
  <si>
    <t>PANADOL PAIN AND FEVER.pdf</t>
  </si>
  <si>
    <t>BRETT ZERO MOUTHWASH</t>
  </si>
  <si>
    <t>250ML,2*3packs,500ML,2*3pack</t>
  </si>
  <si>
    <t>PHARMA DEKO PLC</t>
  </si>
  <si>
    <t>PLOT C1/1 OKENE CLOSE, AGBARA INDUSTRIAL ESTATE AGBARA, OGUN OGUN</t>
  </si>
  <si>
    <t>info@pharmadekoplc.com</t>
  </si>
  <si>
    <t>08159060293</t>
  </si>
  <si>
    <t>GET BRETT MOUTHWASH CONFIDENCE CLEANER BREATH AND WHOLE MOUTH FRESHNESS</t>
  </si>
  <si>
    <t>BRETT ZERO MOUTHWASH.pdf</t>
  </si>
  <si>
    <t>BRETT GOLD MOUTH WASH</t>
  </si>
  <si>
    <t>B4-3732</t>
  </si>
  <si>
    <t>CUSSONS CAREX ANTIBACTERIAL SOAP (Original)</t>
  </si>
  <si>
    <t>A2-105811</t>
  </si>
  <si>
    <t>75g</t>
  </si>
  <si>
    <t>PZindustries@pzcussons.com</t>
  </si>
  <si>
    <t>09037794741</t>
  </si>
  <si>
    <t>CAREX EVERYONE WINS PROMO</t>
  </si>
  <si>
    <t>CUSSONS CAREX ANTIBACTERIAL SOAP.pdf</t>
  </si>
  <si>
    <t>BRETT MINTY MOUTHWASH</t>
  </si>
  <si>
    <t>04-0367</t>
  </si>
  <si>
    <t>PLOT 3C BLK ASWANI MARKET ROAD,ISOLO</t>
  </si>
  <si>
    <t>customerservice@emzorpharmana.com</t>
  </si>
  <si>
    <t>ACHES AND PAINS ARE CLEARED...</t>
  </si>
  <si>
    <t>Yoruba</t>
  </si>
  <si>
    <t>EMZOR PARA 1000 (2).pdf</t>
  </si>
  <si>
    <t>RABCID CAPSULES</t>
  </si>
  <si>
    <t>A11-100682</t>
  </si>
  <si>
    <t>FAST ACTING&amp;LONG LASTING RELIEF FROM ACID REFLUX</t>
  </si>
  <si>
    <t>REVALIDATION</t>
  </si>
  <si>
    <t>RABCID.pdf</t>
  </si>
  <si>
    <t> 9, Oyinkan Abayomi Drive, Ikoyi</t>
  </si>
  <si>
    <t>2X CLEANER MORE FRAGRANCE IN EVERY DROP</t>
  </si>
  <si>
    <t>SOKLIN.pdf</t>
  </si>
  <si>
    <t>LYNSUNATE SOFTGEL 80/480</t>
  </si>
  <si>
    <t>momohoge@yahoo.com</t>
  </si>
  <si>
    <t>08033411628</t>
  </si>
  <si>
    <t>ZERO SMELL EASY TO SWALLOW ZERO BITTER TASTE</t>
  </si>
  <si>
    <t>LYNSUNATE SOFTGEL.pdf</t>
  </si>
  <si>
    <t>SEEDS OF BEAUTY NATURAL SKIN LIGHTENING LOTION</t>
  </si>
  <si>
    <t>A2-0515,A2-0521,A2-0732,A2-0519,A2-0516,A2-109140</t>
  </si>
  <si>
    <t>250ML</t>
  </si>
  <si>
    <t>STELLARCHEM NIGERIA LIMITED</t>
  </si>
  <si>
    <t>PLOT 1, OREMEJI AVENUE,BAMMEKE-SHASHA,AKWONJO,LAGOS STATE</t>
  </si>
  <si>
    <t>Discover Seeds of Beauty, your natural path to radiant skin, lush hair, and timeless glow. Made with 99.9% natural ingredients by Stellarchem NIG. LTD. Every product is crafted for real results.</t>
  </si>
  <si>
    <t>SEEDS OF BEAUTY.pdf</t>
  </si>
  <si>
    <t>SEEDS OF BEAUTY NATURAL SKIN SMOOTHENING LOTION</t>
  </si>
  <si>
    <t>A2-0517</t>
  </si>
  <si>
    <t>Goodknight power Stick Anti Mosquito Incense Stick</t>
  </si>
  <si>
    <t>A10-101258</t>
  </si>
  <si>
    <t>START WORKING IN JUST TWO MINUTES AND GIVES YOU A MOSQUITO FREE ROOM</t>
  </si>
  <si>
    <t xml:space="preserve">Actilyse 50mg powder </t>
  </si>
  <si>
    <t>A6-0592</t>
  </si>
  <si>
    <t xml:space="preserve">1 Injection vial contain 50mg recombinant human tissue-type plasminogen activator in 2333mg dry substance 1 Vial of solvent contain 50ml sterlle water for injection	</t>
  </si>
  <si>
    <t>9, OYINKAN ABAYOMI DRIVE, IKOYI</t>
  </si>
  <si>
    <t>Intravenous Thrombolysis in stroke mimics</t>
  </si>
  <si>
    <t>JUNE</t>
  </si>
  <si>
    <t>ACTILYSE</t>
  </si>
  <si>
    <t>Stratification of AIS patients for thrombectomy &amp; bridging therapy</t>
  </si>
  <si>
    <t>ACTILYSE 0.2</t>
  </si>
  <si>
    <t>A7-100647</t>
  </si>
  <si>
    <t>The Supra Care</t>
  </si>
  <si>
    <t>SUPRA CARE</t>
  </si>
  <si>
    <t>SUPRA FIT MEN</t>
  </si>
  <si>
    <t>SWISS PHARMA NIGERIA LIMITED.</t>
  </si>
  <si>
    <t>A7-100452</t>
  </si>
  <si>
    <t>COMPANY WEBSITE</t>
  </si>
  <si>
    <t>11:48AM</t>
  </si>
  <si>
    <t>SUPRA FIT WOMEN</t>
  </si>
  <si>
    <t>A7-100646</t>
  </si>
  <si>
    <t>11:47AM</t>
  </si>
  <si>
    <t>SUPRA FIT</t>
  </si>
  <si>
    <t>SUPRACARE</t>
  </si>
  <si>
    <t>A7-100216</t>
  </si>
  <si>
    <t>2*15,1*10</t>
  </si>
  <si>
    <t>SUPRA FEM</t>
  </si>
  <si>
    <t>A7-100217</t>
  </si>
  <si>
    <t>2*15,2*15,1*10</t>
  </si>
  <si>
    <t>SUPRA FEM PLUS</t>
  </si>
  <si>
    <t>A7-100218</t>
  </si>
  <si>
    <t>11:15AM</t>
  </si>
  <si>
    <t>SUPRA KIDS SYRUP</t>
  </si>
  <si>
    <t>A7-100649</t>
  </si>
  <si>
    <t>SUPRA CAL</t>
  </si>
  <si>
    <t>30/6/2026</t>
  </si>
  <si>
    <t>SUPRA OPTHA</t>
  </si>
  <si>
    <t>SUPRA KIDS DROPS</t>
  </si>
  <si>
    <t>mailto:swipha@swiphanigeria.com</t>
  </si>
  <si>
    <t>ROBB EXTRA MENTHOL OINMENT</t>
  </si>
  <si>
    <t>10x10</t>
  </si>
  <si>
    <t>MOVIE NIGHT</t>
  </si>
  <si>
    <t>ROBB.pdf</t>
  </si>
  <si>
    <t>04--8344</t>
  </si>
  <si>
    <t>WITH EMPIRIN 75,THE BEAT GOES ON</t>
  </si>
  <si>
    <t>HAUSA, YORUBA,IGBO,ENGLISH</t>
  </si>
  <si>
    <t>EMPRIN-75.pdf</t>
  </si>
  <si>
    <t>AQUAMULT</t>
  </si>
  <si>
    <t>A7-100821</t>
  </si>
  <si>
    <t>PINNACLE HEALTH PHARMACEUTICAL &amp; STORES LTD</t>
  </si>
  <si>
    <t> 16/18 NURU ONIWO STREET, AGUDA SURULERE, LAGOS</t>
  </si>
  <si>
    <t>phppharma@yahoo.com</t>
  </si>
  <si>
    <t>07082376664</t>
  </si>
  <si>
    <t>AQUAMULT ADVANCED VITALITY COMPLEX Complete Nutrition for Energy, Immunity and Everyday Wellness</t>
  </si>
  <si>
    <t>AQUAMULT.pdf</t>
  </si>
  <si>
    <t>STELLA BODY LOTION</t>
  </si>
  <si>
    <t>A7-108350</t>
  </si>
  <si>
    <t>DEEP MOISTURE (Visible Dryness Relief for the family)</t>
  </si>
  <si>
    <t>STELLA BODY LOTION.pdf</t>
  </si>
  <si>
    <t>1 year</t>
  </si>
  <si>
    <t>GRANNY'S STEPS</t>
  </si>
  <si>
    <t>ROBB EXTRA MENTHOL.pdf</t>
  </si>
  <si>
    <t>SEPTAMAL TABLETS 80/480MG</t>
  </si>
  <si>
    <t>1 x 6</t>
  </si>
  <si>
    <t>SEPAT PHARMACEUTICALS LTD</t>
  </si>
  <si>
    <t>SUITE 7, COMMERCE PLAZA, GARKI</t>
  </si>
  <si>
    <t>sepatpharmaceutical@gmail.com</t>
  </si>
  <si>
    <t>0802213039</t>
  </si>
  <si>
    <t>SEPTAMAL! Beating Malaria, Restoring Health • Fight malaria with SEPTAMAL. • SEPTAMAL treats malaria and gives you full recovery. NOTE: If symptoms persist after 3 days, consult your doctor. Available at pharmacies and hospitals near you.</t>
  </si>
  <si>
    <t>SEPTAMAL.pdf</t>
  </si>
  <si>
    <t>Ibucap Cold and Flu Tablet;Ibucap Cold and Flu Syrup</t>
  </si>
  <si>
    <t>B4-6720;B4-6718</t>
  </si>
  <si>
    <t>1x4;100ML</t>
  </si>
  <si>
    <t xml:space="preserve"> 19 FATAI ATERE WAY, MATORI, MUSHIN, LAGOS</t>
  </si>
  <si>
    <t>mailto:shalina.regulatory@yahoo.com</t>
  </si>
  <si>
    <t>0810 753 9920</t>
  </si>
  <si>
    <t>Stop Catarrh with Ease</t>
  </si>
  <si>
    <t>ENGLISH, HAUSA, IGBO, YORUBA</t>
  </si>
  <si>
    <t>IBUCAP COLD AND FLU.pdf</t>
  </si>
  <si>
    <t>YOUTUBE</t>
  </si>
  <si>
    <t>Reach for Emtrisil Chewables and get effective relief from gas</t>
  </si>
  <si>
    <t>ENGLISH, IGBO, PIDGIN</t>
  </si>
  <si>
    <t>EMTRISIL-FIMIN-EMCAP-LOKMAL.pdf</t>
  </si>
  <si>
    <t>FIMIN SYRUP</t>
  </si>
  <si>
    <t>Choose Fimin today to help soothe your baby’s pains</t>
  </si>
  <si>
    <t>EMCAP SUSPENSION</t>
  </si>
  <si>
    <t>With Emcap Suspension, you will feel much better</t>
  </si>
  <si>
    <t>1X6, 1X12</t>
  </si>
  <si>
    <t>An effective combination that helps you beat malaria and the aches and fever that comes with it</t>
  </si>
  <si>
    <t>IMPERIO PRIVÉ HIBISCUS MAHAJAD EAU DE PARFUM</t>
  </si>
  <si>
    <t>A2-108898</t>
  </si>
  <si>
    <t>PLOT 6, AYODELE DIYAN ROAD, IKEJA INDUSTRIAL ESTATE, IKEJA, LAGOS</t>
  </si>
  <si>
    <t>IMPERIO PRIVE</t>
  </si>
  <si>
    <t>IMPERIO PRIVE.pdf</t>
  </si>
  <si>
    <t>IMPERIO PRIVÉ OUD CADENZA EAU DE PARFUM</t>
  </si>
  <si>
    <t>A2-108897</t>
  </si>
  <si>
    <t>IMPERIO PRIVÉ OUD STALLION EAU DE PARFUM</t>
  </si>
  <si>
    <t>A2-108900</t>
  </si>
  <si>
    <t>IMPERIO PRIVÉ CUIR INFRAROUGE EAU DE PARFUM</t>
  </si>
  <si>
    <t>A2-108899</t>
  </si>
  <si>
    <t>IMPERIO PRIVÉ OUD MARACUJA EAU DE PARFUM</t>
  </si>
  <si>
    <t>A2-108908</t>
  </si>
  <si>
    <t>IMPERIO PRIVÉ TUBÉREUSE ASTRALE EAU DE PARFUM</t>
  </si>
  <si>
    <t>A2-108907</t>
  </si>
  <si>
    <t>Emcap Extra. Na the effective combo of paracetamol and caffeine for that kain pain</t>
  </si>
  <si>
    <t>HAUSA, YORUBA,IGBO, PIDGIN</t>
  </si>
  <si>
    <t>EMCAP EXTRA CAPLET.pdf</t>
  </si>
  <si>
    <t>60doses inhalation</t>
  </si>
  <si>
    <t>This article is On the ball coaching patients on their AAP (PM-NG-FPS-WCNT-250003)</t>
  </si>
  <si>
    <t>SERETIDE 250MCG50MCG DISKUS INHALATION POWDER.pdf</t>
  </si>
  <si>
    <t>AUGMENTIN TABLETS 625mg;AUGMENTIN TABLETS 1G</t>
  </si>
  <si>
    <t>04-1928;04-8655</t>
  </si>
  <si>
    <t>2X7Tablets;2X7Tablets</t>
  </si>
  <si>
    <t>Augmentin’s reliability as antibiotic among patients – Web banner(PM-NG-ACA-BNNR-260002) and Story Board(PM-NG-ACA-STBD-260001)</t>
  </si>
  <si>
    <t>AUGMENTIN TABLETS 625mg n 1G.pdf</t>
  </si>
  <si>
    <t>DIGICID PLUS SUSPENSION</t>
  </si>
  <si>
    <t>A11-101025</t>
  </si>
  <si>
    <t>1X200ML</t>
  </si>
  <si>
    <t>SAGAR VITACEUTICALS NIGERIA LTD</t>
  </si>
  <si>
    <t>Plot 2, Ladipo Oluwole Street, off Oba Akran Avenue, Ikeja, Lagos</t>
  </si>
  <si>
    <t>management@svnl.in;spmakun@gmail.com</t>
  </si>
  <si>
    <t>08067233257;07018374095</t>
  </si>
  <si>
    <t>INTRODUCING DIGICID PLUS SUSPENSION</t>
  </si>
  <si>
    <t>DIGICID PLUS SUSPENSION.pdf</t>
  </si>
  <si>
    <t>1X6;2X6</t>
  </si>
  <si>
    <t>Lokmal Dispersible Tablet is here for you and your child</t>
  </si>
  <si>
    <t>LOKMAL DISPERSIBLE TABLET.pdf</t>
  </si>
  <si>
    <t>Actilyse 50mg powder</t>
  </si>
  <si>
    <t>1 Injection vial contain 50mg recombinant human tissue-type plasminogen activator in 2333mg dry substance 1 Vial of solvent contain 50ml sterlle water for injection</t>
  </si>
  <si>
    <t>Actilyse Dosage and Reconstitution</t>
  </si>
  <si>
    <t>Actilyse 50mg powder.pdf</t>
  </si>
  <si>
    <t>CANESTEN GYN OVULES</t>
  </si>
  <si>
    <t>A11-100544</t>
  </si>
  <si>
    <t>BAYER NIGERIA LIMITED</t>
  </si>
  <si>
    <t>26 &amp; 31 Workstation, Maryland Mall, Ikeja;20 Mobolaji Bank Anthony Way, Lagos;6th Floor, Kresta Laurel Complex, 376 Ikorodu Road, Maryland, Lagos</t>
  </si>
  <si>
    <t>09038867145</t>
  </si>
  <si>
    <t> Any woman can get thrush. • Thrush is more common than you think</t>
  </si>
  <si>
    <t>CANESTEN GYN OVULES.pdf</t>
  </si>
  <si>
    <t>XALACOM EYE DROPS</t>
  </si>
  <si>
    <t>A4-2253</t>
  </si>
  <si>
    <t>1x2.5ML</t>
  </si>
  <si>
    <t>Vision goes a long way with the right balance of efficacy and tolerability</t>
  </si>
  <si>
    <t>XALATAN EYE DROPSXALACOM EYE DROPS.pdf</t>
  </si>
  <si>
    <t>XALATAN EYE DROPS</t>
  </si>
  <si>
    <t>04-4198</t>
  </si>
  <si>
    <t>Learn how to prepare Alteplase (Actilyse) Advert Concept: Actilyse Reconstitution</t>
  </si>
  <si>
    <t>Actilyse 50mg powder-Email.pdf</t>
  </si>
  <si>
    <t>Eucerin Oil Control Sun Gel Cream</t>
  </si>
  <si>
    <t>A2-103368</t>
  </si>
  <si>
    <t>50ML,20ML</t>
  </si>
  <si>
    <t>9, Kaffi Street, Alausa, Ikeja Lagos; 21Akinyemi  Crescent, Off Fatai Atere Way, Matori, Mushin, Lagos</t>
  </si>
  <si>
    <t>julius.itsisor@beiersdorf.com</t>
  </si>
  <si>
    <t>09087511970</t>
  </si>
  <si>
    <t>0% Residue Sticky Grease, 12hr Oil Control</t>
  </si>
  <si>
    <t>Eucerin Oil Control Sun Gel Cream.pdf</t>
  </si>
  <si>
    <t>WELLROZE CAPSULES</t>
  </si>
  <si>
    <t>lyn-edgepharm@yahoo.com</t>
  </si>
  <si>
    <t>08033411628;07031710916</t>
  </si>
  <si>
    <t>1 FORMULA FOR MAN &amp; WOMAN</t>
  </si>
  <si>
    <t>WELLROZE CAPSULES.pdf</t>
  </si>
  <si>
    <t>The Clinical benefits of IVT in Patients with cardioembolic stroke</t>
  </si>
  <si>
    <t>Actilyse 50mg powder-Leave Behind.pdf</t>
  </si>
  <si>
    <t>Efficacy and safety of Actilyse in Acute Ischaemic Stroke across various age groups</t>
  </si>
  <si>
    <t>Actilyse 50mg powder-LeaveBehindnEmail.pdf</t>
  </si>
  <si>
    <t>ARTEMETHER AND LUMEFANTRINE TABLETS 20MG/120MG;ARTEMETHER AND LUMEFANTRINE TABLETS 80MG/480MG</t>
  </si>
  <si>
    <t>A4-101207;A4-101213</t>
  </si>
  <si>
    <t>1X24;1X6</t>
  </si>
  <si>
    <t>Asgrow Pharmaceuticals Limited</t>
  </si>
  <si>
    <t>KLM 18, LEKKI EPE EXPRESSWAY, OSAPA, LEKKI, ETI-OSA, LAGOS</t>
  </si>
  <si>
    <t>asgrowpharma@kunech.com</t>
  </si>
  <si>
    <t>08090206267</t>
  </si>
  <si>
    <t>No vacancy for malaria</t>
  </si>
  <si>
    <t>ENGLISH, HAUSA, IGBO, YORUBA, PIDGIN</t>
  </si>
  <si>
    <t>ASGROMAL.pdf</t>
  </si>
  <si>
    <t>DETTOL ANTISEPTIC DISINFECTANT</t>
  </si>
  <si>
    <t>04-2487</t>
  </si>
  <si>
    <t>2L</t>
  </si>
  <si>
    <t xml:space="preserve"> 21 LUGARD AVENUE , IKOYI LAGOS LAGOS;12 Montgomery Road, Yaba, Lagos</t>
  </si>
  <si>
    <t>mailto:bolanle.aladegbola@rb.com;uzo.amatokwu@reckitt.com;oladimeji.agbolade@reckittbenckiser.com</t>
  </si>
  <si>
    <t>Dettol Mighty Smallie Jingle</t>
  </si>
  <si>
    <t>DETTOL ANTISEPTIC DISINFECTANT.pdf</t>
  </si>
  <si>
    <t>A7-103067</t>
  </si>
  <si>
    <t>JANIS NUTRITION.</t>
  </si>
  <si>
    <t>15, RAFIU AJIBADE CLOSE OMOLE PHASE 2, EXTENTION LAGOS LAGOS</t>
  </si>
  <si>
    <t>JANIS D-35 CAPSULES Supporting wellness every day.</t>
  </si>
  <si>
    <t>JANIS</t>
  </si>
  <si>
    <t xml:space="preserve">JANIS D-35 DIETARY SUPPLEMENT CAPSULES </t>
  </si>
  <si>
    <t>A7-103066</t>
  </si>
  <si>
    <t xml:space="preserve">60 CAPSULES / BOTTLE </t>
  </si>
  <si>
    <t xml:space="preserve"> 15, RAFIU AJIBADE CLOSE OMOLE PHASE 2, EXTENTION LAGOS LAGOS</t>
  </si>
  <si>
    <t>Be there for every moment. Every laugh. Every milestone. Every heartbeat.</t>
  </si>
  <si>
    <t>NBS-23</t>
  </si>
  <si>
    <t>JANIS D-35 DIETARY SUPPLEMENT CAPSULES</t>
  </si>
  <si>
    <t>NBS-23 CAPSULES</t>
  </si>
  <si>
    <t xml:space="preserve">A7-103070 	</t>
  </si>
  <si>
    <t>EVERYDAY HEROES</t>
  </si>
  <si>
    <t>CG-95</t>
  </si>
  <si>
    <t xml:space="preserve">CG-95 CAPSULES </t>
  </si>
  <si>
    <t xml:space="preserve">60doses inhalation </t>
  </si>
  <si>
    <t xml:space="preserve"> NO. 49, KOFO ABAYOMI STREET, APAPA NULL NULL, LAGOS</t>
  </si>
  <si>
    <t>0809 999 3487</t>
  </si>
  <si>
    <t xml:space="preserve">Seretide Restock Email (PM-NG-FPS-EML-260003) </t>
  </si>
  <si>
    <t>SERETIDE</t>
  </si>
  <si>
    <t>SERETIDE.pdf</t>
  </si>
  <si>
    <t xml:space="preserve"> </t>
  </si>
  <si>
    <t>Gestid Suspension 200ml</t>
  </si>
  <si>
    <t>04-0480</t>
  </si>
  <si>
    <t xml:space="preserve">100ml,200ml	</t>
  </si>
  <si>
    <t>RANBAXY NIGERIA LIMITED.</t>
  </si>
  <si>
    <t>Km 30, Lagos - Ibadan Expressway, Magboro, Ogun State</t>
  </si>
  <si>
    <t>Gestid Range use in Heartburns, Indigestion, Acidity and Gas</t>
  </si>
  <si>
    <t>ENGLISH, HAUSA, PIDGIN</t>
  </si>
  <si>
    <t>GESTID</t>
  </si>
  <si>
    <t>100ml,200ml</t>
  </si>
  <si>
    <t>Gestid Tablets</t>
  </si>
  <si>
    <t>04-2185</t>
  </si>
  <si>
    <t>5*4packs</t>
  </si>
  <si>
    <t>mailto:Rosanna.Iwuala@sunpharma.com</t>
  </si>
  <si>
    <t xml:space="preserve">Gestid Plus Suspension </t>
  </si>
  <si>
    <t>A4-7249</t>
  </si>
  <si>
    <t xml:space="preserve">Gestid Tablets - Orange Flavour </t>
  </si>
  <si>
    <t>A11-101059</t>
  </si>
  <si>
    <t>5 x 4</t>
  </si>
  <si>
    <t xml:space="preserve">Gestid Tablets Pineapple Flavour </t>
  </si>
  <si>
    <t>A11-101069</t>
  </si>
  <si>
    <t>5 x 4 Tablets in Alu/PVC Strip</t>
  </si>
  <si>
    <t>1x2.5ml</t>
  </si>
  <si>
    <t>VIATRIS PHARMACEUTICALS PTY LTD</t>
  </si>
  <si>
    <t xml:space="preserve"> 49, RAYMOND NJOKU STREET, IKOYI</t>
  </si>
  <si>
    <t>Latanoprost, A Breakthrough Treatment for Long Term Protection</t>
  </si>
  <si>
    <t>GESTID.pdf</t>
  </si>
  <si>
    <t>49, RAYMOND NJOKU STREET, IKOYI</t>
  </si>
  <si>
    <t>XALACOM</t>
  </si>
  <si>
    <t xml:space="preserve">Gestifiz Powder </t>
  </si>
  <si>
    <t>4.5g</t>
  </si>
  <si>
    <t>RANBAXY NIGERIA LIMITED</t>
  </si>
  <si>
    <t>ATTACHED</t>
  </si>
  <si>
    <t>GESTIFIZ</t>
  </si>
  <si>
    <t>Gestifiz Powder</t>
  </si>
  <si>
    <t>VIATRIS PHARMACEUTICALS PTY LTD,</t>
  </si>
  <si>
    <t xml:space="preserve">Can fixed-dose combinations be a key to control IOP
</t>
  </si>
  <si>
    <t>Can fixed-dose combinations be a key to control IOP</t>
  </si>
  <si>
    <t>XALATAN® (Latanoprost) Offers Better Intraocular Pressure (IOP) Reduction and Better Adherence”,</t>
  </si>
  <si>
    <t>XALATAN</t>
  </si>
  <si>
    <t xml:space="preserve">XALATAN </t>
  </si>
  <si>
    <t>Alieve 200mg Tablets</t>
  </si>
  <si>
    <t>A11-100812</t>
  </si>
  <si>
    <t>2*10</t>
  </si>
  <si>
    <t>CHI PHARMACEUTICAL LIMITED,</t>
  </si>
  <si>
    <t xml:space="preserve"> 14 CHIVITA AVENUE APAKUN EST, OSHODI. LAGOS STATE</t>
  </si>
  <si>
    <t>+234-1-7003000</t>
  </si>
  <si>
    <t>HUMAN AFTER ALL</t>
  </si>
  <si>
    <t>ALIEVE</t>
  </si>
  <si>
    <t>ALIEVE.pdf</t>
  </si>
  <si>
    <t>200ml</t>
  </si>
  <si>
    <t>SHALINA HEALTHCARE NIGERIA LIMITED,</t>
  </si>
  <si>
    <t>mailto:info@shalina.com</t>
  </si>
  <si>
    <t>Relief from heartburn &amp; indigestion .... starts in 25sec.</t>
  </si>
  <si>
    <t>Hemoforce Forte Syrup</t>
  </si>
  <si>
    <t>B4-6555</t>
  </si>
  <si>
    <t xml:space="preserve">Hemoforce plus syrup - Builds Blood: Recovery after malaria; </t>
  </si>
  <si>
    <t>HEMOFORCE FORTE</t>
  </si>
  <si>
    <t>Hemoforce plus syrup - Builds Blood: Recovery after malaria;</t>
  </si>
  <si>
    <t>HEMOFORCE PLUS SYRUP</t>
  </si>
  <si>
    <t>A4-9352</t>
  </si>
  <si>
    <t xml:space="preserve">Hemoforce forte syrup - Buidls Blood: Everyday for energy
</t>
  </si>
  <si>
    <t>HEMOFORCE PLUS</t>
  </si>
  <si>
    <t xml:space="preserve">KESSTER.CHIMYENUM@UNILEVER.COM	</t>
  </si>
  <si>
    <t>Closer is better</t>
  </si>
  <si>
    <t>CLOSEUP</t>
  </si>
  <si>
    <t>Closeup Complete Fresh Protection Toothpaste</t>
  </si>
  <si>
    <t xml:space="preserve"> A2-5334</t>
  </si>
  <si>
    <t>bridget.mayor@unilever.com</t>
  </si>
  <si>
    <t>Closeup Everfresh Menthol Fresh</t>
  </si>
  <si>
    <t xml:space="preserve"> 02-7347</t>
  </si>
  <si>
    <t>140g</t>
  </si>
  <si>
    <t>M &amp; B Azithromycin Tablet</t>
  </si>
  <si>
    <t>A11-100595</t>
  </si>
  <si>
    <t xml:space="preserve"> 3/5, SAPARA STREET. IND ESTATE, IKEJA</t>
  </si>
  <si>
    <t>TRUSTED SOLUTION FOR SUSCEPTIBLE BACTERIAL INFECTIONS</t>
  </si>
  <si>
    <t>NIL</t>
  </si>
  <si>
    <t>mailto:info@may-baker.com</t>
  </si>
  <si>
    <t>A4-101819</t>
  </si>
  <si>
    <t>STOP MALARIA BEFORE IT STOPS YOU</t>
  </si>
  <si>
    <t>ENGLISH, PIDGIN, IGBO, HAUSA, YORUBA.</t>
  </si>
  <si>
    <t>LYSUNATE SOFTGEL</t>
  </si>
  <si>
    <t>SHAL'ARTEM DISPERSIBLE TABLET</t>
  </si>
  <si>
    <t>A4-8658</t>
  </si>
  <si>
    <t>info@shalina.com</t>
  </si>
  <si>
    <t>Knockout Malaria in 3 days</t>
  </si>
  <si>
    <t>ENGLISH, HAUSA, YORUBA.</t>
  </si>
  <si>
    <t>SHAL'ARTEM</t>
  </si>
  <si>
    <t>Shal'artem Tablet 20mg/120mg</t>
  </si>
  <si>
    <t>B4-6611</t>
  </si>
  <si>
    <t>1X24TABLET,1X12TABLETS, 1X18TABLETS,40X24TABLETS</t>
  </si>
  <si>
    <t>shalina.regulatory@yahoo.com</t>
  </si>
  <si>
    <t>SHAL'ARTEM FORTE TABLETS</t>
  </si>
  <si>
    <t>A4-8201</t>
  </si>
  <si>
    <t>1X6TABLETS,40x6Tablets</t>
  </si>
  <si>
    <t>theophilus.adimoha@shalina.com</t>
  </si>
  <si>
    <t>Shal'artem Dispersible Tablet</t>
  </si>
  <si>
    <t>Malaria Go Away</t>
  </si>
  <si>
    <t>SHAL'ARRTEM 0.2</t>
  </si>
  <si>
    <t>SHAL'ARTEM 0.2</t>
  </si>
  <si>
    <t>mailto:theophilus.adimoha@shalina.com</t>
  </si>
  <si>
    <t>Floranorm Granules</t>
  </si>
  <si>
    <t xml:space="preserve"> A4-1618</t>
  </si>
  <si>
    <t xml:space="preserve">Keeps intestinal tract on track </t>
  </si>
  <si>
    <t>FLORANORM</t>
  </si>
  <si>
    <t>NBP-97 CAPSULES</t>
  </si>
  <si>
    <t>A7-103069L</t>
  </si>
  <si>
    <t>mailto:janisnutrition@gmail.com</t>
  </si>
  <si>
    <t>Every Heartbeat is a promise...support your heart with NBP-97 CAPSULES</t>
  </si>
  <si>
    <t>NBP-97</t>
  </si>
  <si>
    <t>ZINATOL GEL</t>
  </si>
  <si>
    <t>A4-100211</t>
  </si>
  <si>
    <t>30gm</t>
  </si>
  <si>
    <t>Kessington Global Synergy Ltd</t>
  </si>
  <si>
    <t xml:space="preserve"> 38, Governor Way, Maple Wood Estate, Oko-Oba, Lagos</t>
  </si>
  <si>
    <t>mailto:stephenez@yahoo.com</t>
  </si>
  <si>
    <t>ZINATOL</t>
  </si>
  <si>
    <t xml:space="preserve">Kescef Cream </t>
  </si>
  <si>
    <t>A4-100355</t>
  </si>
  <si>
    <t>REQUEST FOR REVALIDATION</t>
  </si>
  <si>
    <t>KESCEF</t>
  </si>
  <si>
    <t>Revite Soft Gelatin Capsules</t>
  </si>
  <si>
    <t>A7-4727</t>
  </si>
  <si>
    <t>Revalidation Request</t>
  </si>
  <si>
    <t>REVITE</t>
  </si>
  <si>
    <t>LUMAFORCE TABLET</t>
  </si>
  <si>
    <t>A11-100637</t>
  </si>
  <si>
    <t>NALIS PHARMACEUTICALS LTD</t>
  </si>
  <si>
    <t xml:space="preserve"> 14, MAJEK STREET ABULE-EGBA, LAGOS, , LAGOS</t>
  </si>
  <si>
    <t>info@nalispharma.com</t>
  </si>
  <si>
    <t>0907 418 4395</t>
  </si>
  <si>
    <t>LUMAFORCE
Artemether 80mg and Lumefantrine 480mg
DEFEAT MALARIA TODAY, SAVE LIVES TOMORROW.</t>
  </si>
  <si>
    <t>LUMAFORCE</t>
  </si>
  <si>
    <t>mailto:info@nalispharma.com</t>
  </si>
  <si>
    <t>AMPICLOX 500MG CAPSULE</t>
  </si>
  <si>
    <t xml:space="preserve"> 04-2401</t>
  </si>
  <si>
    <t>10*10</t>
  </si>
  <si>
    <t>mailto:osaretin.jaiyeola@fensyl.com</t>
  </si>
  <si>
    <t>Ampiclox CRSF pack change 2026 Mass Email – Web Page - PM-NG-APC-EML-260001</t>
  </si>
  <si>
    <t>AMPICLOX</t>
  </si>
  <si>
    <t>OMEGA-H3 CAPSULES</t>
  </si>
  <si>
    <t>04-0465</t>
  </si>
  <si>
    <t>5X6</t>
  </si>
  <si>
    <t>ADLER PRODUCTS LTD</t>
  </si>
  <si>
    <t>32, ODUYEMI STREET,IKEJA, LAGOS</t>
  </si>
  <si>
    <t>adler_products@yahoo.com</t>
  </si>
  <si>
    <t>07039793102;07059266773</t>
  </si>
  <si>
    <t>OMEGA-H3 RANGES</t>
  </si>
  <si>
    <t>OMEGA H3</t>
  </si>
  <si>
    <t>OMEGA-H3 LIQUID</t>
  </si>
  <si>
    <t>BA-3505</t>
  </si>
  <si>
    <t>mailto:adler_products@yahoo.com</t>
  </si>
  <si>
    <t>DABUR HERBAL TOOTHPASTE WITH BASIL</t>
  </si>
  <si>
    <t>02-1297</t>
  </si>
  <si>
    <t>AFRICAN CONSUMER CARE LTD.</t>
  </si>
  <si>
    <t>OLYMPIC STREET, OFF ALAKOSO AVENUE, AMUWO ODOFIN LAGOS</t>
  </si>
  <si>
    <t>aringbangba.mayowa@dabur.com</t>
  </si>
  <si>
    <t>FRESH BREATH</t>
  </si>
  <si>
    <t>DABUR HERBAL</t>
  </si>
  <si>
    <t>Knock Out Malaria in 3 days: MEN AT WORK, THE HELMET
Knock out Malaria in 3 days; SUNDAY WITHOUT PAPA IS WRONG NAU</t>
  </si>
  <si>
    <t>SHAL'ARTEM 0.3</t>
  </si>
  <si>
    <t>TWYNSTA 80/5MG TABLETS</t>
  </si>
  <si>
    <t xml:space="preserve"> A4-7799</t>
  </si>
  <si>
    <t>4*7</t>
  </si>
  <si>
    <t>Hypertensive Care. Take heart, take charge.</t>
  </si>
  <si>
    <t>TWYNSTA</t>
  </si>
  <si>
    <t>TWYNSTA 40/5MG TABLETS</t>
  </si>
  <si>
    <t xml:space="preserve"> A4-7797</t>
  </si>
  <si>
    <t>TWYNSTA 80/10MG TABLETS</t>
  </si>
  <si>
    <t xml:space="preserve"> A4-7800</t>
  </si>
  <si>
    <t xml:space="preserve">TWYNSTA 40/10MG TABLETS </t>
  </si>
  <si>
    <t>A4-7798</t>
  </si>
  <si>
    <t>MICARDIS 40MG TABLETS</t>
  </si>
  <si>
    <t xml:space="preserve"> A4-2151</t>
  </si>
  <si>
    <t>Hypertensive Care. Take Heart, take charge.</t>
  </si>
  <si>
    <t>MICARDIS</t>
  </si>
  <si>
    <t xml:space="preserve">MICARDIS 80MG TABLETS </t>
  </si>
  <si>
    <t>A4-2152</t>
  </si>
  <si>
    <t xml:space="preserve">TWYNSTA 40/5MG TABLETS </t>
  </si>
  <si>
    <t>A4-7797</t>
  </si>
  <si>
    <t xml:space="preserve">CO-MICARDIS 40/12.5MG TABLETS </t>
  </si>
  <si>
    <t>A4-2150</t>
  </si>
  <si>
    <t>CO-MICARDIS 80/12.5MG TABLETS</t>
  </si>
  <si>
    <t xml:space="preserve"> A4-2149</t>
  </si>
  <si>
    <t xml:space="preserve">TWYNSTA 80/10MG TABLETS </t>
  </si>
  <si>
    <t>A4-7800</t>
  </si>
  <si>
    <t xml:space="preserve">VEET HAIR REMOVAL CREAM (SENSITIVE SKIN) </t>
  </si>
  <si>
    <t xml:space="preserve"> 21 LUGARD AVENUE , IKOYI LAGOS LAGOS</t>
  </si>
  <si>
    <t>mailto:bolanle.aladegbola@rb.com;uzo.amatokwu@reckitt.com</t>
  </si>
  <si>
    <t>Veet Influencer Scripts</t>
  </si>
  <si>
    <t>VEET HAIR</t>
  </si>
  <si>
    <t xml:space="preserve">VEET HAIR REMOVAL CREAM (NORMAL SKIN)  </t>
  </si>
  <si>
    <t>DEWAVE DETERGENT POWDER HIBISCUS BREEZE</t>
  </si>
  <si>
    <t>A2-101109</t>
  </si>
  <si>
    <t>90G,190G</t>
  </si>
  <si>
    <t>FRANEMM INDUSTRIES LIMITED</t>
  </si>
  <si>
    <t>10/12,OLD OTA ROAD,AGEGE</t>
  </si>
  <si>
    <t>hello@franemmindustriesltd.com</t>
  </si>
  <si>
    <t>0706 3407 718</t>
  </si>
  <si>
    <t>WASH WITHOUT STRESS
KEEP YOUR CLOTHES &amp; HOME FRESH</t>
  </si>
  <si>
    <t>DEWAVE DTERGENT</t>
  </si>
  <si>
    <t>DEWAVE DETERGENT POWDER FRESH BREEZE</t>
  </si>
  <si>
    <t>A2-101119</t>
  </si>
  <si>
    <t>mailto:hello@franemmindustriesltd.com</t>
  </si>
  <si>
    <t>WASH WITHOUT STRESS
KEEP YOUR CLOTHES &amp; HOME FRESHWASH WITHOUT STRESS
KEEP YOUR CLOTHES &amp; HOME FRESH</t>
  </si>
  <si>
    <t>DEWAVE DETERGENT POWDER CITRUS BREEZE</t>
  </si>
  <si>
    <t>A2-101110</t>
  </si>
  <si>
    <t>NIVEA SUN UV FACE SHINE CONTROL MATTIFYING EFFECT</t>
  </si>
  <si>
    <t xml:space="preserve"> A2-103251</t>
  </si>
  <si>
    <t xml:space="preserve"> 19, Kaffi Street, Alausa, Ikeja Lagos.</t>
  </si>
  <si>
    <t>henry.duruike@beiersdorf.com</t>
  </si>
  <si>
    <t>0908 751 1970</t>
  </si>
  <si>
    <t>0% Sticky Feeling, 0% White Residue</t>
  </si>
  <si>
    <t>NIVEA SUNSCREEN</t>
  </si>
  <si>
    <t xml:space="preserve"> A4-7058</t>
  </si>
  <si>
    <t>12*10ml</t>
  </si>
  <si>
    <t>oladimeji.agbolade@reckittbenckiser.com</t>
  </si>
  <si>
    <t>Gaviscon Peppermint Sachet Launch 2</t>
  </si>
  <si>
    <t>GAVISCON SACHET</t>
  </si>
  <si>
    <t>ROMANO EAU DE TOILETTE(FORCE)</t>
  </si>
  <si>
    <t>A2-1563</t>
  </si>
  <si>
    <t>WIPRO UNZA AFRICA LIMITED</t>
  </si>
  <si>
    <t>BUILDING 14, HUGHES AVE., YABA YABA LAGOS</t>
  </si>
  <si>
    <t>oscarmacaulay@yahoo.com</t>
  </si>
  <si>
    <t>Enchanteur, the fragrance of French romance, discover the new look of romance 
Romano, Italian for men, award for outstanding fragrance brand of the year 2025</t>
  </si>
  <si>
    <t>ROMANO MAN</t>
  </si>
  <si>
    <t>ROMANO DEODORANT SPARY (FORCE)</t>
  </si>
  <si>
    <t>A2-1566</t>
  </si>
  <si>
    <t>150ml</t>
  </si>
  <si>
    <t>ROMANO DEODORANT ROLLON ( FORCE)</t>
  </si>
  <si>
    <t>A2-1654</t>
  </si>
  <si>
    <t>ENCHANTEUR ROMANTIC DEODORANT SPRAY</t>
  </si>
  <si>
    <t>02-1385</t>
  </si>
  <si>
    <t>150ML,200ML</t>
  </si>
  <si>
    <t>ENCHANTEUR</t>
  </si>
  <si>
    <t>ENCHANTEUR PERFUMED BODY LOTION ROMANTIC SATIN SMOOTH</t>
  </si>
  <si>
    <t>02-1657</t>
  </si>
  <si>
    <t>250ML,500ML</t>
  </si>
  <si>
    <t>ENCHANTEUR PERFUMED TALC ROMANTIC</t>
  </si>
  <si>
    <t>02-1392</t>
  </si>
  <si>
    <t>50G,125G,250G</t>
  </si>
  <si>
    <t>ENCHANTEUR RADIANT WHITE ANTI PERSPIRANT ROLLON( PORE REFINE ROMANTIC)</t>
  </si>
  <si>
    <t>02-8257</t>
  </si>
  <si>
    <t>ENCHANTEUR RADIANT WHITE ANTI PERSPIRANT ROLLON ROMANTIC SOFT SMOOTH</t>
  </si>
  <si>
    <t>02-8258</t>
  </si>
  <si>
    <t>ENCHANTEUR PERFUMED DEO ROLLON ENTICING ANTI PERSPIRANT</t>
  </si>
  <si>
    <t>02-5007</t>
  </si>
  <si>
    <t>ENCHANTEUR PERFUMED DEO ROLLON ROMANTIC ANTI PERSPIRANT</t>
  </si>
  <si>
    <t>02-1391</t>
  </si>
  <si>
    <t>ENCHANTEUR PERFUMED DEO ROLLON ALLURING ANTI PERSPIRANT</t>
  </si>
  <si>
    <t>02-5061</t>
  </si>
  <si>
    <t>ENCHANTEUR PERFUMED DEO ROLLON CHARMING ANTI PERSPIRANT</t>
  </si>
  <si>
    <t>02-1269</t>
  </si>
  <si>
    <t>ENCHANTEUR PERFUMED DEO ROLLON STUNNING ANTI PERSPIRANT</t>
  </si>
  <si>
    <t>02-4825</t>
  </si>
  <si>
    <t>ENCHANTEUR PERFUMED DEO ROLLON GORGEOUS ANTI PERSPIRANT</t>
  </si>
  <si>
    <t>A2-1556</t>
  </si>
  <si>
    <t>Polyfort Antacid Suspension (PEPPERMINT)</t>
  </si>
  <si>
    <t>A11-100893</t>
  </si>
  <si>
    <t xml:space="preserve"> 5,DOPEMU ROAD AGEGE, LAGOS STATE</t>
  </si>
  <si>
    <t xml:space="preserve">0811 669 1559 </t>
  </si>
  <si>
    <t>Polyfort is back and better</t>
  </si>
  <si>
    <t>POLYFORT</t>
  </si>
  <si>
    <t>0811 669 1559</t>
  </si>
  <si>
    <t>Polyfort Antacid Suspension (BANANA/VANILLA)</t>
  </si>
  <si>
    <t>A11-100894</t>
  </si>
  <si>
    <t>Polyfort Antacid Suspension (STRAWBERRY)</t>
  </si>
  <si>
    <t>A11-100895</t>
  </si>
  <si>
    <t>VIVA PLUS LAUNDRY SANITIZER DETERGENT POWDER</t>
  </si>
  <si>
    <t>A2-5626</t>
  </si>
  <si>
    <t>1800G</t>
  </si>
  <si>
    <t>registration@aspirang.com</t>
  </si>
  <si>
    <t>NO MERCY FOR DOTI</t>
  </si>
  <si>
    <t>VIVA PLUS</t>
  </si>
  <si>
    <t>45/47, TOWN PLANNING WAY, ILUPEJU INDUSTRIAL ESTATE, IKEJA, LAGOS</t>
  </si>
  <si>
    <t>pzindustries@pzcussons.com;udoka.adegor@pzcussons.com</t>
  </si>
  <si>
    <t>09037794741;08074090098</t>
  </si>
  <si>
    <t>WIN THE WAR AGAINST GERMS</t>
  </si>
  <si>
    <t>28/7/2026</t>
  </si>
  <si>
    <t>CUSSONS CAREX ANTIBACTERIAL SOAP (Original).pdf</t>
  </si>
  <si>
    <t>CAREX</t>
  </si>
  <si>
    <t>GRANNY'S STEP</t>
  </si>
  <si>
    <t>ROBB EXTRA MENTHOL OINTMENT.pdf</t>
  </si>
  <si>
    <t>ROBB EXTRA MENTHOL OINTMENT-MOVIE NIGHT.pdf</t>
  </si>
  <si>
    <t>Brustan-N Suspension</t>
  </si>
  <si>
    <t>60ML,100ML</t>
  </si>
  <si>
    <t>1st Floor Abimbola House, 24, Abimbola Street, Ilasamaja, Isolo, Ikeja, Lagos;KM30, Lagos-Ibadan Expressway, Magboro, Ogun State</t>
  </si>
  <si>
    <t>info.nigeria@sunpharma.com;rosanna.iwuala@sunpharma.com</t>
  </si>
  <si>
    <t>08084346631;08056396595</t>
  </si>
  <si>
    <t>Brustan N Suspension provides relief against toothache, pains and Fever in Children</t>
  </si>
  <si>
    <t>Brustan-N Suspension-HAUSA.pdf</t>
  </si>
  <si>
    <t>Brustan-N Suspension-PIDGIN.pdf</t>
  </si>
  <si>
    <t>MICARDIS 40MG TABLETS;MICARDIS 80MG TABLETS;CO-MICARDIS 40/12.5MG TABLETS;CO-MICARDIS 80/12.5MG TABLETS</t>
  </si>
  <si>
    <t>A4-2151;A4-2152;A4-2150;A4-2149</t>
  </si>
  <si>
    <t>Power Beyond The Ordinary. To give more than blood pressure control</t>
  </si>
  <si>
    <t>MICARDIS-Range of Products.pdf</t>
  </si>
  <si>
    <t>CARDIOACE CAPSULES</t>
  </si>
  <si>
    <t>04-7527</t>
  </si>
  <si>
    <t> 16/18 NURU ONIWO STREET, AGUDA SURULERE, LAGOS;8 Douglas Ezemba Ave. off Alh. Agbeke Street. (Adjacent to Market Square) Ago Palace way, Okota.</t>
  </si>
  <si>
    <t>07082376664;08021399703</t>
  </si>
  <si>
    <t>SUPPORT YOUR HEART EVERYDAY</t>
  </si>
  <si>
    <t>CARDIOACE CAPSULES.pdf</t>
  </si>
  <si>
    <t>PERFECTIL CAPSULES</t>
  </si>
  <si>
    <t>04-1666</t>
  </si>
  <si>
    <t>REAL BE*A*UTY BEGINS ON THE INSIDE</t>
  </si>
  <si>
    <t>PERFECTIL CAPSULES.pdf</t>
  </si>
  <si>
    <t>OSTEOCARE ORIGINAL TABLETS</t>
  </si>
  <si>
    <t>A7-2977</t>
  </si>
  <si>
    <t>World Health Day; Your health is your foundation</t>
  </si>
  <si>
    <t>OSTEOCARE ORIGINAL TABLETS.pdf</t>
  </si>
  <si>
    <t>VISIONACE ORIGINAL TABLETS</t>
  </si>
  <si>
    <t>A7-2979</t>
  </si>
  <si>
    <t>The Complete Care for Healthy Vision</t>
  </si>
  <si>
    <t>VISIONACE ORIGINAL TABLETS.pdf</t>
  </si>
  <si>
    <t>Nosdrine Tablets</t>
  </si>
  <si>
    <t>A11-0915</t>
  </si>
  <si>
    <t>LYNSON CHEMICAL AVENUE, KM 38 LAGOS-ABEOKUTA EXPRESSWAY, SANGO-OTA,OGUN STATE;48, AKEJU STREET, PALMGROVE, SOMOLU, LAGOS STATE</t>
  </si>
  <si>
    <t>info@drugfieldpharma.com;sales@drugfieldpharma.com</t>
  </si>
  <si>
    <t>08033513989;08039472494;080;34726449;08084354700</t>
  </si>
  <si>
    <t>Relieves allergies</t>
  </si>
  <si>
    <t>Nosdrine Tablets.pdf</t>
  </si>
  <si>
    <t>FEROGLOBIN B12 CAPSULES;FEROGLOBIN PLUS LIQUID;FEROGLOBIN B12 SYRUP</t>
  </si>
  <si>
    <t>04-6433;A7-102275;04-1686</t>
  </si>
  <si>
    <t>2X15;1X200ML;1X200ML</t>
  </si>
  <si>
    <t>32, ODUYEMI STREET,IKEJA, LAGOS;KM14, ABEOKUTA EXPRESSWAY, FIRST BRIDGE, DOPEMU, AGEGE, LAGOS</t>
  </si>
  <si>
    <t>FEROGLOBIN RANGES</t>
  </si>
  <si>
    <t>FEROGLOBIN RANGES.pdf</t>
  </si>
  <si>
    <t>VALUBABE (Paracetamol 125mg/5ml ) Syrup</t>
  </si>
  <si>
    <t>A11-100577</t>
  </si>
  <si>
    <t>VALUECARE PRODUCT LIMITED</t>
  </si>
  <si>
    <t>6,Wole Ogundimu Street, Justice Cooler House, Amolaso, Abeokuta, Ogun State</t>
  </si>
  <si>
    <t>valuecarepro@yahoo.com</t>
  </si>
  <si>
    <t>08023834825;09093915000</t>
  </si>
  <si>
    <t xml:space="preserve">Gentle relief for infants, Child-friendly, Trusted by mothers. </t>
  </si>
  <si>
    <t>Valuecare Range of Product.pdf</t>
  </si>
  <si>
    <t>VALOCAM</t>
  </si>
  <si>
    <t>A11-100576</t>
  </si>
  <si>
    <t>PERFECTIL PLUS SKIN</t>
  </si>
  <si>
    <t>A7-100508</t>
  </si>
  <si>
    <t>4X14</t>
  </si>
  <si>
    <t>Beautiful Skin Begins on the Inside</t>
  </si>
  <si>
    <t>PERFECTIL PLUS SKIN.pdf</t>
  </si>
  <si>
    <t>IMMUNACE TABLETS </t>
  </si>
  <si>
    <t>A7-2972</t>
  </si>
  <si>
    <t>support for immune health, vitality, and everyday wellbeing,</t>
  </si>
  <si>
    <t>IMMUNACE TABLETS .pdf</t>
  </si>
  <si>
    <t>ELYSEEWOMAN CAPSULES </t>
  </si>
  <si>
    <t>ELYSEEWOMAN CAPSULES .pdf</t>
  </si>
  <si>
    <t>OSTEOCARE PLUS OMEGA-3</t>
  </si>
  <si>
    <t>A7-100504</t>
  </si>
  <si>
    <t>6X14</t>
  </si>
  <si>
    <t>SUPPORT MORE THAN JUST YOUR BONES</t>
  </si>
  <si>
    <t>OSTEOCARE PLUS OMEGA-3.pdf</t>
  </si>
  <si>
    <t>DIABETONE CAPSULES</t>
  </si>
  <si>
    <t>A4-7493</t>
  </si>
  <si>
    <t>Complete Care for Balanced Living</t>
  </si>
  <si>
    <t>DIABETONE CAPSULES.pdf</t>
  </si>
  <si>
    <t>JOINTACE OMEGA-3 CAPSULES</t>
  </si>
  <si>
    <t>A7-2976</t>
  </si>
  <si>
    <t>Stronger Knees, Better Movement</t>
  </si>
  <si>
    <t>JOINTACE OMEGA-3 CAPSULES.pdf</t>
  </si>
  <si>
    <t>JOINTACE COLLAGEN TABLETS</t>
  </si>
  <si>
    <t>A7-2869</t>
  </si>
  <si>
    <t>If your knees click, try this</t>
  </si>
  <si>
    <t>JOINTACE COLLAGEN TABLETS.pdf</t>
  </si>
  <si>
    <t>PREGNACARE PLUS OMEGA-3</t>
  </si>
  <si>
    <t>A4-7527</t>
  </si>
  <si>
    <t>Pregnacare Plus Omega-3; The complete prenatal support with DHA for normal brain &amp; eye development</t>
  </si>
  <si>
    <t>PREGNACARE PLUS OMEGA-3.pdf</t>
  </si>
  <si>
    <t>MENOPACE ORIGINAL TABLETS</t>
  </si>
  <si>
    <t>A7-4699</t>
  </si>
  <si>
    <t>Menopace Original; 22 nutrients for during &amp; after the menopause</t>
  </si>
  <si>
    <t>MENOPACE ORIGINAL TABLETS.pdf</t>
  </si>
  <si>
    <t>NEUROZAN TABLETS</t>
  </si>
  <si>
    <t>A7-2868</t>
  </si>
  <si>
    <t>Unlock Your Best Performance with Neurozan Your BrainPower</t>
  </si>
  <si>
    <t>NEUROZAN TABLETS.pdf</t>
  </si>
  <si>
    <t>WELLMAN PLUS OMEGA 3.6.9 CAPSULES &amp; TABLETS</t>
  </si>
  <si>
    <t>A7-2876</t>
  </si>
  <si>
    <t>WELLMAN PLUS – POWER YOUR EVERY DAY</t>
  </si>
  <si>
    <t>WELLMAN PLUS OMEGA 3.6.9 CAPSULES &amp; TABLETS.pdf</t>
  </si>
  <si>
    <t>WELLMAN 50+ TABLETS</t>
  </si>
  <si>
    <t>A4-7491</t>
  </si>
  <si>
    <t>Wellman 50+ – Advanced nutritional support for men over 50.</t>
  </si>
  <si>
    <t>WELLMAN 50+ TABLETS.pdf</t>
  </si>
  <si>
    <t>PREGNACARE CONCEPTION TABLETS</t>
  </si>
  <si>
    <t>A4-7528</t>
  </si>
  <si>
    <t>Preparing for Tomorrow Starts Today. Support your conception journey with Pregnacare Conception</t>
  </si>
  <si>
    <t>PREGNACARE CONCEPTION TABLETS.pdf</t>
  </si>
  <si>
    <t>PREGNACARE ORIGINAL TABLETS</t>
  </si>
  <si>
    <t>A7-2897</t>
  </si>
  <si>
    <t>The First Gift You Give Your Baby Is Good Nutrition</t>
  </si>
  <si>
    <t>PREGNACARE ORIGINAL TABLETS.pdf</t>
  </si>
  <si>
    <t>PREGNACARE BREASTFEEDING TABLETS &amp; CAPSULES</t>
  </si>
  <si>
    <t>A7-2875</t>
  </si>
  <si>
    <t>PREGNACARE BREASTFEEDING TABLETS &amp; CAPSULES.pdf</t>
  </si>
  <si>
    <t>BIOFOLIC DHA</t>
  </si>
  <si>
    <t>A7-100143L</t>
  </si>
  <si>
    <t>08056292409;08036761764</t>
  </si>
  <si>
    <t>Bio-active Vitamins With DHA advantage</t>
  </si>
  <si>
    <t>BIOFOLIC DHA.pdf</t>
  </si>
  <si>
    <t>LOVSKIN BAR SOAP WITH CARROT EXTRACT;LOVSKIN Skin Whitening Lotion</t>
  </si>
  <si>
    <t>A2-104838;A2-104841</t>
  </si>
  <si>
    <t>200G;500ML,250ML</t>
  </si>
  <si>
    <t>TOPWIDE VENTURES  LIMITED</t>
  </si>
  <si>
    <t>23 ISA WILLIAMS STR., BALOGUN, LAGOS; Plot 30, BABS ANIMASHAUN STREET, OFF BODE THOMAS STREET, SURULERE, LAGOS</t>
  </si>
  <si>
    <t>topwideventureslimited@gmail.com</t>
  </si>
  <si>
    <t>07074680980;07074680973</t>
  </si>
  <si>
    <t>GLOW LIKE NEVER BEFORE</t>
  </si>
  <si>
    <t>LOVSKIN Cosmetics.pdf</t>
  </si>
  <si>
    <t>07074680980;07074680973;07074868434;07074868435;07074680972;07074868427</t>
  </si>
  <si>
    <t>DARAVIT JOINTFLEX (GLUCOSAMINE SULPHATE 250MG, CHONDROITIN SULPHATE 200MG AND OMEGA -3-FISH OIL 300MG);DARAVIT JOINT ACTIVO SOFTGEL CAPSULE</t>
  </si>
  <si>
    <t>A7-100202;A7-4453</t>
  </si>
  <si>
    <t>3X10;3X10</t>
  </si>
  <si>
    <t>1 AFRICAN CHURCH CLOSE, OFF COKER ROAD, ILUPEJU, LAGOS; IGA-IDUNGANRAN STREET, LAGOS</t>
  </si>
  <si>
    <t>09077777770,09080303030</t>
  </si>
  <si>
    <t>MOVE FREELY, LIVE FREELY</t>
  </si>
  <si>
    <t>DARAVIT JOINT ACTIVO &amp; FLEX SOFTGEL CAPSULE.pdf</t>
  </si>
  <si>
    <t>Boska Tablet</t>
  </si>
  <si>
    <t>04-1233</t>
  </si>
  <si>
    <t>NIS BUILDING, PLOT B, BLOCK H, ELEPHANT CEMENT WAY CBD,IKEJA, LAGOS</t>
  </si>
  <si>
    <t>gloriousdexamandayaltd@gmail.com</t>
  </si>
  <si>
    <t>08033523911</t>
  </si>
  <si>
    <t>Be pain free</t>
  </si>
  <si>
    <t>ENGLISH,IGBO,YORUBA,HAUSA,FULFULDE(FULANI)</t>
  </si>
  <si>
    <t>Boska Tablet.pdf</t>
  </si>
  <si>
    <t>DARAVIT WOMAN 70+;DARAVIT WOMAN 50+;DARAVIT MAN 50+ CAPSULE;DARAVIT MAN 70+ CAPSULE</t>
  </si>
  <si>
    <t>A7-100210;A7-100211;A7-100372;A7-100373</t>
  </si>
  <si>
    <t>3X10;1X10;1X10;1X10</t>
  </si>
  <si>
    <t>AGE GRACEFULLY, LIVE STRONG</t>
  </si>
  <si>
    <t>28/07/2026</t>
  </si>
  <si>
    <t>DARAVIT MAN &amp; WOMAN.pdf</t>
  </si>
  <si>
    <t>DARAVIT PREGMOM PLUS SOFTGEL CAPSULE;DARAVIT PREGMOM SOFTGEL CAPSULE</t>
  </si>
  <si>
    <t>A7-4929;A7-4930</t>
  </si>
  <si>
    <t>1X30;1X10</t>
  </si>
  <si>
    <t>HEALTHY MOM, HEALTHY BABY</t>
  </si>
  <si>
    <t>DARAVIT PREGMOM.pdf</t>
  </si>
  <si>
    <t>CUSSONS CAREX LIME FRESH ANTISEPTIC DISINFECTANT</t>
  </si>
  <si>
    <t>A11-0423</t>
  </si>
  <si>
    <t>250;500;1000</t>
  </si>
  <si>
    <t>CUSSONS CAREX LIME FRESH ANTISEPTIC DISINFECTANT.pdf</t>
  </si>
  <si>
    <t>WELLMAN ORIGINAL CAPSULES</t>
  </si>
  <si>
    <t>04-1778</t>
  </si>
  <si>
    <t>MAINTAIN HEALTH, VITALITY, ENERGY RELEASE FOR MEN OF ALL AGES</t>
  </si>
  <si>
    <t>WELLMAN ORIGINAL CAPSULES.pdf</t>
  </si>
  <si>
    <t>AUGMENTIN TABLETS 625mg</t>
  </si>
  <si>
    <t>2X7Tablets</t>
  </si>
  <si>
    <t>Augmentin HEH IC 2026: SOAR Awareness Email (PM-NG-ACA-EML-260007)</t>
  </si>
  <si>
    <t>AUGMENTIN TABLETS 625mg.pdf</t>
  </si>
  <si>
    <t>AUGMENTIN TABLETS 375 MG</t>
  </si>
  <si>
    <t>04-2466</t>
  </si>
  <si>
    <t>2X10TABLETS</t>
  </si>
  <si>
    <t>Augmentin HEH IC 2026: Email (PM-NG-ACA-EML-260004)</t>
  </si>
  <si>
    <t>AUGMENTIN TABLETS 375MGn1G .pdf</t>
  </si>
  <si>
    <t>AUGMENTIN TABLETS 1G</t>
  </si>
  <si>
    <t xml:space="preserve">WELLKID CHEWABLE TABLETS </t>
  </si>
  <si>
    <t>A4-1408</t>
  </si>
  <si>
    <t>3x10</t>
  </si>
  <si>
    <t>NOURISH THEIR MINDS AND PROTECT THEIR BODIES</t>
  </si>
  <si>
    <t>28/7/2025</t>
  </si>
  <si>
    <t>WELLKID CHEWABLE TABLETS.pdf</t>
  </si>
  <si>
    <t>WELLMAN MAX TABLETS/CAPSULES</t>
  </si>
  <si>
    <t>A7-4601</t>
  </si>
  <si>
    <t>Everyday Performance Starts With Wellman Max</t>
  </si>
  <si>
    <t>WELLMAN MAX TABLETSCAPSULES.pdf</t>
  </si>
  <si>
    <t xml:space="preserve">SO KLIN CONCENTRATED DETERGENT </t>
  </si>
  <si>
    <t>41, PAYNE CRESCENT, APAPA, LAGOS, NIGERIA</t>
  </si>
  <si>
    <t>08168800004</t>
  </si>
  <si>
    <t>SOKLIN JULY DIGITAL CONTENT</t>
  </si>
  <si>
    <t>SO KLIN DETERGENT.pdf</t>
  </si>
  <si>
    <t xml:space="preserve">SO KLIN ULTRA CONCENTRATED DETERGENT </t>
  </si>
  <si>
    <t>A2-4099</t>
  </si>
  <si>
    <t>25g</t>
  </si>
  <si>
    <t xml:space="preserve">SO KLIN MATIC DETERGENT </t>
  </si>
  <si>
    <t xml:space="preserve">SOKLIN SMART CONCENTRATED LIQUID DETERGENT -INTENSE PERFUME </t>
  </si>
  <si>
    <t>2X30ML,20ML,23ML,25ML,30ML,35ML,40ML,45ML,50ML,80ML,90ML,</t>
  </si>
  <si>
    <t xml:space="preserve">SOKLIN SMART CONCENTRATED LIQUID DETERGENT -ULTIMATE CLEAN </t>
  </si>
  <si>
    <t>2X30ml,20ml,23ml,25ml,30ml,35ml,40ml,45ml,50ml,80ml,90ml,170ml,180ml,200ml,210ml</t>
  </si>
  <si>
    <t xml:space="preserve">SOKLIN PINK CONCENTRATED DETERGENT </t>
  </si>
  <si>
    <t xml:space="preserve">GOOD MAMA POWDER DETERGENT (FLORAL BLISS) </t>
  </si>
  <si>
    <t>02-5471</t>
  </si>
  <si>
    <t>200G,90G,25G</t>
  </si>
  <si>
    <t>JULY DIGITAL CONTENT</t>
  </si>
  <si>
    <t>GOOD MAMA POWDER DETERGENT.pdf</t>
  </si>
  <si>
    <t xml:space="preserve">GOOD MAMA POWDER DETERGENT (LEMON BURST) </t>
  </si>
  <si>
    <t>02-8830</t>
  </si>
  <si>
    <t>200g</t>
  </si>
  <si>
    <t xml:space="preserve">MENTOS FRESH ACTION MEDICATED CANDY WITH VITAMIN C </t>
  </si>
  <si>
    <t>A7-5176</t>
  </si>
  <si>
    <t>102G, 3.2GX30 PCS (96G)</t>
  </si>
  <si>
    <t>GROUND FLOOR, SOUTH GATE HOUSE UDI STREET, OSBORNE FORESHORE ESTATE, IKOYI, LAGOS NIGERIA</t>
  </si>
  <si>
    <t>Clear Your Throat Claim Your Voice with Mentos Fresh Action Candy</t>
  </si>
  <si>
    <t>A7-5179</t>
  </si>
  <si>
    <t>3.4gX88 (299g)</t>
  </si>
  <si>
    <t>GROUND FLOOR, SOUTH GATE HOUSE UDI STREET, OSBORNE FORESHORE ESTATE, IKOYI, LAGOS, NIGERIA</t>
  </si>
  <si>
    <t xml:space="preserve">MENTOS FRESH ACTION MEDICATED CANDY WITH GINGER EXTRACT AND HONEY </t>
  </si>
  <si>
    <t>3.4GX30 PIECES (102G),3.2GX30 PIECES (96G)</t>
  </si>
  <si>
    <t xml:space="preserve">PERFECTIL PLATINUM TABLETS </t>
  </si>
  <si>
    <t>A7-2974</t>
  </si>
  <si>
    <t>2X15,4X15</t>
  </si>
  <si>
    <t>Ultimate TimeDefy™ Skin Radiance Starts From Within</t>
  </si>
  <si>
    <t>PERFECTIL PLATINUM TABLETS.pdf</t>
  </si>
  <si>
    <t>WELLWOMAN 50+ TABLETS</t>
  </si>
  <si>
    <t>A7-7492</t>
  </si>
  <si>
    <t>2 X 15</t>
  </si>
  <si>
    <t>Confidence, care, and vitality beyond 50</t>
  </si>
  <si>
    <t>WELLWOMAN 50+ TABLETS.pdf</t>
  </si>
  <si>
    <t xml:space="preserve">WELLWOMAN PLUS 3.6.9 CAPSULES &amp; TABLETS </t>
  </si>
  <si>
    <t>A7-2877</t>
  </si>
  <si>
    <t>4 X 14</t>
  </si>
  <si>
    <t>MORE THAN A MULTIVITAMIN, IT'S WOMEN'S COMPLETE SUPPORT</t>
  </si>
  <si>
    <t>july</t>
  </si>
  <si>
    <t>WELLWOMAN PLUS 3.6.9 CAPSULES &amp; TABLETS.pdf</t>
  </si>
  <si>
    <t xml:space="preserve">WELLWOMAN ORIGINAL CAPSULES </t>
  </si>
  <si>
    <t>04-3782</t>
  </si>
  <si>
    <t>Essential Support for Everyday Wellness</t>
  </si>
  <si>
    <t>WELLWOMAN ORIGINAL CAPSULES.pdf</t>
  </si>
  <si>
    <t> 21 LUGARD AVENUE , IKOYI LAGOS LAGOS</t>
  </si>
  <si>
    <t>DARAVIT PERFECT - 3 CAPSULE</t>
  </si>
  <si>
    <t>A7-4410</t>
  </si>
  <si>
    <t>PERFECT RADIANCE INSIDE OUT</t>
  </si>
  <si>
    <t>DARAVIT PERFECT - 3 CAPSULE.pdf</t>
  </si>
  <si>
    <t>DARAVIT OMEGA H6;DARAVIT OMEGA 3 SOFTGEL CAPSULE;DARAVIT OMEGA PLUS SOFTGEL</t>
  </si>
  <si>
    <t>A7-100209;A7-4277;A7-4276</t>
  </si>
  <si>
    <t>3X10;1X10,10X10;1X10</t>
  </si>
  <si>
    <t>ADVANCE NUTRITION WITH GOODNESS OF OMEGA</t>
  </si>
  <si>
    <t>DARAVIT OMEGA.pdf</t>
  </si>
  <si>
    <t>VEET HAIR REMOVAL CREAM (SENSITIVE SKIN);VEET HAIR REMOVAL CREAM (NORMAL SKIN)</t>
  </si>
  <si>
    <t>A2-0925;A2-0827</t>
  </si>
  <si>
    <t>100ml;100</t>
  </si>
  <si>
    <t>Veet Micro influencer script 2</t>
  </si>
  <si>
    <t>VEET HAIR REMOVAL CREAM NORMAL n SENSITIVE.pdf</t>
  </si>
  <si>
    <t>SALONPAS PAIN RELIEVING PATCH</t>
  </si>
  <si>
    <t>1X10;1X2</t>
  </si>
  <si>
    <t>DRUGSTOC EHUB LIMITED</t>
  </si>
  <si>
    <t>29 TAIWO STREEET OJOTA</t>
  </si>
  <si>
    <t>info@drugstoc.com;c.unanka@drugstoc.com</t>
  </si>
  <si>
    <t>08036879999;08138251377</t>
  </si>
  <si>
    <t>For KORI, Use SALONPAS</t>
  </si>
  <si>
    <t>SALONPAS PAIN RELIEVING PATCH.pdf</t>
  </si>
  <si>
    <t>Email on CAP, AMC vs Azi - Nigeria (PM-NG-ACA-EML-260006)</t>
  </si>
  <si>
    <t>AUGMENTIN-3.pdf</t>
  </si>
  <si>
    <t>DARAVIT REGULAR;DARAVIT WOMAN MC CAPSULE;DARAVIT WOMAN PMS CAPSULE;DARAVIT ACTIVO WOMAN CAPSULE</t>
  </si>
  <si>
    <t>A7-102166;A7-102645;A7-102670;A7-4368L</t>
  </si>
  <si>
    <t>3X10;A1X7,B1X7;1X15;1X10</t>
  </si>
  <si>
    <t>LOVE YOURSELF</t>
  </si>
  <si>
    <t>DARAVIT WOMAN-Activo-MCPMSRegular.pdf</t>
  </si>
  <si>
    <t>UNAPPROVED ADVERT LOG  |  Adverts Found With No NAFDAC Approval on Record</t>
  </si>
  <si>
    <t>USE THIS TAB FOR: Any advert found during monitoring that does NOT appear in the approved advert database or NAPAMS. This is separate from a non-compliant advert. A non-compliant advert HAS approval but deviates from it. An unapproved advert has NO approval at all.</t>
  </si>
  <si>
    <t>IMMEDIATE ACTION ON DISCOVERY: (1) Screenshot / photograph evidence NOW before the advert disappears. (2) Check NAPAMS — search by product name AND company name. Record the search date. (3) Fill in this row. (4) Upload evidence to Teams → 02 Evidence Vault → UNAPPROVED ADVERTS. (5) Escalate to Team Lead the same day.</t>
  </si>
  <si>
    <t>#</t>
  </si>
  <si>
    <t>CASE ID</t>
  </si>
  <si>
    <t>DATE DISCOVERED</t>
  </si>
  <si>
    <t>DISCOVERED BY</t>
  </si>
  <si>
    <t>PRODUCT NAME (AS SHOWN IN ADVERT)</t>
  </si>
  <si>
    <t>COMPANY / APPLICANT (AS SHOWN)</t>
  </si>
  <si>
    <t>COMPANY ADDRESS</t>
  </si>
  <si>
    <t>NAFDAC REG. NO.
(IF VISIBLE)</t>
  </si>
  <si>
    <t>IS PRODUCT REGISTERED
ON NAPAMS?</t>
  </si>
  <si>
    <t>IS THERE ANY ADVERT
APPROVAL ON NAPAMS?</t>
  </si>
  <si>
    <t>NAPAMS SEARCH DATE
(CONFIRM CHECKED)</t>
  </si>
  <si>
    <t>MEDIA</t>
  </si>
  <si>
    <t>PLATFORM OR LOCATION</t>
  </si>
  <si>
    <t>URL / PHYSICAL ADDRESS</t>
  </si>
  <si>
    <t>ADVERT MESSAGE / CLAIMS MADE</t>
  </si>
  <si>
    <t>RISK LEVEL</t>
  </si>
  <si>
    <t>EVIDENCE FILE NAME(S)</t>
  </si>
  <si>
    <t>DATE ESCALATED
TO HEAD</t>
  </si>
  <si>
    <t>DATE ESCALATED
TO DIRECTOR</t>
  </si>
  <si>
    <t>REGULATORY ACTION TAKEN</t>
  </si>
  <si>
    <t>RDR REF #</t>
  </si>
  <si>
    <t>FOLLOW-UP DATE 1
(48 HRS)</t>
  </si>
  <si>
    <t>FOLLOW-UP STATUS 1</t>
  </si>
  <si>
    <t>FOLLOW-UP DATE 2
(96 HRS)</t>
  </si>
  <si>
    <t>FOLLOW-UP STATUS 2</t>
  </si>
  <si>
    <t>FOLLOW-UP DATE 3
(144 HRS)</t>
  </si>
  <si>
    <t>FOLLOW-UP STATUS 3</t>
  </si>
  <si>
    <t>ADVERT STATUS</t>
  </si>
  <si>
    <t>CASE STATUS</t>
  </si>
  <si>
    <t>DATE CLOSED</t>
  </si>
  <si>
    <t>REMARKS</t>
  </si>
  <si>
    <t>ROMCIN CREAM</t>
  </si>
  <si>
    <t>JUSTEEN PHARMACEUTICALS LTD</t>
  </si>
  <si>
    <t>57B,COKER ROAD,ILUPEJU LAGOS</t>
  </si>
  <si>
    <t>08037906607</t>
  </si>
  <si>
    <t>blessingchukwuemeka019@gmail.com</t>
  </si>
  <si>
    <t>A4-5535</t>
  </si>
  <si>
    <t>No</t>
  </si>
  <si>
    <t>OUT-OF-HOME (Flex Banner)</t>
  </si>
  <si>
    <t>PHARMACY</t>
  </si>
  <si>
    <t>SABUZOR PHARMACY,EJIGBO</t>
  </si>
  <si>
    <t>EXTRA STRENGTH MULTIPLE ACTION ON ALL SKIN</t>
  </si>
  <si>
    <t>ROMCIN CREAM.jpeg</t>
  </si>
  <si>
    <t>Still Active</t>
  </si>
  <si>
    <t>Open</t>
  </si>
  <si>
    <t>MURTALA ABDULKADIR</t>
  </si>
  <si>
    <t>PROLIXAM</t>
  </si>
  <si>
    <t>PROVAMATI</t>
  </si>
  <si>
    <t>2 Ayodele Fanoiki Way, Magodo  GRA, Lagos.</t>
  </si>
  <si>
    <t>07030857451</t>
  </si>
  <si>
    <t>regulatory@provamati.com;</t>
  </si>
  <si>
    <t>NO</t>
  </si>
  <si>
    <t>ONLINE (Website)</t>
  </si>
  <si>
    <t>PENALTY</t>
  </si>
  <si>
    <t>PREGMUM</t>
  </si>
  <si>
    <t>NATURES FIELD</t>
  </si>
  <si>
    <t>20 KOFO ABAYOMI AVENUE, APAPA, LAGOS; PLOT 817, RAJI RASAKI, AMUWO-ODOFIN, FESTAC EXTENSION, LAGOS</t>
  </si>
  <si>
    <t>07069025476;08112662439;08033085973;08071891900</t>
  </si>
  <si>
    <t>sylkenltd@yahoo.com</t>
  </si>
  <si>
    <t>A7-4710</t>
  </si>
  <si>
    <t>OTHER</t>
  </si>
  <si>
    <t>ADVANCED PREGNANCY CARE FORMULATION</t>
  </si>
  <si>
    <t>ROMCINnPREGMUMnCOFREMEDY.jpeg</t>
  </si>
  <si>
    <t>COFREMEDY</t>
  </si>
  <si>
    <t>DIAMOND HEALTHCARE LIMITED</t>
  </si>
  <si>
    <t>5 FORCY RABIU STREET, LOWA ESTATE, IKORODU-LAGOS</t>
  </si>
  <si>
    <t>08023019917;08175901333</t>
  </si>
  <si>
    <t>diadrugs@yahoo.com</t>
  </si>
  <si>
    <t>B4-4697</t>
  </si>
  <si>
    <t>RELIEVES COUGH SO YOU CAN BREATHE EASY</t>
  </si>
  <si>
    <t>COFREMEDY.jpeg</t>
  </si>
  <si>
    <t>Called today and Victoria is coming within 48 hours between 10am and 2 pm with an invitation extended to the company to honour within 48 hours of the call</t>
  </si>
  <si>
    <t>AMINOPEP</t>
  </si>
  <si>
    <t>SEAGREEN PHARMACEUTICALSLTD</t>
  </si>
  <si>
    <t>3 OKUNFOLAMI STREET, ANTHONY VILLAGE, LAGOS;</t>
  </si>
  <si>
    <t>08033588716;08183260033;08122993939</t>
  </si>
  <si>
    <t>seagreenregulatory@gmail.com;seagreenltd@yahoo.com</t>
  </si>
  <si>
    <t>04-8763</t>
  </si>
  <si>
    <t>TEN IN ONE FOR EVERYONE</t>
  </si>
  <si>
    <t>AMINOPEP 2.jpeg</t>
  </si>
  <si>
    <t>Call Seagreen Rita coming tomorrow/and there is approval</t>
  </si>
  <si>
    <t>MYO-INOSITOL&amp;D-CHIRO-INOSITOL</t>
  </si>
  <si>
    <t>A7-102989</t>
  </si>
  <si>
    <t>YOUR NATURAL SUPPORT FOR PCOS AND HORMONAL CHAOS</t>
  </si>
  <si>
    <t>MYO-INOSITOLnD-CHIRO-INOSITOL.jpeg</t>
  </si>
  <si>
    <t>TANZOL</t>
  </si>
  <si>
    <t>SHALINA HEALTHCARE LTD.</t>
  </si>
  <si>
    <t>08107539920;08107539929;08107539933;08065115834</t>
  </si>
  <si>
    <t>04-8748;04-2927</t>
  </si>
  <si>
    <t>OTHERS</t>
  </si>
  <si>
    <t>SINGLE DOSE TREATMENT FOR COMMON WORMS</t>
  </si>
  <si>
    <t>TANZOL.jpeg</t>
  </si>
  <si>
    <t>OXANDIN TABLETS</t>
  </si>
  <si>
    <t>MEXZEN NIGERIA LTD.</t>
  </si>
  <si>
    <t>43, IFOSHI ROAD, PIPELINE BUS STOP, EJIGBO,  LAGOS</t>
  </si>
  <si>
    <t>08035369184;08184435083;08035734433;08084102163</t>
  </si>
  <si>
    <t>mexenpharmltd@gmail.com;mexzen123@gmail.com</t>
  </si>
  <si>
    <t>B4-9769</t>
  </si>
  <si>
    <t>THE POWER OF 2 AGAINST 1</t>
  </si>
  <si>
    <t>OXANDIN.jpeg</t>
  </si>
  <si>
    <t>ASCORBION C300</t>
  </si>
  <si>
    <t>MOPSON PHARMACEUTICAL LTD</t>
  </si>
  <si>
    <t>47, Osolo Way, Ajao Estate, Lagos</t>
  </si>
  <si>
    <t>0811744466;07088668242</t>
  </si>
  <si>
    <t>mopsonpharm@yahoo.com</t>
  </si>
  <si>
    <t>A4-0859</t>
  </si>
  <si>
    <t>NERVE REJUVENATOR</t>
  </si>
  <si>
    <t>ASCORBION C300 2.jpeg</t>
  </si>
  <si>
    <t xml:space="preserve">Expecting Call from Pharmacist Unenah;spoke again to the Pharmacist with an invitation extended to the </t>
  </si>
  <si>
    <t>CARDIOCAP</t>
  </si>
  <si>
    <t>EMBASSY PHARMACEUTICALS &amp;CHEMICALS LTD</t>
  </si>
  <si>
    <t>A7-4943L</t>
  </si>
  <si>
    <t>ENJOY A HEALTHY HEART WITH CARDIOCAP</t>
  </si>
  <si>
    <t>CARDIOCAPnEMBAFRATONEBETICnNERVERON.jpeg</t>
  </si>
  <si>
    <t>EMBAFRATONEBETIC</t>
  </si>
  <si>
    <t>ONE-A-DAY NUTRITIONAL SUPPLEMENT SUITABLE FOR PEOPLE WITH DIABETES</t>
  </si>
  <si>
    <t>NERVERON</t>
  </si>
  <si>
    <t>A7-101717</t>
  </si>
  <si>
    <t>SUPERMAG ANTACID</t>
  </si>
  <si>
    <t>04--2453</t>
  </si>
  <si>
    <t>SUPERMAG ANTACID.jpeg</t>
  </si>
  <si>
    <t>RETRAX TABLET</t>
  </si>
  <si>
    <t>REALS PHARMACEUTICALS LTD.</t>
  </si>
  <si>
    <t>04--4163</t>
  </si>
  <si>
    <t>EFFECTIVE WORM EXPELLER FOR ADULTS AND CHILDREN</t>
  </si>
  <si>
    <t>RETRAX-REAL.jpeg</t>
  </si>
  <si>
    <t>MIMGLOBIN</t>
  </si>
  <si>
    <t>A4-8998</t>
  </si>
  <si>
    <t>FAMILY TONIC FOR HAEMOGLOBIN</t>
  </si>
  <si>
    <t>HALAR CREAM n MIMGLOBIN.jpeg</t>
  </si>
  <si>
    <t>CLARTEM-QS</t>
  </si>
  <si>
    <t>CLARION MEDICALS LTD.</t>
  </si>
  <si>
    <t>B4-5445</t>
  </si>
  <si>
    <t>KILLS MALARIA FAST</t>
  </si>
  <si>
    <t>MIMGLOBIN n CLARTEM MALARIA.jpeg</t>
  </si>
  <si>
    <t>ASFENOSITOL</t>
  </si>
  <si>
    <t>BRIDGECARE PHARMACEUTICALS LIMITED</t>
  </si>
  <si>
    <t>A7-102870</t>
  </si>
  <si>
    <t>NO. 1 PCOS SUPPORT FORMULA</t>
  </si>
  <si>
    <t>ASFENOSITOL.jpeg</t>
  </si>
  <si>
    <t>DR. LAWAL SAHEED</t>
  </si>
  <si>
    <t xml:space="preserve">NOVACARE URA CLEAR KIDNEY TEA </t>
  </si>
  <si>
    <t>NOVACARE</t>
  </si>
  <si>
    <t>ONLINE (Facebook)</t>
  </si>
  <si>
    <t>CATHERINE SANI</t>
  </si>
  <si>
    <t>HEALTHY YOU RANGES</t>
  </si>
  <si>
    <t>SYLKEN LTD.</t>
  </si>
  <si>
    <t>OUT-OF-HOME (Billboard)</t>
  </si>
  <si>
    <t>THINK HEALTHY LIVING,TAKE HEALTHY YOU</t>
  </si>
  <si>
    <t>HEALTHY YOU RANGES.jpeg</t>
  </si>
  <si>
    <t>EREXIN</t>
  </si>
  <si>
    <t>SJS LIFE SCIENCES LTD.</t>
  </si>
  <si>
    <t>A4-100819</t>
  </si>
  <si>
    <t>AFRICAN GEM</t>
  </si>
  <si>
    <t>AFRICAN GEM.jpeg</t>
  </si>
  <si>
    <t>KOLD BLAST</t>
  </si>
  <si>
    <t>BASIC PHARMACEUTICAL AND HERBAL HEALTHCARE LIMITED</t>
  </si>
  <si>
    <t>B4-5930</t>
  </si>
  <si>
    <t>OUT-OF-HOME (Lamp Post)</t>
  </si>
  <si>
    <t>LET YOUR HEALTH NEVER BE COLD</t>
  </si>
  <si>
    <t>KOLD BLAST.jpeg</t>
  </si>
  <si>
    <t>TEMECXIN PLUS</t>
  </si>
  <si>
    <t>BOND CHEMICAL INDUSTRIES LTD.</t>
  </si>
  <si>
    <t>OUT-OF-HOME (Bus Branding)</t>
  </si>
  <si>
    <t>COMPANY BUS</t>
  </si>
  <si>
    <t>COMPANY VEHICLE</t>
  </si>
  <si>
    <t>TEMECXIN PLUS.jpeg</t>
  </si>
  <si>
    <t>VISITA PLUS</t>
  </si>
  <si>
    <t>ELBE PHARMA NIGERIA LTD</t>
  </si>
  <si>
    <t>B4-4845</t>
  </si>
  <si>
    <t>VISIBLE BEAUTY</t>
  </si>
  <si>
    <t>VISITA PLUS.jpeg</t>
  </si>
  <si>
    <t>TAMETHER</t>
  </si>
  <si>
    <t>VIXA PHARMA</t>
  </si>
  <si>
    <t>C4-1954</t>
  </si>
  <si>
    <t>DEEPERCARE PHARMACY,KETU</t>
  </si>
  <si>
    <t>MALARIA PROTECTION FOR THE FAMILY</t>
  </si>
  <si>
    <t>TAMETHER.jpeg</t>
  </si>
  <si>
    <t>SHALTOUX</t>
  </si>
  <si>
    <t>A7-100740L,A7-100739L</t>
  </si>
  <si>
    <t>NATURAL SORE THROAT RELIEVER</t>
  </si>
  <si>
    <t>SHALTOUX.jpeg</t>
  </si>
  <si>
    <t>RADIANT SKIN SECRET</t>
  </si>
  <si>
    <t>TOKE COSMETICS</t>
  </si>
  <si>
    <t>A2-1157</t>
  </si>
  <si>
    <t>BILLBOARD ON THE WAY TO KOSOFE</t>
  </si>
  <si>
    <t>KOSOFE</t>
  </si>
  <si>
    <t>NATURAL CARE FOR EVERY GENERATION</t>
  </si>
  <si>
    <t>VIVIAN-EME ARCHIBONG</t>
  </si>
  <si>
    <t>LYSOMIN LIQUID/ CAPSULES.</t>
  </si>
  <si>
    <t>122-132 AFPRINT INDUSTRIAL ESTATE, APAPA-OOSHODI EXPRESSWAY, IYANA ISOLO, ISOLO, LAGOOS.</t>
  </si>
  <si>
    <t>08056292409 ; 08036761764</t>
  </si>
  <si>
    <t>info@phiillipsnigeria.com</t>
  </si>
  <si>
    <t>A7-101633;A7-101824</t>
  </si>
  <si>
    <t>13/08/2026</t>
  </si>
  <si>
    <t>D&amp;M PHARMACY, EGBEDA.</t>
  </si>
  <si>
    <t>COMPESATE NITROGEN LOSS...ENSURES QUICK RECOVERY</t>
  </si>
  <si>
    <t>LYSOMIN</t>
  </si>
  <si>
    <t>CASE-PMS-ADV-2026-029</t>
  </si>
  <si>
    <t>DARAVIT PREGMOM</t>
  </si>
  <si>
    <t>IGA-IDUNGANRAN STREET LAGOS LAGOS</t>
  </si>
  <si>
    <t>09077777770 ; 09080303030</t>
  </si>
  <si>
    <t>A7-4929</t>
  </si>
  <si>
    <t>TWIN PACK</t>
  </si>
  <si>
    <t>CASE-PMS-ADV-2026-030</t>
  </si>
  <si>
    <t>DREZ-V GEL</t>
  </si>
  <si>
    <t>A4-100883</t>
  </si>
  <si>
    <t>LIBERATES WOMEN FROM VAGINAL DISCOMFORT</t>
  </si>
  <si>
    <t>DREZ V</t>
  </si>
  <si>
    <t>CASE-PMS-ADV-2026-031</t>
  </si>
  <si>
    <t>JUSDEE 400 DROPS</t>
  </si>
  <si>
    <t>A7-101036</t>
  </si>
  <si>
    <t>RECOMMEND JUSDEE WHILE THE SUN SHINES!</t>
  </si>
  <si>
    <t>JUSDEE 400</t>
  </si>
  <si>
    <t>STEDNAC GEL</t>
  </si>
  <si>
    <t>A4-100649</t>
  </si>
  <si>
    <t>RELIEVES PAIN &amp; RESTORES MOBILITY</t>
  </si>
  <si>
    <t>STEDNAC</t>
  </si>
  <si>
    <t>CASE-PMS-ADV-2026-033</t>
  </si>
  <si>
    <t>JUSDEE 60K GRANULES</t>
  </si>
  <si>
    <t>A7-101037</t>
  </si>
  <si>
    <t>JUSDEE 60K</t>
  </si>
  <si>
    <t>CASE-PMS-ADV-2026-34</t>
  </si>
  <si>
    <t xml:space="preserve">AZAMBA </t>
  </si>
  <si>
    <t>SOLID ACCORD LTD</t>
  </si>
  <si>
    <t>85B, Femi Killa Street, Ago Okota</t>
  </si>
  <si>
    <t>0803 988 6328</t>
  </si>
  <si>
    <t>mail@solidaccord.com</t>
  </si>
  <si>
    <t>B4-9841</t>
  </si>
  <si>
    <t>PROMOTIONAL MATERIAL</t>
  </si>
  <si>
    <t>WHEN ANXIETY HUNTS AND OR DEPRESSION SETS IN</t>
  </si>
  <si>
    <t>AZAMBA</t>
  </si>
  <si>
    <t>CASE-PMS-ADV-2026-35</t>
  </si>
  <si>
    <t>OVUMINE 50</t>
  </si>
  <si>
    <t>CARROT-TOP DRUGS LTD</t>
  </si>
  <si>
    <t>TAPA STREET, LAGOS MAINLAND LAGOS</t>
  </si>
  <si>
    <t>09121610995 ; 08118919001</t>
  </si>
  <si>
    <t xml:space="preserve">                   NIL</t>
  </si>
  <si>
    <t>A4-5130</t>
  </si>
  <si>
    <t>14/08/2026</t>
  </si>
  <si>
    <t>INDICATION</t>
  </si>
  <si>
    <t>CASE-PMS-ADV-2026-36</t>
  </si>
  <si>
    <t>Unknown</t>
  </si>
  <si>
    <t>CASE-PMS-ADV-2026-37</t>
  </si>
  <si>
    <t>18/08/2026</t>
  </si>
  <si>
    <t>OLAOYE HALEEMAT</t>
  </si>
  <si>
    <t>CARDIOACE</t>
  </si>
  <si>
    <t>PERFECTIL</t>
  </si>
  <si>
    <t>VISIONACE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</si>
</sst>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11"/>
      <color theme="1"/>
      <name val="Calibri"/>
      <family val="2"/>
      <scheme val="minor"/>
    </font>
    <font>
      <b/>
      <sz val="11"/>
      <color theme="1"/>
      <name val="Calibri"/>
      <family val="2"/>
      <scheme val="minor"/>
    </font>
    <font>
      <b/>
      <sz val="8"/>
      <color theme="1"/>
      <name val="Times New Roman"/>
      <family val="1"/>
    </font>
    <font>
      <b/>
      <sz val="8"/>
      <color theme="1"/>
      <name val="Calibri"/>
      <family val="2"/>
      <scheme val="minor"/>
    </font>
    <font>
      <u/>
      <sz val="11"/>
      <color theme="10"/>
      <name val="Calibri"/>
      <family val="2"/>
      <scheme val="minor"/>
    </font>
    <font>
      <sz val="8"/>
      <name val="Calibri"/>
      <family val="2"/>
      <scheme val="minor"/>
    </font>
    <font>
      <sz val="8"/>
      <color theme="1"/>
      <name val="Calibri"/>
      <family val="2"/>
      <scheme val="minor"/>
    </font>
    <font>
      <b/>
      <sz val="8"/>
      <color rgb="FF000000"/>
      <name val="Calibri"/>
      <family val="2"/>
      <scheme val="minor"/>
    </font>
    <font>
      <b/>
      <sz val="8"/>
      <color rgb="FF000000"/>
      <name val="Calibri"/>
      <family val="2"/>
    </font>
    <font>
      <sz val="8"/>
      <color rgb="FF000000"/>
      <name val="Calibri"/>
      <family val="2"/>
      <scheme val="minor"/>
    </font>
    <font>
      <sz val="11"/>
      <color rgb="FF828393"/>
      <name val="Times New Roman"/>
      <family val="1"/>
    </font>
    <font>
      <sz val="11"/>
      <color theme="1"/>
      <name val="Times New Roman"/>
      <family val="1"/>
    </font>
    <font>
      <sz val="8"/>
      <color rgb="FF828393"/>
      <name val="Calibri"/>
      <family val="2"/>
      <scheme val="minor"/>
    </font>
    <font>
      <sz val="8"/>
      <color rgb="FF000000"/>
      <name val="Calibri"/>
      <family val="2"/>
    </font>
    <font>
      <b/>
      <sz val="11"/>
      <color rgb="FF000000"/>
      <name val="Times New Roman"/>
      <family val="1"/>
    </font>
    <font>
      <b/>
      <sz val="9"/>
      <color rgb="FF828393"/>
      <name val="Segoe UI"/>
      <family val="2"/>
    </font>
    <font>
      <sz val="9"/>
      <color rgb="FF828393"/>
      <name val="Segoe UI"/>
      <family val="2"/>
    </font>
    <font>
      <sz val="11"/>
      <color rgb="FF828393"/>
      <name val="Inter"/>
      <charset val="1"/>
    </font>
    <font>
      <b/>
      <sz val="11"/>
      <color rgb="FF000000"/>
      <name val="Inter"/>
      <charset val="1"/>
    </font>
    <font>
      <sz val="9"/>
      <color rgb="FF000000"/>
      <name val="Segoe UI"/>
      <family val="2"/>
    </font>
    <font>
      <sz val="11"/>
      <color rgb="FF000000"/>
      <name val="Calibri"/>
      <family val="2"/>
      <scheme val="minor"/>
    </font>
    <font>
      <sz val="11"/>
      <color theme="1"/>
      <name val="Inter"/>
      <charset val="1"/>
    </font>
    <font>
      <b/>
      <sz val="11"/>
      <color theme="1"/>
      <name val="Inter"/>
      <charset val="1"/>
    </font>
    <font>
      <b/>
      <sz val="11"/>
      <color rgb="FF000000"/>
      <name val="Calibri"/>
      <family val="2"/>
      <scheme val="minor"/>
    </font>
    <font>
      <sz val="11"/>
      <color rgb="FF000000"/>
      <name val="Inter"/>
      <charset val="1"/>
    </font>
    <font>
      <sz val="11"/>
      <color rgb="FF000000"/>
      <name val="Inter"/>
    </font>
    <font>
      <b/>
      <sz val="11"/>
      <color rgb="FF828393"/>
      <name val="Inter"/>
      <charset val="1"/>
    </font>
    <font>
      <sz val="11"/>
      <color rgb="FF000000"/>
      <name val="Calibri"/>
      <family val="2"/>
    </font>
    <font>
      <b/>
      <sz val="10"/>
      <color rgb="FF828393"/>
      <name val="Calibri"/>
      <family val="2"/>
      <scheme val="minor"/>
    </font>
    <font>
      <b/>
      <sz val="11"/>
      <color rgb="FF828393"/>
      <name val="Calibri"/>
      <family val="2"/>
      <scheme val="minor"/>
    </font>
    <font>
      <b/>
      <sz val="8"/>
      <color rgb="FF000000"/>
      <name val="Times New Roman"/>
      <family val="1"/>
    </font>
    <font>
      <sz val="10"/>
      <color rgb="FF000000"/>
      <name val="Calibri"/>
      <family val="2"/>
      <scheme val="minor"/>
    </font>
    <font>
      <sz val="8"/>
      <color rgb="FF000000"/>
      <name val="Times New Roman"/>
      <family val="1"/>
    </font>
    <font>
      <sz val="9"/>
      <color rgb="FF000000"/>
      <name val="Times New Roman"/>
      <family val="1"/>
    </font>
    <font>
      <u/>
      <sz val="11"/>
      <color rgb="FF0000FF"/>
      <name val="Calibri"/>
      <family val="2"/>
    </font>
    <font>
      <b/>
      <sz val="8"/>
      <color rgb="FF828393"/>
      <name val="Calibri"/>
      <family val="2"/>
      <scheme val="minor"/>
    </font>
    <font>
      <b/>
      <sz val="11"/>
      <color rgb="FFFFFFFF"/>
      <name val="Arial"/>
      <family val="2"/>
    </font>
    <font>
      <b/>
      <i/>
      <sz val="9"/>
      <color rgb="FFC0392B"/>
      <name val="Arial"/>
      <family val="2"/>
    </font>
    <font>
      <sz val="9"/>
      <color rgb="FF856404"/>
      <name val="Arial"/>
      <family val="2"/>
    </font>
    <font>
      <b/>
      <sz val="8"/>
      <color rgb="FFFFFFFF"/>
      <name val="Arial"/>
      <family val="2"/>
    </font>
    <font>
      <sz val="8"/>
      <color rgb="FF404040"/>
      <name val="Arial"/>
      <family val="2"/>
    </font>
    <font>
      <b/>
      <sz val="9"/>
      <color rgb="FFC0392B"/>
      <name val="Arial"/>
      <family val="2"/>
    </font>
    <font>
      <b/>
      <sz val="9"/>
      <color theme="1"/>
      <name val="Times New Roman"/>
      <family val="1"/>
    </font>
    <font>
      <b/>
      <sz val="9"/>
      <color rgb="FF000000"/>
      <name val="Times New Roman"/>
      <family val="1"/>
    </font>
    <font>
      <b/>
      <sz val="9"/>
      <name val="Times New Roman"/>
      <family val="1"/>
    </font>
    <font>
      <sz val="11"/>
      <color rgb="FF242424"/>
      <name val="Aptos Narrow"/>
      <family val="2"/>
    </font>
    <font>
      <sz val="11"/>
      <color rgb="FF000000"/>
      <name val="Calibri"/>
      <charset val="1"/>
    </font>
  </fonts>
  <fills count="15">
    <fill>
      <patternFill patternType="none"/>
    </fill>
    <fill>
      <patternFill patternType="gray125"/>
    </fill>
    <fill>
      <patternFill patternType="solid">
        <fgColor rgb="FF00B050"/>
        <bgColor indexed="64"/>
      </patternFill>
    </fill>
    <fill>
      <patternFill patternType="solid">
        <fgColor rgb="FFC0392B"/>
      </patternFill>
    </fill>
    <fill>
      <patternFill patternType="solid">
        <fgColor rgb="FFFDECEA"/>
      </patternFill>
    </fill>
    <fill>
      <patternFill patternType="solid">
        <fgColor rgb="FFFFF3CD"/>
      </patternFill>
    </fill>
    <fill>
      <patternFill patternType="solid">
        <fgColor rgb="FF1A3263"/>
      </patternFill>
    </fill>
    <fill>
      <patternFill patternType="solid">
        <fgColor rgb="FF2E75B6"/>
      </patternFill>
    </fill>
    <fill>
      <patternFill patternType="solid">
        <fgColor rgb="FFBF360C"/>
      </patternFill>
    </fill>
    <fill>
      <patternFill patternType="solid">
        <fgColor rgb="FF028090"/>
      </patternFill>
    </fill>
    <fill>
      <patternFill patternType="solid">
        <fgColor rgb="FFFFFFFF"/>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F3CD"/>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828393"/>
      </left>
      <right style="thin">
        <color rgb="FF828393"/>
      </right>
      <top/>
      <bottom/>
      <diagonal/>
    </border>
  </borders>
  <cellStyleXfs count="2">
    <xf numFmtId="0" fontId="0" fillId="0" borderId="0"/>
    <xf numFmtId="0" fontId="5" fillId="0" borderId="0" applyNumberFormat="0" applyFill="0" applyBorder="0" applyAlignment="0" applyProtection="0"/>
  </cellStyleXfs>
  <cellXfs count="160">
    <xf numFmtId="0" fontId="0" fillId="0" borderId="0" xfId="0"/>
    <xf numFmtId="0" fontId="2" fillId="0" borderId="1" xfId="0" applyFont="1" applyBorder="1" applyAlignment="1">
      <alignment horizontal="center" vertical="top"/>
    </xf>
    <xf numFmtId="0" fontId="3" fillId="0" borderId="0" xfId="0" applyFont="1"/>
    <xf numFmtId="0" fontId="4" fillId="0" borderId="0" xfId="0" applyFont="1"/>
    <xf numFmtId="0" fontId="5" fillId="0" borderId="0" xfId="1"/>
    <xf numFmtId="0" fontId="5" fillId="0" borderId="0" xfId="1" applyAlignment="1">
      <alignment wrapText="1"/>
    </xf>
    <xf numFmtId="0" fontId="4" fillId="0" borderId="0" xfId="0" applyFont="1" applyAlignment="1">
      <alignment wrapText="1"/>
    </xf>
    <xf numFmtId="0" fontId="3" fillId="0" borderId="0" xfId="0" applyFont="1" applyAlignment="1">
      <alignment wrapText="1"/>
    </xf>
    <xf numFmtId="0" fontId="5" fillId="0" borderId="0" xfId="1" applyAlignment="1"/>
    <xf numFmtId="0" fontId="8" fillId="0" borderId="0" xfId="0" applyFont="1"/>
    <xf numFmtId="0" fontId="8" fillId="0" borderId="0" xfId="0" applyFont="1" applyAlignment="1">
      <alignment wrapText="1"/>
    </xf>
    <xf numFmtId="0" fontId="9" fillId="0" borderId="0" xfId="0" applyFont="1" applyAlignment="1">
      <alignment wrapText="1"/>
    </xf>
    <xf numFmtId="0" fontId="11" fillId="0" borderId="0" xfId="0" applyFont="1"/>
    <xf numFmtId="0" fontId="12" fillId="0" borderId="0" xfId="0" applyFont="1"/>
    <xf numFmtId="0" fontId="10" fillId="0" borderId="0" xfId="0" applyFont="1"/>
    <xf numFmtId="0" fontId="15" fillId="0" borderId="0" xfId="0" applyFont="1"/>
    <xf numFmtId="14" fontId="4" fillId="0" borderId="0" xfId="0" applyNumberFormat="1" applyFont="1" applyAlignment="1">
      <alignment horizontal="left"/>
    </xf>
    <xf numFmtId="0" fontId="17" fillId="0" borderId="0" xfId="0" applyFont="1"/>
    <xf numFmtId="49" fontId="4" fillId="0" borderId="1" xfId="0" applyNumberFormat="1" applyFont="1" applyBorder="1" applyAlignment="1">
      <alignment horizontal="center" vertical="top"/>
    </xf>
    <xf numFmtId="49" fontId="4" fillId="0" borderId="0" xfId="0" applyNumberFormat="1" applyFont="1"/>
    <xf numFmtId="49" fontId="8" fillId="0" borderId="0" xfId="0" applyNumberFormat="1" applyFont="1"/>
    <xf numFmtId="49" fontId="13" fillId="0" borderId="0" xfId="0" applyNumberFormat="1" applyFont="1"/>
    <xf numFmtId="49" fontId="7" fillId="0" borderId="0" xfId="0" applyNumberFormat="1" applyFont="1"/>
    <xf numFmtId="14" fontId="2" fillId="0" borderId="1" xfId="0" applyNumberFormat="1" applyFont="1" applyBorder="1" applyAlignment="1">
      <alignment horizontal="left" vertical="top"/>
    </xf>
    <xf numFmtId="0" fontId="19" fillId="0" borderId="0" xfId="0" applyFont="1"/>
    <xf numFmtId="0" fontId="20" fillId="0" borderId="0" xfId="0" applyFont="1"/>
    <xf numFmtId="0" fontId="21" fillId="0" borderId="0" xfId="0" applyFont="1"/>
    <xf numFmtId="0" fontId="22" fillId="0" borderId="0" xfId="0" applyFont="1"/>
    <xf numFmtId="17" fontId="22" fillId="0" borderId="0" xfId="0" applyNumberFormat="1" applyFont="1"/>
    <xf numFmtId="0" fontId="0" fillId="0" borderId="0" xfId="0" applyAlignment="1">
      <alignment wrapText="1"/>
    </xf>
    <xf numFmtId="0" fontId="25" fillId="0" borderId="0" xfId="0" applyFont="1"/>
    <xf numFmtId="0" fontId="19" fillId="0" borderId="0" xfId="0" applyFont="1" applyAlignment="1">
      <alignment wrapText="1"/>
    </xf>
    <xf numFmtId="0" fontId="26" fillId="0" borderId="0" xfId="0" applyFont="1"/>
    <xf numFmtId="0" fontId="18" fillId="0" borderId="0" xfId="0" applyFont="1" applyAlignment="1">
      <alignment wrapText="1"/>
    </xf>
    <xf numFmtId="0" fontId="27" fillId="0" borderId="0" xfId="0" applyFont="1" applyAlignment="1">
      <alignment wrapText="1"/>
    </xf>
    <xf numFmtId="0" fontId="2" fillId="0" borderId="1" xfId="0" applyFont="1" applyBorder="1" applyAlignment="1">
      <alignment wrapText="1"/>
    </xf>
    <xf numFmtId="0" fontId="24" fillId="0" borderId="0" xfId="0" applyFont="1" applyAlignment="1">
      <alignment wrapText="1"/>
    </xf>
    <xf numFmtId="0" fontId="28" fillId="0" borderId="0" xfId="0" applyFont="1"/>
    <xf numFmtId="0" fontId="16" fillId="0" borderId="0" xfId="0" applyFont="1" applyAlignment="1">
      <alignment wrapText="1"/>
    </xf>
    <xf numFmtId="0" fontId="23" fillId="0" borderId="0" xfId="0" applyFont="1" applyAlignment="1">
      <alignment wrapText="1"/>
    </xf>
    <xf numFmtId="0" fontId="2" fillId="0" borderId="2" xfId="0" applyFont="1" applyBorder="1" applyAlignment="1">
      <alignment horizontal="center" vertical="top" wrapText="1"/>
    </xf>
    <xf numFmtId="0" fontId="22" fillId="0" borderId="0" xfId="0" applyFont="1" applyAlignment="1">
      <alignment wrapText="1"/>
    </xf>
    <xf numFmtId="0" fontId="2" fillId="0" borderId="1" xfId="0" applyFont="1" applyBorder="1" applyAlignment="1">
      <alignment horizontal="center" vertical="top" wrapText="1"/>
    </xf>
    <xf numFmtId="0" fontId="28" fillId="0" borderId="0" xfId="0" applyFont="1" applyAlignment="1">
      <alignment wrapText="1"/>
    </xf>
    <xf numFmtId="0" fontId="4" fillId="0" borderId="0" xfId="0" applyFont="1" applyAlignment="1">
      <alignment horizontal="left" wrapText="1"/>
    </xf>
    <xf numFmtId="0" fontId="26" fillId="0" borderId="0" xfId="0" applyFont="1" applyAlignment="1">
      <alignment wrapText="1"/>
    </xf>
    <xf numFmtId="0" fontId="0" fillId="0" borderId="0" xfId="0" quotePrefix="1"/>
    <xf numFmtId="17" fontId="0" fillId="0" borderId="0" xfId="0" applyNumberFormat="1"/>
    <xf numFmtId="0" fontId="10" fillId="0" borderId="0" xfId="0" applyFont="1" applyAlignment="1">
      <alignment wrapText="1"/>
    </xf>
    <xf numFmtId="0" fontId="29" fillId="0" borderId="0" xfId="0" applyFont="1"/>
    <xf numFmtId="0" fontId="8" fillId="0" borderId="0" xfId="0" applyFont="1" applyAlignment="1">
      <alignment horizontal="left" wrapText="1"/>
    </xf>
    <xf numFmtId="0" fontId="9" fillId="0" borderId="0" xfId="0" applyFont="1" applyAlignment="1">
      <alignment horizontal="left" wrapText="1"/>
    </xf>
    <xf numFmtId="0" fontId="0" fillId="0" borderId="0" xfId="0" applyAlignment="1">
      <alignment horizontal="left" wrapText="1"/>
    </xf>
    <xf numFmtId="3" fontId="0" fillId="0" borderId="0" xfId="0" applyNumberFormat="1" applyAlignment="1">
      <alignment horizontal="left" wrapText="1"/>
    </xf>
    <xf numFmtId="0" fontId="17" fillId="0" borderId="0" xfId="0" applyFont="1" applyAlignment="1">
      <alignment horizontal="left" wrapText="1"/>
    </xf>
    <xf numFmtId="0" fontId="22" fillId="0" borderId="0" xfId="0" applyFont="1" applyAlignment="1">
      <alignment horizontal="left" wrapText="1"/>
    </xf>
    <xf numFmtId="0" fontId="25" fillId="0" borderId="0" xfId="0" applyFont="1" applyAlignment="1">
      <alignment horizontal="left" wrapText="1"/>
    </xf>
    <xf numFmtId="0" fontId="18" fillId="0" borderId="0" xfId="0" applyFont="1" applyAlignment="1">
      <alignment horizontal="left" wrapText="1"/>
    </xf>
    <xf numFmtId="0" fontId="25" fillId="0" borderId="0" xfId="0" applyFont="1" applyAlignment="1">
      <alignment horizontal="left"/>
    </xf>
    <xf numFmtId="0" fontId="17" fillId="0" borderId="0" xfId="0" applyFont="1" applyAlignment="1">
      <alignment wrapText="1"/>
    </xf>
    <xf numFmtId="0" fontId="27" fillId="0" borderId="0" xfId="0" applyFont="1"/>
    <xf numFmtId="0" fontId="18" fillId="0" borderId="0" xfId="0" applyFont="1"/>
    <xf numFmtId="0" fontId="23" fillId="0" borderId="0" xfId="0" applyFont="1"/>
    <xf numFmtId="0" fontId="2" fillId="0" borderId="0" xfId="0" applyFont="1"/>
    <xf numFmtId="0" fontId="30" fillId="0" borderId="0" xfId="0" applyFont="1"/>
    <xf numFmtId="0" fontId="25" fillId="0" borderId="0" xfId="0" applyFont="1" applyAlignment="1">
      <alignment wrapText="1"/>
    </xf>
    <xf numFmtId="0" fontId="32" fillId="0" borderId="0" xfId="0" applyFont="1" applyAlignment="1">
      <alignment wrapText="1"/>
    </xf>
    <xf numFmtId="0" fontId="10" fillId="0" borderId="1" xfId="0" applyFont="1" applyBorder="1" applyAlignment="1">
      <alignment horizontal="left" vertical="top" wrapText="1"/>
    </xf>
    <xf numFmtId="0" fontId="10" fillId="0" borderId="0" xfId="0" applyFont="1" applyAlignment="1">
      <alignment horizontal="left" wrapText="1"/>
    </xf>
    <xf numFmtId="0" fontId="33" fillId="0" borderId="0" xfId="0" applyFont="1" applyAlignment="1">
      <alignment horizontal="left" wrapText="1"/>
    </xf>
    <xf numFmtId="0" fontId="34" fillId="0" borderId="0" xfId="0" applyFont="1" applyAlignment="1">
      <alignment wrapText="1"/>
    </xf>
    <xf numFmtId="0" fontId="20" fillId="0" borderId="0" xfId="0" applyFont="1" applyAlignment="1">
      <alignment wrapText="1"/>
    </xf>
    <xf numFmtId="0" fontId="21" fillId="0" borderId="0" xfId="0" applyFont="1" applyAlignment="1">
      <alignment horizontal="left" wrapText="1"/>
    </xf>
    <xf numFmtId="0" fontId="10" fillId="0" borderId="1" xfId="0" applyFont="1" applyBorder="1" applyAlignment="1">
      <alignment horizontal="center" vertical="top" wrapText="1"/>
    </xf>
    <xf numFmtId="0" fontId="14" fillId="0" borderId="0" xfId="0" applyFont="1" applyAlignment="1">
      <alignment wrapText="1"/>
    </xf>
    <xf numFmtId="17" fontId="25" fillId="0" borderId="0" xfId="0" applyNumberFormat="1" applyFont="1"/>
    <xf numFmtId="0" fontId="35" fillId="0" borderId="0" xfId="0" applyFont="1" applyAlignment="1">
      <alignment wrapText="1"/>
    </xf>
    <xf numFmtId="0" fontId="0" fillId="0" borderId="0" xfId="0" quotePrefix="1" applyAlignment="1">
      <alignment wrapText="1"/>
    </xf>
    <xf numFmtId="0" fontId="36" fillId="0" borderId="0" xfId="0" applyFont="1"/>
    <xf numFmtId="0" fontId="0" fillId="2" borderId="0" xfId="0" applyFill="1"/>
    <xf numFmtId="14" fontId="0" fillId="0" borderId="0" xfId="0" applyNumberFormat="1"/>
    <xf numFmtId="18" fontId="0" fillId="0" borderId="0" xfId="0" applyNumberFormat="1"/>
    <xf numFmtId="0" fontId="40" fillId="6" borderId="4" xfId="0" applyFont="1" applyFill="1" applyBorder="1" applyAlignment="1">
      <alignment horizontal="center" vertical="center" wrapText="1"/>
    </xf>
    <xf numFmtId="0" fontId="40" fillId="3" borderId="4" xfId="0" applyFont="1" applyFill="1" applyBorder="1" applyAlignment="1">
      <alignment horizontal="center" vertical="center" wrapText="1"/>
    </xf>
    <xf numFmtId="0" fontId="40" fillId="7" borderId="4" xfId="0" applyFont="1" applyFill="1" applyBorder="1" applyAlignment="1">
      <alignment horizontal="center" vertical="center" wrapText="1"/>
    </xf>
    <xf numFmtId="0" fontId="40" fillId="8"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1" fillId="10" borderId="4" xfId="0" applyFont="1" applyFill="1" applyBorder="1" applyAlignment="1">
      <alignment horizontal="center" vertical="center" wrapText="1"/>
    </xf>
    <xf numFmtId="0" fontId="41" fillId="5" borderId="4" xfId="0" applyFont="1" applyFill="1" applyBorder="1" applyAlignment="1">
      <alignment horizontal="center" vertical="center" wrapText="1"/>
    </xf>
    <xf numFmtId="0" fontId="41" fillId="5" borderId="4" xfId="0" applyFont="1" applyFill="1" applyBorder="1" applyAlignment="1">
      <alignment horizontal="left" vertical="center" wrapText="1"/>
    </xf>
    <xf numFmtId="0" fontId="41" fillId="10" borderId="4" xfId="0" applyFont="1" applyFill="1" applyBorder="1" applyAlignment="1">
      <alignment horizontal="left" vertical="center" wrapText="1"/>
    </xf>
    <xf numFmtId="0" fontId="41" fillId="4" borderId="4" xfId="0" applyFont="1" applyFill="1" applyBorder="1" applyAlignment="1">
      <alignment horizontal="center" vertical="center" wrapText="1"/>
    </xf>
    <xf numFmtId="0" fontId="41" fillId="4" borderId="4" xfId="0" applyFont="1" applyFill="1" applyBorder="1" applyAlignment="1">
      <alignment horizontal="left" vertical="center" wrapText="1"/>
    </xf>
    <xf numFmtId="20" fontId="0" fillId="0" borderId="0" xfId="0" applyNumberFormat="1"/>
    <xf numFmtId="0" fontId="0" fillId="11" borderId="0" xfId="0" applyFill="1"/>
    <xf numFmtId="0" fontId="0" fillId="12" borderId="0" xfId="0" applyFill="1"/>
    <xf numFmtId="0" fontId="21" fillId="0" borderId="0" xfId="0" applyFont="1" applyAlignment="1">
      <alignment wrapText="1"/>
    </xf>
    <xf numFmtId="0" fontId="16" fillId="0" borderId="0" xfId="0" applyFont="1"/>
    <xf numFmtId="0" fontId="43" fillId="0" borderId="0" xfId="0" applyFont="1"/>
    <xf numFmtId="0" fontId="44" fillId="0" borderId="0" xfId="0" applyFont="1"/>
    <xf numFmtId="3" fontId="17" fillId="0" borderId="0" xfId="0" applyNumberFormat="1" applyFont="1"/>
    <xf numFmtId="14" fontId="41" fillId="5" borderId="4" xfId="0" applyNumberFormat="1" applyFont="1" applyFill="1" applyBorder="1" applyAlignment="1">
      <alignment horizontal="center" vertical="center" wrapText="1"/>
    </xf>
    <xf numFmtId="14" fontId="41" fillId="10" borderId="4" xfId="0" applyNumberFormat="1" applyFont="1" applyFill="1" applyBorder="1" applyAlignment="1">
      <alignment horizontal="center" vertical="center" wrapText="1"/>
    </xf>
    <xf numFmtId="0" fontId="42" fillId="10" borderId="4" xfId="0" applyFont="1" applyFill="1" applyBorder="1" applyAlignment="1">
      <alignment horizontal="center" vertical="center"/>
    </xf>
    <xf numFmtId="0" fontId="42" fillId="4" borderId="4" xfId="0" applyFont="1" applyFill="1" applyBorder="1" applyAlignment="1">
      <alignment horizontal="center" vertical="center"/>
    </xf>
    <xf numFmtId="0" fontId="41" fillId="5" borderId="4" xfId="0" applyFont="1" applyFill="1" applyBorder="1" applyAlignment="1">
      <alignment horizontal="left" vertical="center"/>
    </xf>
    <xf numFmtId="0" fontId="0" fillId="13" borderId="0" xfId="0" applyFill="1"/>
    <xf numFmtId="0" fontId="18" fillId="13" borderId="0" xfId="0" applyFont="1" applyFill="1"/>
    <xf numFmtId="0" fontId="10" fillId="13" borderId="0" xfId="0" applyFont="1" applyFill="1" applyAlignment="1">
      <alignment horizontal="left" wrapText="1"/>
    </xf>
    <xf numFmtId="49" fontId="7" fillId="13" borderId="0" xfId="0" applyNumberFormat="1" applyFont="1" applyFill="1"/>
    <xf numFmtId="0" fontId="0" fillId="13" borderId="0" xfId="0" applyFill="1" applyAlignment="1">
      <alignment wrapText="1"/>
    </xf>
    <xf numFmtId="0" fontId="27" fillId="13" borderId="0" xfId="0" applyFont="1" applyFill="1"/>
    <xf numFmtId="14" fontId="4" fillId="13" borderId="0" xfId="0" applyNumberFormat="1" applyFont="1" applyFill="1" applyAlignment="1">
      <alignment horizontal="left"/>
    </xf>
    <xf numFmtId="0" fontId="0" fillId="13" borderId="0" xfId="0" applyFill="1" applyAlignment="1">
      <alignment horizontal="left" wrapText="1"/>
    </xf>
    <xf numFmtId="0" fontId="5" fillId="13" borderId="0" xfId="1" applyFill="1"/>
    <xf numFmtId="49" fontId="2" fillId="0" borderId="2" xfId="0" applyNumberFormat="1" applyFont="1" applyBorder="1" applyAlignment="1">
      <alignment horizontal="center" vertical="top"/>
    </xf>
    <xf numFmtId="49" fontId="0" fillId="0" borderId="0" xfId="0" quotePrefix="1" applyNumberFormat="1"/>
    <xf numFmtId="49" fontId="0" fillId="0" borderId="0" xfId="0" applyNumberFormat="1"/>
    <xf numFmtId="49" fontId="0" fillId="0" borderId="0" xfId="0" quotePrefix="1" applyNumberFormat="1" applyAlignment="1">
      <alignment wrapText="1"/>
    </xf>
    <xf numFmtId="49" fontId="5" fillId="0" borderId="0" xfId="1" quotePrefix="1" applyNumberFormat="1"/>
    <xf numFmtId="49" fontId="0" fillId="0" borderId="0" xfId="0" applyNumberFormat="1" applyAlignment="1">
      <alignment wrapText="1"/>
    </xf>
    <xf numFmtId="49" fontId="17" fillId="0" borderId="0" xfId="0" applyNumberFormat="1" applyFont="1"/>
    <xf numFmtId="49" fontId="0" fillId="13" borderId="0" xfId="0" applyNumberFormat="1" applyFill="1"/>
    <xf numFmtId="49" fontId="5" fillId="0" borderId="0" xfId="1" applyNumberFormat="1"/>
    <xf numFmtId="0" fontId="45" fillId="0" borderId="0" xfId="0" applyFont="1"/>
    <xf numFmtId="0" fontId="1" fillId="0" borderId="0" xfId="0" applyFont="1" applyAlignment="1">
      <alignment horizontal="left" wrapText="1"/>
    </xf>
    <xf numFmtId="0" fontId="1" fillId="0" borderId="0" xfId="0" applyFont="1"/>
    <xf numFmtId="0" fontId="14" fillId="0" borderId="0" xfId="0" applyFont="1"/>
    <xf numFmtId="49" fontId="21" fillId="0" borderId="0" xfId="0" applyNumberFormat="1" applyFont="1"/>
    <xf numFmtId="14" fontId="8" fillId="0" borderId="0" xfId="0" applyNumberFormat="1" applyFont="1" applyAlignment="1">
      <alignment horizontal="left"/>
    </xf>
    <xf numFmtId="49" fontId="4" fillId="0" borderId="0" xfId="0" applyNumberFormat="1" applyFont="1" applyAlignment="1">
      <alignment wrapText="1"/>
    </xf>
    <xf numFmtId="0" fontId="24" fillId="0" borderId="0" xfId="0" applyFont="1"/>
    <xf numFmtId="0" fontId="30" fillId="0" borderId="5" xfId="0" applyFont="1" applyBorder="1"/>
    <xf numFmtId="0" fontId="31" fillId="0" borderId="0" xfId="0" applyFont="1"/>
    <xf numFmtId="0" fontId="13" fillId="0" borderId="0" xfId="0" applyFont="1" applyAlignment="1">
      <alignment horizontal="left" wrapText="1"/>
    </xf>
    <xf numFmtId="0" fontId="9" fillId="0" borderId="0" xfId="0" applyFont="1"/>
    <xf numFmtId="0" fontId="21" fillId="0" borderId="3" xfId="0" applyFont="1" applyBorder="1" applyAlignment="1">
      <alignment wrapText="1"/>
    </xf>
    <xf numFmtId="0" fontId="2" fillId="0" borderId="0" xfId="0" applyFont="1" applyAlignment="1">
      <alignment wrapText="1"/>
    </xf>
    <xf numFmtId="0" fontId="32" fillId="0" borderId="3" xfId="0" applyFont="1" applyBorder="1" applyAlignment="1">
      <alignment wrapText="1"/>
    </xf>
    <xf numFmtId="0" fontId="35" fillId="0" borderId="0" xfId="0" applyFont="1"/>
    <xf numFmtId="0" fontId="44" fillId="0" borderId="0" xfId="0" applyFont="1" applyAlignment="1">
      <alignment wrapText="1"/>
    </xf>
    <xf numFmtId="0" fontId="46" fillId="0" borderId="0" xfId="0" applyFont="1"/>
    <xf numFmtId="49" fontId="46" fillId="0" borderId="0" xfId="0" applyNumberFormat="1" applyFont="1"/>
    <xf numFmtId="14" fontId="10" fillId="0" borderId="0" xfId="0" applyNumberFormat="1" applyFont="1" applyAlignment="1">
      <alignment horizontal="left"/>
    </xf>
    <xf numFmtId="0" fontId="41" fillId="5" borderId="0" xfId="0" applyFont="1" applyFill="1" applyAlignment="1">
      <alignment horizontal="left" vertical="center"/>
    </xf>
    <xf numFmtId="0" fontId="41" fillId="5" borderId="4" xfId="0" quotePrefix="1" applyFont="1" applyFill="1" applyBorder="1" applyAlignment="1">
      <alignment horizontal="left" vertical="center"/>
    </xf>
    <xf numFmtId="0" fontId="5" fillId="5" borderId="4" xfId="1" applyFill="1" applyBorder="1" applyAlignment="1">
      <alignment horizontal="left" vertical="center"/>
    </xf>
    <xf numFmtId="49" fontId="40" fillId="7" borderId="4" xfId="0" applyNumberFormat="1" applyFont="1" applyFill="1" applyBorder="1" applyAlignment="1">
      <alignment horizontal="center" vertical="center" wrapText="1"/>
    </xf>
    <xf numFmtId="49" fontId="41" fillId="5" borderId="4" xfId="0" applyNumberFormat="1" applyFont="1" applyFill="1" applyBorder="1" applyAlignment="1">
      <alignment horizontal="left" vertical="center" wrapText="1"/>
    </xf>
    <xf numFmtId="49" fontId="28" fillId="0" borderId="0" xfId="0" applyNumberFormat="1" applyFont="1"/>
    <xf numFmtId="3" fontId="41" fillId="5" borderId="4" xfId="0" applyNumberFormat="1" applyFont="1" applyFill="1" applyBorder="1" applyAlignment="1">
      <alignment horizontal="left" vertical="center"/>
    </xf>
    <xf numFmtId="0" fontId="41" fillId="5" borderId="4" xfId="0" quotePrefix="1" applyFont="1" applyFill="1" applyBorder="1" applyAlignment="1">
      <alignment horizontal="left" vertical="center" wrapText="1"/>
    </xf>
    <xf numFmtId="0" fontId="5" fillId="5" borderId="4" xfId="1" applyFill="1" applyBorder="1" applyAlignment="1">
      <alignment horizontal="left" vertical="center" wrapText="1"/>
    </xf>
    <xf numFmtId="0" fontId="5" fillId="14" borderId="0" xfId="1" applyFill="1"/>
    <xf numFmtId="0" fontId="37" fillId="3" borderId="0" xfId="0" applyFont="1" applyFill="1" applyAlignment="1">
      <alignment horizontal="center" vertical="center" wrapText="1"/>
    </xf>
    <xf numFmtId="0" fontId="0" fillId="0" borderId="0" xfId="0"/>
    <xf numFmtId="0" fontId="38" fillId="4" borderId="0" xfId="0" applyFont="1" applyFill="1" applyAlignment="1">
      <alignment horizontal="left" vertical="center" wrapText="1"/>
    </xf>
    <xf numFmtId="0" fontId="39" fillId="5" borderId="0" xfId="0" applyFont="1" applyFill="1" applyAlignment="1">
      <alignment horizontal="left" vertical="center" wrapText="1"/>
    </xf>
    <xf numFmtId="0" fontId="47" fillId="0" borderId="0" xfId="0" applyFont="1"/>
    <xf numFmtId="18" fontId="47" fillId="0" borderId="0" xfId="0" applyNumberFormat="1" applyFont="1"/>
  </cellXfs>
  <cellStyles count="2">
    <cellStyle name="Hyperlink" xfId="1" builtinId="8"/>
    <cellStyle name="Normal" xfId="0" builtinId="0"/>
  </cellStyles>
  <dxfs count="0"/>
  <tableStyles count="0" defaultTableStyle="TableStyleMedium9" defaultPivotStyle="PivotStyleLight16"/>
  <colors>
    <mruColors>
      <color rgb="FFFFF3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681</xdr:row>
      <xdr:rowOff>19050</xdr:rowOff>
    </xdr:from>
    <xdr:to>
      <xdr:col>26</xdr:col>
      <xdr:colOff>2352675</xdr:colOff>
      <xdr:row>683</xdr:row>
      <xdr:rowOff>17145</xdr:rowOff>
    </xdr:to>
    <xdr:pic>
      <xdr:nvPicPr>
        <xdr:cNvPr id="28" name="Picture 2">
          <a:extLst>
            <a:ext uri="{FF2B5EF4-FFF2-40B4-BE49-F238E27FC236}">
              <a16:creationId xmlns:a16="http://schemas.microsoft.com/office/drawing/2014/main" id="{FFB9A906-646C-125D-96C7-066AB02FA769}"/>
            </a:ext>
          </a:extLst>
        </xdr:cNvPr>
        <xdr:cNvPicPr>
          <a:picLocks noChangeAspect="1"/>
        </xdr:cNvPicPr>
      </xdr:nvPicPr>
      <xdr:blipFill>
        <a:blip xmlns:r="http://schemas.openxmlformats.org/officeDocument/2006/relationships" r:embed="rId1"/>
        <a:stretch>
          <a:fillRect/>
        </a:stretch>
      </xdr:blipFill>
      <xdr:spPr>
        <a:xfrm>
          <a:off x="38795325" y="291379275"/>
          <a:ext cx="2352675" cy="2714625"/>
        </a:xfrm>
        <a:prstGeom prst="rect">
          <a:avLst/>
        </a:prstGeom>
      </xdr:spPr>
    </xdr:pic>
    <xdr:clientData/>
  </xdr:twoCellAnchor>
  <xdr:twoCellAnchor editAs="oneCell">
    <xdr:from>
      <xdr:col>25</xdr:col>
      <xdr:colOff>1533525</xdr:colOff>
      <xdr:row>730</xdr:row>
      <xdr:rowOff>76200</xdr:rowOff>
    </xdr:from>
    <xdr:to>
      <xdr:col>26</xdr:col>
      <xdr:colOff>2047875</xdr:colOff>
      <xdr:row>730</xdr:row>
      <xdr:rowOff>447675</xdr:rowOff>
    </xdr:to>
    <xdr:pic>
      <xdr:nvPicPr>
        <xdr:cNvPr id="3" name="Picture 2">
          <a:extLst>
            <a:ext uri="{FF2B5EF4-FFF2-40B4-BE49-F238E27FC236}">
              <a16:creationId xmlns:a16="http://schemas.microsoft.com/office/drawing/2014/main" id="{56D97AE3-C269-4B2C-9C90-E5DD9F322E79}"/>
            </a:ext>
            <a:ext uri="{147F2762-F138-4A5C-976F-8EAC2B608ADB}">
              <a16:predDERef xmlns:a16="http://schemas.microsoft.com/office/drawing/2014/main" pred="{FE7BC6A0-1691-425A-8322-45923BFD2CF2}"/>
            </a:ext>
          </a:extLst>
        </xdr:cNvPr>
        <xdr:cNvPicPr>
          <a:picLocks noChangeAspect="1"/>
        </xdr:cNvPicPr>
      </xdr:nvPicPr>
      <xdr:blipFill>
        <a:blip xmlns:r="http://schemas.openxmlformats.org/officeDocument/2006/relationships" r:embed="rId2"/>
        <a:stretch>
          <a:fillRect/>
        </a:stretch>
      </xdr:blipFill>
      <xdr:spPr>
        <a:xfrm>
          <a:off x="38785800" y="207063975"/>
          <a:ext cx="2057400" cy="3714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1drv.ms/b/c/94bd56ed68f00427/IQA24qWVuBx-Tqq_uL3Nx573AXd8IHsZCKTnTZrrFVNOlUY?e=b3C9Ty" TargetMode="External"/><Relationship Id="rId21" Type="http://schemas.openxmlformats.org/officeDocument/2006/relationships/hyperlink" Target="https://1drv.ms/b/c/94bd56ed68f00427/IQAOIohwr2xrQqDmeDE6ZMrPAdHeF69eHKE7gd2J-fF2EqI?e=dMcKju" TargetMode="External"/><Relationship Id="rId170" Type="http://schemas.openxmlformats.org/officeDocument/2006/relationships/hyperlink" Target="https://1drv.ms/b/c/94bd56ed68f00427/IQDoxMuVbVMpQITNtyVtaXT_Af0Tz9npVi0fEJqOQiv8DgE?e=qdcg7H" TargetMode="External"/><Relationship Id="rId268" Type="http://schemas.openxmlformats.org/officeDocument/2006/relationships/hyperlink" Target="https://1drv.ms/b/c/94bd56ed68f00427/IQBQBOEJzCkYQ5K8dzv1HjjMAY8dbMOU1JbQCOPIT50DMF0?e=4P4bCy" TargetMode="External"/><Relationship Id="rId475" Type="http://schemas.openxmlformats.org/officeDocument/2006/relationships/hyperlink" Target="mailto:gloriousdexamandayaltd@gmail.com" TargetMode="External"/><Relationship Id="rId682" Type="http://schemas.openxmlformats.org/officeDocument/2006/relationships/hyperlink" Target="mailto:order@vastovers.com" TargetMode="External"/><Relationship Id="rId128" Type="http://schemas.openxmlformats.org/officeDocument/2006/relationships/hyperlink" Target="https://1drv.ms/b/c/94bd56ed68f00427/IQAxtB08Ep_jT6IatHclxQWcAdbvsjJrfhsJeQQgDgOS5ec?e=uenTJK" TargetMode="External"/><Relationship Id="rId335" Type="http://schemas.openxmlformats.org/officeDocument/2006/relationships/hyperlink" Target="https://1drv.ms/b/c/94bd56ed68f00427/IQBl5M2FfzKLSqIH_iBU2G2AAZ_0_xPlWk4c6UZud8NMpY8?e=qWj060" TargetMode="External"/><Relationship Id="rId542" Type="http://schemas.openxmlformats.org/officeDocument/2006/relationships/hyperlink" Target="mailto:osaretin.jaiyeola@fensyl.com" TargetMode="External"/><Relationship Id="rId987" Type="http://schemas.openxmlformats.org/officeDocument/2006/relationships/hyperlink" Target="mailto:osaretin.jaiyeola@fensyl.com" TargetMode="External"/><Relationship Id="rId1172" Type="http://schemas.openxmlformats.org/officeDocument/2006/relationships/hyperlink" Target="mailto:Rosanna.Iwuala@sunpharma.com" TargetMode="External"/><Relationship Id="rId402" Type="http://schemas.openxmlformats.org/officeDocument/2006/relationships/hyperlink" Target="https://1drv.ms/b/c/94bd56ed68f00427/IQBa4jjH09MLRYIi_-xqQmBHAYyzSXUe0MVKrqxhiuDd8NI?e=tdiAUA" TargetMode="External"/><Relationship Id="rId847" Type="http://schemas.openxmlformats.org/officeDocument/2006/relationships/hyperlink" Target="https://1drv.ms/b/c/94bd56ed68f00427/IQAmIkx1p1HISoCjl4gsmr9KAX2pt09RKWXnNXXZURF_CL0?e=ewRh4B" TargetMode="External"/><Relationship Id="rId1032" Type="http://schemas.openxmlformats.org/officeDocument/2006/relationships/hyperlink" Target="mailto:swipha@swiphanigeria.com" TargetMode="External"/><Relationship Id="rId1477" Type="http://schemas.openxmlformats.org/officeDocument/2006/relationships/hyperlink" Target="mailto:swipha@swiphanigeria.com" TargetMode="External"/><Relationship Id="rId707" Type="http://schemas.openxmlformats.org/officeDocument/2006/relationships/hyperlink" Target="mailto:destmawellness@gmail.com" TargetMode="External"/><Relationship Id="rId914" Type="http://schemas.openxmlformats.org/officeDocument/2006/relationships/hyperlink" Target="mailto:0lpharm@olpharm.com" TargetMode="External"/><Relationship Id="rId1337" Type="http://schemas.openxmlformats.org/officeDocument/2006/relationships/hyperlink" Target="mailto:info@elbepharma.com" TargetMode="External"/><Relationship Id="rId1544" Type="http://schemas.openxmlformats.org/officeDocument/2006/relationships/hyperlink" Target="https://1drv.ms/b/c/94bd56ed68f00427/IQD0tfbcPcLDTZ6TxJAgJxYlASReJ3YmkcJvLt8xpJMkjDU?e=nW891d" TargetMode="External"/><Relationship Id="rId43" Type="http://schemas.openxmlformats.org/officeDocument/2006/relationships/hyperlink" Target="https://1drv.ms/b/c/94bd56ed68f00427/IQA3h9YgUjduR7Rn2Ywe8CHrARhdNl5cc8lA-lT5jpZ-vco?e=Hx9e8u" TargetMode="External"/><Relationship Id="rId1404" Type="http://schemas.openxmlformats.org/officeDocument/2006/relationships/hyperlink" Target="mailto:osaretin.jaiyeola@fensyl.com" TargetMode="External"/><Relationship Id="rId1611" Type="http://schemas.openxmlformats.org/officeDocument/2006/relationships/drawing" Target="../drawings/drawing1.xml"/><Relationship Id="rId192" Type="http://schemas.openxmlformats.org/officeDocument/2006/relationships/hyperlink" Target="https://1drv.ms/b/c/94bd56ed68f00427/IQB-kJAvIOZMQqnqEll3rJ2NAWesQSab87D1Gz8RIBA4YYk?e=4PVTvO" TargetMode="External"/><Relationship Id="rId497" Type="http://schemas.openxmlformats.org/officeDocument/2006/relationships/hyperlink" Target="https://1drv.ms/b/c/94bd56ed68f00427/IQAI8VNjuHrXSYr6KUg2XvKxAbJewvtI2DUSTxhgb5WF0fQ?e=gPdD6T" TargetMode="External"/><Relationship Id="rId357" Type="http://schemas.openxmlformats.org/officeDocument/2006/relationships/hyperlink" Target="mailto:uzo.amatokwu@reckitt.com" TargetMode="External"/><Relationship Id="rId1194" Type="http://schemas.openxmlformats.org/officeDocument/2006/relationships/hyperlink" Target="mailto:pzindustries@pzcussons.com;udoka.adegor@pzcussons.com" TargetMode="External"/><Relationship Id="rId217" Type="http://schemas.openxmlformats.org/officeDocument/2006/relationships/hyperlink" Target="https://1drv.ms/b/c/94bd56ed68f00427/IQAtfA9E1ZSnR585MLd9NukyAQS803J0GkTSBxiHhu9dvh4?e=oWndml" TargetMode="External"/><Relationship Id="rId564" Type="http://schemas.openxmlformats.org/officeDocument/2006/relationships/hyperlink" Target="mailto:taiwo.oteju@beiersdorf.com" TargetMode="External"/><Relationship Id="rId771" Type="http://schemas.openxmlformats.org/officeDocument/2006/relationships/hyperlink" Target="https://1drv.ms/b/c/94bd56ed68f00427/IQB7lOMWkFc3S5G-mt98YaS2AZZ-pb1e7Gyeq5fDTJ_GXk0?e=AL3aAs" TargetMode="External"/><Relationship Id="rId869" Type="http://schemas.openxmlformats.org/officeDocument/2006/relationships/hyperlink" Target="mailto:osworthnigeria@yahoo.com" TargetMode="External"/><Relationship Id="rId1499" Type="http://schemas.openxmlformats.org/officeDocument/2006/relationships/hyperlink" Target="https://1drv.ms/b/c/94bd56ed68f00427/IQCGD2B2BZwES5e3Eby7XOmDAYqtZyicrCr6diGeYxG3eM4?e=VdsXT0" TargetMode="External"/><Relationship Id="rId424" Type="http://schemas.openxmlformats.org/officeDocument/2006/relationships/hyperlink" Target="https://1drv.ms/b/c/94bd56ed68f00427/IQBgtK6YmyrFSZ11DWYYcC9_ASAFXzxFWMFUw0h9Nza8b3o?e=ig6yd8" TargetMode="External"/><Relationship Id="rId631" Type="http://schemas.openxmlformats.org/officeDocument/2006/relationships/hyperlink" Target="https://1drv.ms/b/c/94bd56ed68f00427/IQC8ixmmLYuHR60Ymp2HCPPDAbpM4fh4qJM7NYWPyoJvw4M?e=5qhBJg" TargetMode="External"/><Relationship Id="rId729" Type="http://schemas.openxmlformats.org/officeDocument/2006/relationships/hyperlink" Target="mailto:swipha@swiphanigeria.com" TargetMode="External"/><Relationship Id="rId1054" Type="http://schemas.openxmlformats.org/officeDocument/2006/relationships/hyperlink" Target="https://1drv.ms/b/c/94bd56ed68f00427/IQBFudoV3nRIRplZ4qx_5KJqAYQoFKcOYxpXKDqAaGUeYcc?e=L0MVRW" TargetMode="External"/><Relationship Id="rId1261" Type="http://schemas.openxmlformats.org/officeDocument/2006/relationships/hyperlink" Target="mailto:chipharma@clicktgi.net" TargetMode="External"/><Relationship Id="rId1359" Type="http://schemas.openxmlformats.org/officeDocument/2006/relationships/hyperlink" Target="mailto:osaretin.jaiyeola@fensyl.com" TargetMode="External"/><Relationship Id="rId936" Type="http://schemas.openxmlformats.org/officeDocument/2006/relationships/hyperlink" Target="mailto:info@imperiocosmetics.com" TargetMode="External"/><Relationship Id="rId1121" Type="http://schemas.openxmlformats.org/officeDocument/2006/relationships/hyperlink" Target="https://1drv.ms/b/c/94bd56ed68f00427/IQCb_HC1EJ7NRYXpNFbRP98cAXEmOdoTScMTyr1XsPDc6GI?e=FQXUHf" TargetMode="External"/><Relationship Id="rId1219" Type="http://schemas.openxmlformats.org/officeDocument/2006/relationships/hyperlink" Target="mailto:phppharma@yahoo.com" TargetMode="External"/><Relationship Id="rId1566" Type="http://schemas.openxmlformats.org/officeDocument/2006/relationships/hyperlink" Target="https://1drv.ms/b/c/94bd56ed68f00427/IQBIZLYZiCu7QLxhikexGJPTAb1uI0GnfktGnPjfGwj0P_E?e=6JevwT" TargetMode="External"/><Relationship Id="rId65" Type="http://schemas.openxmlformats.org/officeDocument/2006/relationships/hyperlink" Target="https://1drv.ms/b/c/94bd56ed68f00427/IQB3ggu0WGpYRrT5xPMPqZi2Ac-jgq0KXWr1DbHx6YGQBf0?e=HpYpbL" TargetMode="External"/><Relationship Id="rId1426" Type="http://schemas.openxmlformats.org/officeDocument/2006/relationships/hyperlink" Target="mailto:julius.itsisor@beiersdorf.com" TargetMode="External"/><Relationship Id="rId281" Type="http://schemas.openxmlformats.org/officeDocument/2006/relationships/hyperlink" Target="https://1drv.ms/b/c/94bd56ed68f00427/IQCf-lwye3pMRYOUij8w7lRsAcyBn9bT8SyP-IuSV6GxCWA?e=gSTNNq" TargetMode="External"/><Relationship Id="rId141" Type="http://schemas.openxmlformats.org/officeDocument/2006/relationships/hyperlink" Target="https://1drv.ms/b/c/94bd56ed68f00427/IQARWeCkDoFQTbvKuOZwKCepAb94bin0R77qwduUoQ4C7vw?e=7llp2M" TargetMode="External"/><Relationship Id="rId379" Type="http://schemas.openxmlformats.org/officeDocument/2006/relationships/hyperlink" Target="mailto:info@drugfieldpharma.com;olakunleekundayo@msn.com" TargetMode="External"/><Relationship Id="rId586" Type="http://schemas.openxmlformats.org/officeDocument/2006/relationships/hyperlink" Target="mailto:info@greenlifepharmaceuticals.com.ng" TargetMode="External"/><Relationship Id="rId793" Type="http://schemas.openxmlformats.org/officeDocument/2006/relationships/hyperlink" Target="https://1drv.ms/b/c/94bd56ed68f00427/IQCjwsiq4Q5oRbq3QYcSaPDCAeWkeipw9QuizkkXC75hrDg?e=PNoWdJ" TargetMode="External"/><Relationship Id="rId7" Type="http://schemas.openxmlformats.org/officeDocument/2006/relationships/hyperlink" Target="https://1drv.ms/b/c/94bd56ed68f00427/IQBGMP854pPCT4vun2Qh5BbvAWgQ1yHXF-jp3B669nqaW4A?e=SzOHA2" TargetMode="External"/><Relationship Id="rId239" Type="http://schemas.openxmlformats.org/officeDocument/2006/relationships/hyperlink" Target="https://1drv.ms/b/c/94bd56ed68f00427/IQDBQlA6nSwLR655TVgRfA3zAZUt3HFjlU4-4h12UWEdVc0?e=2KovcA" TargetMode="External"/><Relationship Id="rId446" Type="http://schemas.openxmlformats.org/officeDocument/2006/relationships/hyperlink" Target="https://1drv.ms/b/c/94bd56ed68f00427/IQCoFZseXLx1Ta7TUI6BIvqxAcl1LqLWZFVodm9FubIx8I8?e=JdbXdl" TargetMode="External"/><Relationship Id="rId653" Type="http://schemas.openxmlformats.org/officeDocument/2006/relationships/hyperlink" Target="mailto:Rosanna.Iwuala@sunpharma.com" TargetMode="External"/><Relationship Id="rId1076" Type="http://schemas.openxmlformats.org/officeDocument/2006/relationships/hyperlink" Target="mailto:swipha@swiphanigeria.com" TargetMode="External"/><Relationship Id="rId1283" Type="http://schemas.openxmlformats.org/officeDocument/2006/relationships/hyperlink" Target="mailto:info@may-baker.com" TargetMode="External"/><Relationship Id="rId1490" Type="http://schemas.openxmlformats.org/officeDocument/2006/relationships/hyperlink" Target="https://1drv.ms/b/c/94bd56ed68f00427/IQCGD2B2BZwES5e3Eby7XOmDAYqtZyicrCr6diGeYxG3eM4?e=7rthih" TargetMode="External"/><Relationship Id="rId306" Type="http://schemas.openxmlformats.org/officeDocument/2006/relationships/hyperlink" Target="https://1drv.ms/b/c/94bd56ed68f00427/IQDN5qjgIEi2Sq09Gsu-KPSWAWiYXy1l4zfp2Amh3ms4IZ0?e=pGh2su" TargetMode="External"/><Relationship Id="rId860" Type="http://schemas.openxmlformats.org/officeDocument/2006/relationships/hyperlink" Target="mailto:osworthnigeria@yahoo.com" TargetMode="External"/><Relationship Id="rId958" Type="http://schemas.openxmlformats.org/officeDocument/2006/relationships/hyperlink" Target="mailto:janisnutrition@gmail.com" TargetMode="External"/><Relationship Id="rId1143" Type="http://schemas.openxmlformats.org/officeDocument/2006/relationships/hyperlink" Target="https://1drv.ms/b/c/94bd56ed68f00427/IQABJMlWMMcdRKQGaZUqY4wGAVhgrm2WZZEZuZxjllwNTfs?e=Zf2fhA" TargetMode="External"/><Relationship Id="rId1588" Type="http://schemas.openxmlformats.org/officeDocument/2006/relationships/hyperlink" Target="https://1drv.ms/i/c/94bd56ed68f00427/IQBkfdrTQgpkSJ3zRgf4ukZBAQ_w2BB7CoYDdzWKeevSJAk?e=5d37Wu" TargetMode="External"/><Relationship Id="rId87" Type="http://schemas.openxmlformats.org/officeDocument/2006/relationships/hyperlink" Target="https://1drv.ms/b/c/94bd56ed68f00427/IQBctybU9oZDRIkr4krldOPLAXHqpMNITSpJB5v9Rb9anHo?e=pTSmdM" TargetMode="External"/><Relationship Id="rId513" Type="http://schemas.openxmlformats.org/officeDocument/2006/relationships/hyperlink" Target="https://1drv.ms/b/c/94bd56ed68f00427/IQAxaBv5SV5OTql57vRYY2UmAeSK15biITgIQKDaxClxk6o?e=3hhugM" TargetMode="External"/><Relationship Id="rId720" Type="http://schemas.openxmlformats.org/officeDocument/2006/relationships/hyperlink" Target="mailto:rosanna.iwuala@sunpharma.com" TargetMode="External"/><Relationship Id="rId818" Type="http://schemas.openxmlformats.org/officeDocument/2006/relationships/hyperlink" Target="mailto:aspira.cosmetics@aspirang.com" TargetMode="External"/><Relationship Id="rId1350" Type="http://schemas.openxmlformats.org/officeDocument/2006/relationships/hyperlink" Target="mailto:info@ng.pvmgrp.com" TargetMode="External"/><Relationship Id="rId1448" Type="http://schemas.openxmlformats.org/officeDocument/2006/relationships/hyperlink" Target="mailto:osaretin.jaiyeola@fensyl.com" TargetMode="External"/><Relationship Id="rId1003" Type="http://schemas.openxmlformats.org/officeDocument/2006/relationships/hyperlink" Target="mailto:info@pharmadekoplc.com" TargetMode="External"/><Relationship Id="rId1210" Type="http://schemas.openxmlformats.org/officeDocument/2006/relationships/hyperlink" Target="https://1drv.ms/b/c/94bd56ed68f00427/IQB2SXowleZZSL3PS_HYjSq6Aa5xoyeAjPzwQZ4LTnziNG8?e=Uis0R2" TargetMode="External"/><Relationship Id="rId1308" Type="http://schemas.openxmlformats.org/officeDocument/2006/relationships/hyperlink" Target="mailto:info@elbepharma.com" TargetMode="External"/><Relationship Id="rId1515" Type="http://schemas.openxmlformats.org/officeDocument/2006/relationships/hyperlink" Target="https://1drv.ms/b/c/94bd56ed68f00427/IQCUBlcZwB6xTaJrGwuHiNHZAXWZRyNzLSJojzz7AC_U77s?e=fiAou7" TargetMode="External"/><Relationship Id="rId14" Type="http://schemas.openxmlformats.org/officeDocument/2006/relationships/hyperlink" Target="https://1drv.ms/b/c/94bd56ed68f00427/IQCVVCFsZXnmTIEzkL9r-xWIAW125K-sztfEwkmCcXD8AF8?e=HjNHVk" TargetMode="External"/><Relationship Id="rId163" Type="http://schemas.openxmlformats.org/officeDocument/2006/relationships/hyperlink" Target="https://1drv.ms/b/c/94bd56ed68f00427/IQCALp3j2dQtR7GyjaHXfGXTAZn8jNLX473qb7bDs8XVyY0?e=L9Hh9A" TargetMode="External"/><Relationship Id="rId370" Type="http://schemas.openxmlformats.org/officeDocument/2006/relationships/hyperlink" Target="mailto:info@drugfieldpharma.com;olakunleekundayo@msn.com" TargetMode="External"/><Relationship Id="rId230" Type="http://schemas.openxmlformats.org/officeDocument/2006/relationships/hyperlink" Target="https://1drv.ms/b/c/94bd56ed68f00427/IQBLfNK0sliHTIDd-ig-tKv2AV8Fqt-Cu94zoZsgw3a7coo?e=zbeqBy" TargetMode="External"/><Relationship Id="rId468" Type="http://schemas.openxmlformats.org/officeDocument/2006/relationships/hyperlink" Target="mailto:info@nobleafrica.com" TargetMode="External"/><Relationship Id="rId675" Type="http://schemas.openxmlformats.org/officeDocument/2006/relationships/hyperlink" Target="mailto:osaretin.jaiyeola@fensyl.com" TargetMode="External"/><Relationship Id="rId882" Type="http://schemas.openxmlformats.org/officeDocument/2006/relationships/hyperlink" Target="mailto:officialsoklinnigeria@gmail.com" TargetMode="External"/><Relationship Id="rId1098" Type="http://schemas.openxmlformats.org/officeDocument/2006/relationships/hyperlink" Target="mailto:mail@uniquepharm.comj" TargetMode="External"/><Relationship Id="rId328" Type="http://schemas.openxmlformats.org/officeDocument/2006/relationships/hyperlink" Target="https://1drv.ms/b/c/94bd56ed68f00427/IQC61x86A1DOQZ3zAX85RPwhATFj0ELOP8ibHMGFKQlw3fI?e=LEQKoc" TargetMode="External"/><Relationship Id="rId535" Type="http://schemas.openxmlformats.org/officeDocument/2006/relationships/hyperlink" Target="mailto:osaretin.jaiyeola@fensyl.com" TargetMode="External"/><Relationship Id="rId742" Type="http://schemas.openxmlformats.org/officeDocument/2006/relationships/hyperlink" Target="mailto:info@geneithpharm.com" TargetMode="External"/><Relationship Id="rId1165" Type="http://schemas.openxmlformats.org/officeDocument/2006/relationships/hyperlink" Target="mailto:PZindustries@pzcussons.com" TargetMode="External"/><Relationship Id="rId1372" Type="http://schemas.openxmlformats.org/officeDocument/2006/relationships/hyperlink" Target="mailto:adler_products@yahoo.com" TargetMode="External"/><Relationship Id="rId602" Type="http://schemas.openxmlformats.org/officeDocument/2006/relationships/hyperlink" Target="https://1drv.ms/b/c/94bd56ed68f00427/IQCi3iI_XGrUS6fMXErw4t6YASlqxbaDa4XQ3SIQqAfE1XE?e=jB33Qb" TargetMode="External"/><Relationship Id="rId1025" Type="http://schemas.openxmlformats.org/officeDocument/2006/relationships/hyperlink" Target="https://1drv.ms/b/c/94bd56ed68f00427/IQBFudoV3nRIRplZ4qx_5KJqAYQoFKcOYxpXKDqAaGUeYcc?e=L0MVRW" TargetMode="External"/><Relationship Id="rId1232" Type="http://schemas.openxmlformats.org/officeDocument/2006/relationships/hyperlink" Target="mailto:valuecarepro@yahoo.com" TargetMode="External"/><Relationship Id="rId907" Type="http://schemas.openxmlformats.org/officeDocument/2006/relationships/hyperlink" Target="mailto:info@elbepharm.com" TargetMode="External"/><Relationship Id="rId1537" Type="http://schemas.openxmlformats.org/officeDocument/2006/relationships/hyperlink" Target="https://1drv.ms/b/c/94bd56ed68f00427/IQDJ_0XqXyzwRqOkxOnl4MWVAYfQZUb9OBE-WlP_Yf9rooA?e=wXLWWk" TargetMode="External"/><Relationship Id="rId36" Type="http://schemas.openxmlformats.org/officeDocument/2006/relationships/hyperlink" Target="https://1drv.ms/b/c/94bd56ed68f00427/IQC-Hblb0VbIRYEqmJcz_hGPAV4JOFYJNt3WqQKqXnrmPyc?e=JbgVXR" TargetMode="External"/><Relationship Id="rId1604" Type="http://schemas.openxmlformats.org/officeDocument/2006/relationships/hyperlink" Target="https://1drv.ms/i/c/94bd56ed68f00427/IQBf3nth1Y_bQKyy4Gx2-czhARMMHkLl3nD5du8QNhDyHAo?e=UCkGAf" TargetMode="External"/><Relationship Id="rId185" Type="http://schemas.openxmlformats.org/officeDocument/2006/relationships/hyperlink" Target="https://1drv.ms/b/c/94bd56ed68f00427/IQCDoEkHqDkST51goZNFAGHdASDA8JVwDJAbo3hqmuA9ZLw?e=eTPhwG" TargetMode="External"/><Relationship Id="rId392" Type="http://schemas.openxmlformats.org/officeDocument/2006/relationships/hyperlink" Target="mailto:info@drugfieldpharma.com;olakunleekundayo@msn.com" TargetMode="External"/><Relationship Id="rId697" Type="http://schemas.openxmlformats.org/officeDocument/2006/relationships/hyperlink" Target="mailto:info@elbepharma.com" TargetMode="External"/><Relationship Id="rId252" Type="http://schemas.openxmlformats.org/officeDocument/2006/relationships/hyperlink" Target="https://1drv.ms/b/c/94bd56ed68f00427/IQDLFfz3x7X2QbhJFPWrJsLwAcSzwF6-LPfEjBghSJIEDqE?e=daIvAX" TargetMode="External"/><Relationship Id="rId1187" Type="http://schemas.openxmlformats.org/officeDocument/2006/relationships/hyperlink" Target="https://1drv.ms/b/c/94bd56ed68f00427/IQAR_RCIvY7DRaOHGM8NQ7bQASoYgryPOvi5Rj61ZYVpVKs?e=Fu0y06" TargetMode="External"/><Relationship Id="rId112" Type="http://schemas.openxmlformats.org/officeDocument/2006/relationships/hyperlink" Target="https://1drv.ms/b/c/94bd56ed68f00427/IQAWATI2BQrdSrAnYIIBjrHyAWbVWJnefcpDefv0kSamyZ0?e=gwC0ah" TargetMode="External"/><Relationship Id="rId557" Type="http://schemas.openxmlformats.org/officeDocument/2006/relationships/hyperlink" Target="mailto:KESSTER.CHIMYENUM@UNILEVER.COM" TargetMode="External"/><Relationship Id="rId764" Type="http://schemas.openxmlformats.org/officeDocument/2006/relationships/hyperlink" Target="https://1drv.ms/b/c/94bd56ed68f00427/IQAfWEpkQycESo9oVx3oO9NzAUxHUceV76YUNJIUxxg-4No?e=z6kmc0" TargetMode="External"/><Relationship Id="rId971" Type="http://schemas.openxmlformats.org/officeDocument/2006/relationships/hyperlink" Target="https://1drv.ms/b/c/94bd56ed68f00427/IQCBal-DFFEzTpasGFZNYJvyAd2J-SL8Op38KRntCeaypkI?e=fo9omi" TargetMode="External"/><Relationship Id="rId1394" Type="http://schemas.openxmlformats.org/officeDocument/2006/relationships/hyperlink" Target="mailto:osaretin.jaiyeola@fensyl.com" TargetMode="External"/><Relationship Id="rId417" Type="http://schemas.openxmlformats.org/officeDocument/2006/relationships/hyperlink" Target="mailto:info@drugfieldpharma.com;olakunleekundayo@msn.com" TargetMode="External"/><Relationship Id="rId624" Type="http://schemas.openxmlformats.org/officeDocument/2006/relationships/hyperlink" Target="https://1drv.ms/b/c/94bd56ed68f00427/IQCk7cZSbAPEQZ0QTI4scHxbAavndkRuPr4TQrnaFFlPLjE?e=Od9Rqu" TargetMode="External"/><Relationship Id="rId831" Type="http://schemas.openxmlformats.org/officeDocument/2006/relationships/hyperlink" Target="https://1drv.ms/b/c/94bd56ed68f00427/IQCVpF6p6yYcQptp2thQfZKsAe5RWh9CUUIwsvWcJrHMYLM?e=MgL9m8" TargetMode="External"/><Relationship Id="rId1047" Type="http://schemas.openxmlformats.org/officeDocument/2006/relationships/hyperlink" Target="mailto:swipha@swiphanigeria.com" TargetMode="External"/><Relationship Id="rId1254" Type="http://schemas.openxmlformats.org/officeDocument/2006/relationships/hyperlink" Target="mailto:phppharma@yahoo.com" TargetMode="External"/><Relationship Id="rId1461" Type="http://schemas.openxmlformats.org/officeDocument/2006/relationships/hyperlink" Target="mailto:oscarmacaulay@yahoo.com" TargetMode="External"/><Relationship Id="rId929" Type="http://schemas.openxmlformats.org/officeDocument/2006/relationships/hyperlink" Target="mailto:Nivea.Nigeria3@Beiersdorf.com" TargetMode="External"/><Relationship Id="rId1114" Type="http://schemas.openxmlformats.org/officeDocument/2006/relationships/hyperlink" Target="https://1drv.ms/b/c/94bd56ed68f00427/IQC6BKlq4-NuSqrMltX5bxORASiXEvktGZRCTWdvyMQUhE4?e=5rerSm" TargetMode="External"/><Relationship Id="rId1321" Type="http://schemas.openxmlformats.org/officeDocument/2006/relationships/hyperlink" Target="mailto:info@shalina.com" TargetMode="External"/><Relationship Id="rId1559" Type="http://schemas.openxmlformats.org/officeDocument/2006/relationships/hyperlink" Target="https://1drv.ms/b/c/94bd56ed68f00427/IQAxVIexdEL-TIJRWusnO88yAXBZrPc81MJUBcj4mDdySQQ?e=XQwz46" TargetMode="External"/><Relationship Id="rId58" Type="http://schemas.openxmlformats.org/officeDocument/2006/relationships/hyperlink" Target="https://1drv.ms/b/c/94bd56ed68f00427/IQDev0iGpOvTR5QThBeC531gAS0bt3DbLDN9sGATcOR3g10?e=pJibao" TargetMode="External"/><Relationship Id="rId1419" Type="http://schemas.openxmlformats.org/officeDocument/2006/relationships/hyperlink" Target="https://1drv.ms/b/c/94bd56ed68f00427/IQAZcT0W316jTrURmG3tLC3EAVSrCiKkiLDgvojFAbvTNQU?e=plslLD" TargetMode="External"/><Relationship Id="rId274" Type="http://schemas.openxmlformats.org/officeDocument/2006/relationships/hyperlink" Target="https://1drv.ms/b/c/94bd56ed68f00427/IQBQBOEJzCkYQ5K8dzv1HjjMAY8dbMOU1JbQCOPIT50DMF0?e=4P4bCy" TargetMode="External"/><Relationship Id="rId481" Type="http://schemas.openxmlformats.org/officeDocument/2006/relationships/hyperlink" Target="https://1drv.ms/b/c/94bd56ed68f00427/IQBqW6SvW9hAQokE59OcwTxoAdE-bwp-OaR1sOgznkGZK94?e=63uVLB" TargetMode="External"/><Relationship Id="rId134" Type="http://schemas.openxmlformats.org/officeDocument/2006/relationships/hyperlink" Target="https://1drv.ms/b/c/94bd56ed68f00427/IQBPomOq1yn5Sb5JMl0F9Yw1AXjtEhePITGiCyPtKLfKEmE?e=QoBK9u" TargetMode="External"/><Relationship Id="rId579" Type="http://schemas.openxmlformats.org/officeDocument/2006/relationships/hyperlink" Target="https://1drv.ms/b/c/94bd56ed68f00427/IQBpEvqhqsUIQKgGus5DQX7tAf7-R4yxNJpNcykistuvE6Y?e=kS5OBg" TargetMode="External"/><Relationship Id="rId786" Type="http://schemas.openxmlformats.org/officeDocument/2006/relationships/hyperlink" Target="https://1drv.ms/b/c/94bd56ed68f00427/IQDkzJ-4hI8XSaOquHIWvsk_Ab3Reo82C4H7BZ0x8ytmYBk?e=4Vrdu9" TargetMode="External"/><Relationship Id="rId993" Type="http://schemas.openxmlformats.org/officeDocument/2006/relationships/hyperlink" Target="https://1drv.ms/b/c/94bd56ed68f00427/IQCyAasa-fnsSa0kobre7emKAQlxlxn6MbjoGKL2El-tOwQ?e=VwjDyL" TargetMode="External"/><Relationship Id="rId341" Type="http://schemas.openxmlformats.org/officeDocument/2006/relationships/hyperlink" Target="https://1drv.ms/b/c/94bd56ed68f00427/IQBSs9fhOMpCR4e-cxylTk3VAbyq-zpDdl2Lv35ZOoLkFaw?e=h9kWqe" TargetMode="External"/><Relationship Id="rId439" Type="http://schemas.openxmlformats.org/officeDocument/2006/relationships/hyperlink" Target="https://1drv.ms/b/c/94bd56ed68f00427/IQCGCPYdyGoSTYAhZLMyFfseAdLdGmAYidqGEDi5Nk3Aux0?e=grAj9q" TargetMode="External"/><Relationship Id="rId646" Type="http://schemas.openxmlformats.org/officeDocument/2006/relationships/hyperlink" Target="https://1drv.ms/b/c/94bd56ed68f00427/IQCFtul2Noo_QpDr3CHNMPRvAaL-zHJ2io-0GVNNH2EQPg8?e=MZxN8d" TargetMode="External"/><Relationship Id="rId1069" Type="http://schemas.openxmlformats.org/officeDocument/2006/relationships/hyperlink" Target="https://1drv.ms/b/c/94bd56ed68f00427/IQBFudoV3nRIRplZ4qx_5KJqAYQoFKcOYxpXKDqAaGUeYcc?e=L0MVRW" TargetMode="External"/><Relationship Id="rId1276" Type="http://schemas.openxmlformats.org/officeDocument/2006/relationships/hyperlink" Target="mailto:topwideventureslimited@gmail.com" TargetMode="External"/><Relationship Id="rId1483" Type="http://schemas.openxmlformats.org/officeDocument/2006/relationships/hyperlink" Target="mailto:swipha@swiphanigeria.com" TargetMode="External"/><Relationship Id="rId201" Type="http://schemas.openxmlformats.org/officeDocument/2006/relationships/hyperlink" Target="https://1drv.ms/b/c/94bd56ed68f00427/IQALky2Cxmr8S6uPM1_iBctIAZDhLLGBA95YatfEZULTs6Q?e=mqHI8g" TargetMode="External"/><Relationship Id="rId506" Type="http://schemas.openxmlformats.org/officeDocument/2006/relationships/hyperlink" Target="mailto:kchconsumer@gmail.com" TargetMode="External"/><Relationship Id="rId853" Type="http://schemas.openxmlformats.org/officeDocument/2006/relationships/hyperlink" Target="mailto:osworthnigeria@yahoo.com" TargetMode="External"/><Relationship Id="rId1136" Type="http://schemas.openxmlformats.org/officeDocument/2006/relationships/hyperlink" Target="https://1drv.ms/b/c/94bd56ed68f00427/IQCt4N86U8muSpSKhzXCCGUUAQMeSNFOvLxxiMOkqjUnm-c?e=MO24NX" TargetMode="External"/><Relationship Id="rId713" Type="http://schemas.openxmlformats.org/officeDocument/2006/relationships/hyperlink" Target="mailto:sefihait.kone@bayer.com" TargetMode="External"/><Relationship Id="rId920" Type="http://schemas.openxmlformats.org/officeDocument/2006/relationships/hyperlink" Target="mailto:almondethicalsltd@gmail.com" TargetMode="External"/><Relationship Id="rId1343" Type="http://schemas.openxmlformats.org/officeDocument/2006/relationships/hyperlink" Target="mailto:info@ng.pvmgrp.com" TargetMode="External"/><Relationship Id="rId1550" Type="http://schemas.openxmlformats.org/officeDocument/2006/relationships/hyperlink" Target="https://1drv.ms/b/c/94bd56ed68f00427/IQD0tfbcPcLDTZ6TxJAgJxYlASReJ3YmkcJvLt8xpJMkjDU?e=nW891d" TargetMode="External"/><Relationship Id="rId1203" Type="http://schemas.openxmlformats.org/officeDocument/2006/relationships/hyperlink" Target="https://1drv.ms/b/c/94bd56ed68f00427/IQBLL3nlwhCDQrR_z0E4O1IuAR9jBSMFRnD2L1MpjgxlnBo?e=Ts1WvT" TargetMode="External"/><Relationship Id="rId1410" Type="http://schemas.openxmlformats.org/officeDocument/2006/relationships/hyperlink" Target="mailto:osaretin.jaiyeola@fensyl.com" TargetMode="External"/><Relationship Id="rId1508" Type="http://schemas.openxmlformats.org/officeDocument/2006/relationships/hyperlink" Target="https://1drv.ms/b/c/94bd56ed68f00427/IQCMSWyUn13NRaMIaAK_euaIAfNs4iDAhsf7XQ_iRg_R_yM?e=HcUC1x" TargetMode="External"/><Relationship Id="rId296" Type="http://schemas.openxmlformats.org/officeDocument/2006/relationships/hyperlink" Target="https://1drv.ms/b/c/94bd56ed68f00427/IQCn0ZvZWSmDQL-cpOlJip5cAc08Y_fD0N7cRXdiQJ8U_2A?e=XFhVxs" TargetMode="External"/><Relationship Id="rId156" Type="http://schemas.openxmlformats.org/officeDocument/2006/relationships/hyperlink" Target="https://1drv.ms/b/c/94bd56ed68f00427/IQDbTEISmiKzQ5DyZkBOZVMEAbvxX1nHqoPU_2DslfnMcB4?e=7IrGsA" TargetMode="External"/><Relationship Id="rId363" Type="http://schemas.openxmlformats.org/officeDocument/2006/relationships/hyperlink" Target="https://1drv.ms/b/c/94bd56ed68f00427/IQAIwkh4mh7mRplWUoL_b4M4ATQfi6lSzh0JdNv49Y24tXk?e=72395i" TargetMode="External"/><Relationship Id="rId570" Type="http://schemas.openxmlformats.org/officeDocument/2006/relationships/hyperlink" Target="mailto:Luis.munoz@beiersdorf.com" TargetMode="External"/><Relationship Id="rId223" Type="http://schemas.openxmlformats.org/officeDocument/2006/relationships/hyperlink" Target="https://1drv.ms/b/c/94bd56ed68f00427/IQDpDHzQ9CSERpRJZnf7c_6qAVqBoGXQaE7D5WL07Q8o37Q?e=6pad9H" TargetMode="External"/><Relationship Id="rId430" Type="http://schemas.openxmlformats.org/officeDocument/2006/relationships/hyperlink" Target="https://1drv.ms/b/c/94bd56ed68f00427/IQAqERrWBLLlRqVnIGiTWyJLATHno3dapyDNSrOATF6JxGA?e=SjKdTy" TargetMode="External"/><Relationship Id="rId668" Type="http://schemas.openxmlformats.org/officeDocument/2006/relationships/hyperlink" Target="mailto:Adenike.ibironke@worldwidehealthcare.com" TargetMode="External"/><Relationship Id="rId875" Type="http://schemas.openxmlformats.org/officeDocument/2006/relationships/hyperlink" Target="https://1drv.ms/b/c/94bd56ed68f00427/IQAFqxBBerrSTqgVEvaoAjmVAT50uNPSWRA3iwyZMajs2qQ?e=vLqyf8" TargetMode="External"/><Relationship Id="rId1060" Type="http://schemas.openxmlformats.org/officeDocument/2006/relationships/hyperlink" Target="https://1drv.ms/b/c/94bd56ed68f00427/IQBFudoV3nRIRplZ4qx_5KJqAYQoFKcOYxpXKDqAaGUeYcc?e=L0MVRW" TargetMode="External"/><Relationship Id="rId1298" Type="http://schemas.openxmlformats.org/officeDocument/2006/relationships/hyperlink" Target="mailto:gloriousdexamandayaltd@gmail.com" TargetMode="External"/><Relationship Id="rId528" Type="http://schemas.openxmlformats.org/officeDocument/2006/relationships/hyperlink" Target="mailto:info@drugfieldpharma.com" TargetMode="External"/><Relationship Id="rId735" Type="http://schemas.openxmlformats.org/officeDocument/2006/relationships/hyperlink" Target="mailto:info@fidson.com" TargetMode="External"/><Relationship Id="rId942" Type="http://schemas.openxmlformats.org/officeDocument/2006/relationships/hyperlink" Target="mailto:saroagrosciences@saroafrica.com" TargetMode="External"/><Relationship Id="rId1158" Type="http://schemas.openxmlformats.org/officeDocument/2006/relationships/hyperlink" Target="https://1drv.ms/b/c/94bd56ed68f00427/IQDgI6UQkIs-S5fWayVzgYKRAfG41hoEvFo3y9Wcuy9R6cQ?e=1CHQFo" TargetMode="External"/><Relationship Id="rId1365" Type="http://schemas.openxmlformats.org/officeDocument/2006/relationships/hyperlink" Target="https://1drv.ms/b/c/94bd56ed68f00427/IQDll_s0R7X5SZuR-5v-gSG-AYsdowMVwg72nItugn5B_qM?e=mVLnnk" TargetMode="External"/><Relationship Id="rId1572" Type="http://schemas.openxmlformats.org/officeDocument/2006/relationships/hyperlink" Target="https://1drv.ms/b/c/94bd56ed68f00427/IQCeCpVHGsPoSJ-SoOUIRoQxAUrnxBhx6l6_VzkQngs_cIs?e=vEdoI1" TargetMode="External"/><Relationship Id="rId1018" Type="http://schemas.openxmlformats.org/officeDocument/2006/relationships/hyperlink" Target="https://1drv.ms/b/c/94bd56ed68f00427/IQDHa0eTVJjyRZv7HM_xkF0BARDsyQAF_TKGSy4FtjBKzac?e=DJjlLX" TargetMode="External"/><Relationship Id="rId1225" Type="http://schemas.openxmlformats.org/officeDocument/2006/relationships/hyperlink" Target="mailto:info@drugfieldpharma.com;sales@drugfieldpharma.com" TargetMode="External"/><Relationship Id="rId1432" Type="http://schemas.openxmlformats.org/officeDocument/2006/relationships/hyperlink" Target="mailto:bolanle.aladegbola@rb.com;uzo.amatokwu@reckitt.com" TargetMode="External"/><Relationship Id="rId71" Type="http://schemas.openxmlformats.org/officeDocument/2006/relationships/hyperlink" Target="https://1drv.ms/b/c/94bd56ed68f00427/IQBsZ1vZ8lPeTZD7ZpjigCcbAeVQl0oda5DpvE7MIl64hd4?e=EevkYK" TargetMode="External"/><Relationship Id="rId802" Type="http://schemas.openxmlformats.org/officeDocument/2006/relationships/hyperlink" Target="https://1drv.ms/b/c/94bd56ed68f00427/IQAtfPXWaEL7S78aWIOoNw3OATFAVb3JtHgYmhqbfNjLo-s?e=S1hPJk" TargetMode="External"/><Relationship Id="rId29" Type="http://schemas.openxmlformats.org/officeDocument/2006/relationships/hyperlink" Target="https://1drv.ms/b/c/94bd56ed68f00427/IQBeEpz1FCp_TaOp2btPur1_Adj7Yi5UGp4e6vn9apGwZwE?e=0SXgpq" TargetMode="External"/><Relationship Id="rId178" Type="http://schemas.openxmlformats.org/officeDocument/2006/relationships/hyperlink" Target="https://1drv.ms/b/c/94bd56ed68f00427/IQATXLOeXyiUSIYp1F3IupNlATXU6Szm-1Dks_dn5fg103M?e=88psMt" TargetMode="External"/><Relationship Id="rId385" Type="http://schemas.openxmlformats.org/officeDocument/2006/relationships/hyperlink" Target="mailto:info@drugfieldpharma.com;olakunleekundayo@msn.com" TargetMode="External"/><Relationship Id="rId592" Type="http://schemas.openxmlformats.org/officeDocument/2006/relationships/hyperlink" Target="mailto:customerservice@emzorpharma.com" TargetMode="External"/><Relationship Id="rId245" Type="http://schemas.openxmlformats.org/officeDocument/2006/relationships/hyperlink" Target="https://1drv.ms/b/c/94bd56ed68f00427/IQDBQlA6nSwLR655TVgRfA3zAZUt3HFjlU4-4h12UWEdVc0?e=2KovcA" TargetMode="External"/><Relationship Id="rId452" Type="http://schemas.openxmlformats.org/officeDocument/2006/relationships/hyperlink" Target="mailto:info@phillipsnigeria.com" TargetMode="External"/><Relationship Id="rId897" Type="http://schemas.openxmlformats.org/officeDocument/2006/relationships/hyperlink" Target="mailto:pzindustries@pzcussons.com" TargetMode="External"/><Relationship Id="rId1082" Type="http://schemas.openxmlformats.org/officeDocument/2006/relationships/hyperlink" Target="https://1drv.ms/b/c/94bd56ed68f00427/IQBQoaQ240UiT4uODHPCcc2JAXCzstb9WWJF2V9XvLMXIok?e=bYf7sv" TargetMode="External"/><Relationship Id="rId105" Type="http://schemas.openxmlformats.org/officeDocument/2006/relationships/hyperlink" Target="https://1drv.ms/b/c/94bd56ed68f00427/IQBgc4YGcLPyTK0hy54Kw7aBAciNo8F8Fu99rYyZgd7vtug?e=GvO1PA" TargetMode="External"/><Relationship Id="rId312" Type="http://schemas.openxmlformats.org/officeDocument/2006/relationships/hyperlink" Target="https://1drv.ms/b/c/94bd56ed68f00427/IQADeC1kG83CSo5kHLAP71QkAXDhumO5-rLsaywdlBqbTGY?e=OLz8qG" TargetMode="External"/><Relationship Id="rId757" Type="http://schemas.openxmlformats.org/officeDocument/2006/relationships/hyperlink" Target="mailto:kesster.chimyenum@unilever.com" TargetMode="External"/><Relationship Id="rId964" Type="http://schemas.openxmlformats.org/officeDocument/2006/relationships/hyperlink" Target="https://1drv.ms/b/c/94bd56ed68f00427/IQCXJu4gDDRoTZfuK9dqm60iAQsuh9IdVX3_F8Kj5D840sE?e=yqclLq" TargetMode="External"/><Relationship Id="rId1387" Type="http://schemas.openxmlformats.org/officeDocument/2006/relationships/hyperlink" Target="mailto:osaretin.jaiyeola@fensyl.com" TargetMode="External"/><Relationship Id="rId1594" Type="http://schemas.openxmlformats.org/officeDocument/2006/relationships/hyperlink" Target="mailto:oktafiana.prihantari@kalbe.co.id" TargetMode="External"/><Relationship Id="rId93" Type="http://schemas.openxmlformats.org/officeDocument/2006/relationships/hyperlink" Target="https://1drv.ms/b/c/94bd56ed68f00427/IQDbTEISmiKzQ5DyZkBOZVMEAbvxX1nHqoPU_2DslfnMcB4?e=KbSGoc" TargetMode="External"/><Relationship Id="rId617" Type="http://schemas.openxmlformats.org/officeDocument/2006/relationships/hyperlink" Target="https://1drv.ms/b/c/94bd56ed68f00427/IQBVjDNNI8ZWT5tqWhwCw5WLAczqvgpdp87RKzAE219SvDA?e=6T76U4" TargetMode="External"/><Relationship Id="rId824" Type="http://schemas.openxmlformats.org/officeDocument/2006/relationships/hyperlink" Target="mailto:therapeuticlaboratories@gmail.com" TargetMode="External"/><Relationship Id="rId1247" Type="http://schemas.openxmlformats.org/officeDocument/2006/relationships/hyperlink" Target="https://1drv.ms/b/c/94bd56ed68f00427/IQASIBW4z9a-TYtxik3Zxxa3AYMY_dc47RRmvdwAOYexSzQ?e=obGi5C" TargetMode="External"/><Relationship Id="rId1454" Type="http://schemas.openxmlformats.org/officeDocument/2006/relationships/hyperlink" Target="https://1drv.ms/b/c/94bd56ed68f00427/IQCcPoklni9uS6qLxd8eJbgdAYPrxEUXOG7oePT6Dtoh394?e=J5ZjMi" TargetMode="External"/><Relationship Id="rId1107" Type="http://schemas.openxmlformats.org/officeDocument/2006/relationships/hyperlink" Target="mailto:victoria.ezeala@viatris.com;abisola.ayodele@pfizer.com" TargetMode="External"/><Relationship Id="rId1314" Type="http://schemas.openxmlformats.org/officeDocument/2006/relationships/hyperlink" Target="mailto:dare.ojo@esrnl.com" TargetMode="External"/><Relationship Id="rId1521" Type="http://schemas.openxmlformats.org/officeDocument/2006/relationships/hyperlink" Target="https://1drv.ms/b/c/94bd56ed68f00427/IQA24qWVuBx-Tqq_uL3Nx573AXd8IHsZCKTnTZrrFVNOlUY?e=b3C9Ty" TargetMode="External"/><Relationship Id="rId20" Type="http://schemas.openxmlformats.org/officeDocument/2006/relationships/hyperlink" Target="https://1drv.ms/b/c/94bd56ed68f00427/IQDtCYkBqhSRSLeN2sK4GLwGAcBdVOYLQNEM9kUhI9SvHHw?e=93AObI" TargetMode="External"/><Relationship Id="rId267" Type="http://schemas.openxmlformats.org/officeDocument/2006/relationships/hyperlink" Target="https://1drv.ms/b/c/94bd56ed68f00427/IQBQBOEJzCkYQ5K8dzv1HjjMAY8dbMOU1JbQCOPIT50DMF0?e=4P4bCy" TargetMode="External"/><Relationship Id="rId474" Type="http://schemas.openxmlformats.org/officeDocument/2006/relationships/hyperlink" Target="mailto:cosmeticsgiv17@yahoo.com" TargetMode="External"/><Relationship Id="rId127" Type="http://schemas.openxmlformats.org/officeDocument/2006/relationships/hyperlink" Target="https://1drv.ms/b/c/94bd56ed68f00427/IQCOR45G72zJQ4YNGd6px31qAYddm9mQPEPqku2NrLcT7lM?e=zohgQ0" TargetMode="External"/><Relationship Id="rId681" Type="http://schemas.openxmlformats.org/officeDocument/2006/relationships/hyperlink" Target="mailto:swipha@swiphanigeria.com" TargetMode="External"/><Relationship Id="rId779" Type="http://schemas.openxmlformats.org/officeDocument/2006/relationships/hyperlink" Target="https://1drv.ms/b/c/94bd56ed68f00427/IQBOIr7vhKLbQ77yj-L8YAYIAR8kHO0dsyIfRzIUidZTxUA?e=OYfYBo" TargetMode="External"/><Relationship Id="rId986" Type="http://schemas.openxmlformats.org/officeDocument/2006/relationships/hyperlink" Target="https://1drv.ms/b/c/94bd56ed68f00427/IQBzAJ1yd6o8QaVqQbPY7J-xASIMm2hN6wssmIi9pQzZNq0?e=EkAsc6" TargetMode="External"/><Relationship Id="rId334" Type="http://schemas.openxmlformats.org/officeDocument/2006/relationships/hyperlink" Target="https://1drv.ms/b/c/94bd56ed68f00427/IQACASTWEupWT7fzPBSvYzZoAavjDP3y4opSCGdv-hWyO8Q?e=fsJuK2" TargetMode="External"/><Relationship Id="rId541" Type="http://schemas.openxmlformats.org/officeDocument/2006/relationships/hyperlink" Target="mailto:skyvillemulticare@yahoo.com" TargetMode="External"/><Relationship Id="rId639" Type="http://schemas.openxmlformats.org/officeDocument/2006/relationships/hyperlink" Target="https://1drv.ms/b/c/94bd56ed68f00427/IQC5to7BlqJER4844j8ouyNVAWfGQQs6pDmYYb-vPFtr_VE?e=g3QKbI" TargetMode="External"/><Relationship Id="rId1171" Type="http://schemas.openxmlformats.org/officeDocument/2006/relationships/hyperlink" Target="mailto:Rosanna.Iwuala@sunpharma.com" TargetMode="External"/><Relationship Id="rId1269" Type="http://schemas.openxmlformats.org/officeDocument/2006/relationships/hyperlink" Target="https://1drv.ms/b/c/94bd56ed68f00427/IQCjsmiqNvhFRa5YWRecqOvGAUD3u-0oACIMUjpsxLba-lQ?e=6h2ovb" TargetMode="External"/><Relationship Id="rId1476" Type="http://schemas.openxmlformats.org/officeDocument/2006/relationships/hyperlink" Target="mailto:swipha@swiphanigeria.com" TargetMode="External"/><Relationship Id="rId401" Type="http://schemas.openxmlformats.org/officeDocument/2006/relationships/hyperlink" Target="mailto:info@oculuspharma-ng.com" TargetMode="External"/><Relationship Id="rId846" Type="http://schemas.openxmlformats.org/officeDocument/2006/relationships/hyperlink" Target="https://1drv.ms/b/c/94bd56ed68f00427/IQBXwy7Tk51iTIugk9ewDg7IAXcG_XUHQiEVkc0HbK5us3o?e=Bc9ez6" TargetMode="External"/><Relationship Id="rId1031" Type="http://schemas.openxmlformats.org/officeDocument/2006/relationships/hyperlink" Target="https://1drv.ms/b/c/94bd56ed68f00427/IQBFudoV3nRIRplZ4qx_5KJqAYQoFKcOYxpXKDqAaGUeYcc?e=L0MVRW" TargetMode="External"/><Relationship Id="rId1129" Type="http://schemas.openxmlformats.org/officeDocument/2006/relationships/hyperlink" Target="https://1drv.ms/b/c/94bd56ed68f00427/IQD10dTKMrdTTIPDsweH9dApAQuGJEz0aAcLcmfHUXrmxy0?e=s1kD2y" TargetMode="External"/><Relationship Id="rId706" Type="http://schemas.openxmlformats.org/officeDocument/2006/relationships/hyperlink" Target="mailto:c.unanka@drugstoc.com" TargetMode="External"/><Relationship Id="rId913" Type="http://schemas.openxmlformats.org/officeDocument/2006/relationships/hyperlink" Target="mailto:0lpharm@olpharm.com" TargetMode="External"/><Relationship Id="rId1336" Type="http://schemas.openxmlformats.org/officeDocument/2006/relationships/hyperlink" Target="https://1drv.ms/b/c/94bd56ed68f00427/IQD8I91-XGTmSLYilal9XcHEAd63LVrhAPjpJdxYAHf6K5Q?e=4MrF5P" TargetMode="External"/><Relationship Id="rId1543" Type="http://schemas.openxmlformats.org/officeDocument/2006/relationships/hyperlink" Target="https://1drv.ms/b/c/94bd56ed68f00427/IQD0tfbcPcLDTZ6TxJAgJxYlASReJ3YmkcJvLt8xpJMkjDU?e=nW891d" TargetMode="External"/><Relationship Id="rId42" Type="http://schemas.openxmlformats.org/officeDocument/2006/relationships/hyperlink" Target="https://1drv.ms/b/c/94bd56ed68f00427/IQAxyEkKzwZISKeT4XlOzg8JAQSJNP-hR7JF3WKuTNEoadI?e=k1jdG1" TargetMode="External"/><Relationship Id="rId1403" Type="http://schemas.openxmlformats.org/officeDocument/2006/relationships/hyperlink" Target="mailto:osaretin.jaiyeola@fensyl.com" TargetMode="External"/><Relationship Id="rId1610" Type="http://schemas.openxmlformats.org/officeDocument/2006/relationships/printerSettings" Target="../printerSettings/printerSettings1.bin"/><Relationship Id="rId191" Type="http://schemas.openxmlformats.org/officeDocument/2006/relationships/hyperlink" Target="https://1drv.ms/b/c/94bd56ed68f00427/IQB4c5t-dHC7S5aRBtERg6d7AZwkBrHh-Cd2MXldVrNVT3A?e=8Brb1R" TargetMode="External"/><Relationship Id="rId289" Type="http://schemas.openxmlformats.org/officeDocument/2006/relationships/hyperlink" Target="https://1drv.ms/b/c/94bd56ed68f00427/IQCiCt0fv_9ATpJUURnrrNgCAbvXgxpySN2EwtTaGyHz088?e=OHlVX6" TargetMode="External"/><Relationship Id="rId496" Type="http://schemas.openxmlformats.org/officeDocument/2006/relationships/hyperlink" Target="https://1drv.ms/b/c/94bd56ed68f00427/IQCTZ_MDNEcLRrkTYFtji2hHAQYN5xfQFhYHxWIMWlhDpwk?e=m7Fbvt" TargetMode="External"/><Relationship Id="rId149" Type="http://schemas.openxmlformats.org/officeDocument/2006/relationships/hyperlink" Target="https://1drv.ms/b/c/94bd56ed68f00427/IQBPQ0vLW06OTZ6qeeLNy5yxAQR8-_pcn450t69vhhz02TA?e=yo6Pgc" TargetMode="External"/><Relationship Id="rId356" Type="http://schemas.openxmlformats.org/officeDocument/2006/relationships/hyperlink" Target="mailto:osaretin.jaiyeola@fensyl.com" TargetMode="External"/><Relationship Id="rId563" Type="http://schemas.openxmlformats.org/officeDocument/2006/relationships/hyperlink" Target="mailto:taiwo.oteju@beiersdorf.com" TargetMode="External"/><Relationship Id="rId770" Type="http://schemas.openxmlformats.org/officeDocument/2006/relationships/hyperlink" Target="https://1drv.ms/b/c/94bd56ed68f00427/IQB7lOMWkFc3S5G-mt98YaS2AZZ-pb1e7Gyeq5fDTJ_GXk0?e=AL3aAs" TargetMode="External"/><Relationship Id="rId1193" Type="http://schemas.openxmlformats.org/officeDocument/2006/relationships/hyperlink" Target="mailto:PZindustries@pzcussons.com" TargetMode="External"/><Relationship Id="rId216" Type="http://schemas.openxmlformats.org/officeDocument/2006/relationships/hyperlink" Target="https://1drv.ms/b/c/94bd56ed68f00427/IQDc1-E6aNrUQKMCX0oSaJFLATVRfAL1mla7KSINc_uaYZY?e=uL244p" TargetMode="External"/><Relationship Id="rId423" Type="http://schemas.openxmlformats.org/officeDocument/2006/relationships/hyperlink" Target="https://1drv.ms/b/c/94bd56ed68f00427/IQBgtK6YmyrFSZ11DWYYcC9_ASAFXzxFWMFUw0h9Nza8b3o?e=ig6yd8" TargetMode="External"/><Relationship Id="rId868" Type="http://schemas.openxmlformats.org/officeDocument/2006/relationships/hyperlink" Target="mailto:osworthnigeria@yahoo.com" TargetMode="External"/><Relationship Id="rId1053" Type="http://schemas.openxmlformats.org/officeDocument/2006/relationships/hyperlink" Target="mailto:swipha@swiphanigeria.com" TargetMode="External"/><Relationship Id="rId1260" Type="http://schemas.openxmlformats.org/officeDocument/2006/relationships/hyperlink" Target="mailto:chipharma@clicktgi.net" TargetMode="External"/><Relationship Id="rId1498" Type="http://schemas.openxmlformats.org/officeDocument/2006/relationships/hyperlink" Target="https://1drv.ms/b/c/94bd56ed68f00427/IQCGD2B2BZwES5e3Eby7XOmDAYqtZyicrCr6diGeYxG3eM4?e=VdsXT0" TargetMode="External"/><Relationship Id="rId630" Type="http://schemas.openxmlformats.org/officeDocument/2006/relationships/hyperlink" Target="mailto:info@osworthnigeria.com" TargetMode="External"/><Relationship Id="rId728" Type="http://schemas.openxmlformats.org/officeDocument/2006/relationships/hyperlink" Target="mailto:swipha@swiphanigeria.com" TargetMode="External"/><Relationship Id="rId935" Type="http://schemas.openxmlformats.org/officeDocument/2006/relationships/hyperlink" Target="mailto:info@imperiocosmetics.com" TargetMode="External"/><Relationship Id="rId1358" Type="http://schemas.openxmlformats.org/officeDocument/2006/relationships/hyperlink" Target="mailto:osaretin.jaiyeola@fensyl.com" TargetMode="External"/><Relationship Id="rId1565" Type="http://schemas.openxmlformats.org/officeDocument/2006/relationships/hyperlink" Target="https://1drv.ms/b/c/94bd56ed68f00427/IQBIZLYZiCu7QLxhikexGJPTAb1uI0GnfktGnPjfGwj0P_E?e=6JevwThttps://1drv.ms/b/c/94bd56ed68f00427/IQBIZLYZiCu7QLxhikexGJPTAb1uI0GnfktGnPjfGwj0P_E?e=6JevwT" TargetMode="External"/><Relationship Id="rId64" Type="http://schemas.openxmlformats.org/officeDocument/2006/relationships/hyperlink" Target="https://1drv.ms/b/c/94bd56ed68f00427/IQB3ggu0WGpYRrT5xPMPqZi2Ac-jgq0KXWr1DbHx6YGQBf0?e=HpYpbL" TargetMode="External"/><Relationship Id="rId1120" Type="http://schemas.openxmlformats.org/officeDocument/2006/relationships/hyperlink" Target="https://1drv.ms/b/c/94bd56ed68f00427/IQAiVkAYf42zRIe28gE2YtlRAW-D8CT7jYZ6RjoJq9zkME4?e=VMECeg" TargetMode="External"/><Relationship Id="rId1218" Type="http://schemas.openxmlformats.org/officeDocument/2006/relationships/hyperlink" Target="https://1drv.ms/b/c/94bd56ed68f00427/IQD9g0hD2jt4QJBogjmggCtcASchJGeLrdkrqanwYQW8DKw?e=wzoQW9" TargetMode="External"/><Relationship Id="rId1425" Type="http://schemas.openxmlformats.org/officeDocument/2006/relationships/hyperlink" Target="https://1drv.ms/b/c/94bd56ed68f00427/IQBvuGVZ3lUdQ7Pkz72imDMwAdBM5nSzQQr1Gl39MTT0WiU?e=Cf1w7m" TargetMode="External"/><Relationship Id="rId280" Type="http://schemas.openxmlformats.org/officeDocument/2006/relationships/hyperlink" Target="https://1drv.ms/b/c/94bd56ed68f00427/IQDNEkJOiVk9SZcygcZp2zQVAe-u4EfaXHsxQ5omRptS9SQ?e=qedxWv" TargetMode="External"/><Relationship Id="rId140" Type="http://schemas.openxmlformats.org/officeDocument/2006/relationships/hyperlink" Target="https://1drv.ms/b/c/94bd56ed68f00427/IQCEPMumDDt5SppS-WN8JJQ4AQMY2V7nFhBESduY22S7Yvs?e=xNQjcf" TargetMode="External"/><Relationship Id="rId378" Type="http://schemas.openxmlformats.org/officeDocument/2006/relationships/hyperlink" Target="mailto:info@drugfieldpharma.com;olakunleekundayo@msn.com" TargetMode="External"/><Relationship Id="rId585" Type="http://schemas.openxmlformats.org/officeDocument/2006/relationships/hyperlink" Target="https://1drv.ms/b/c/94bd56ed68f00427/IQDHdaIDilGrSKxBU96ACnnyAR03l4cs_0hj2WcRaEAnEv4?e=rrk21s" TargetMode="External"/><Relationship Id="rId792" Type="http://schemas.openxmlformats.org/officeDocument/2006/relationships/hyperlink" Target="https://1drv.ms/b/c/94bd56ed68f00427/IQCjwsiq4Q5oRbq3QYcSaPDCAeWkeipw9QuizkkXC75hrDg?e=PNoWdJ" TargetMode="External"/><Relationship Id="rId6" Type="http://schemas.openxmlformats.org/officeDocument/2006/relationships/hyperlink" Target="https://1drv.ms/b/c/94bd56ed68f00427/IQCQLY4fRJedS7FUF7Q-GXMtAW7fm-7XWrpLaB2JnAcNdro?e=R2kLGb" TargetMode="External"/><Relationship Id="rId238" Type="http://schemas.openxmlformats.org/officeDocument/2006/relationships/hyperlink" Target="https://1drv.ms/b/c/94bd56ed68f00427/IQDBQlA6nSwLR655TVgRfA3zAZUt3HFjlU4-4h12UWEdVc0?e=2KovcA" TargetMode="External"/><Relationship Id="rId445" Type="http://schemas.openxmlformats.org/officeDocument/2006/relationships/hyperlink" Target="mailto:info@tifiluxe.com" TargetMode="External"/><Relationship Id="rId652" Type="http://schemas.openxmlformats.org/officeDocument/2006/relationships/hyperlink" Target="mailto:Rosanna.Iwuala@sunpharma.com" TargetMode="External"/><Relationship Id="rId1075" Type="http://schemas.openxmlformats.org/officeDocument/2006/relationships/hyperlink" Target="mailto:swipha@swiphanigeria.com" TargetMode="External"/><Relationship Id="rId1282" Type="http://schemas.openxmlformats.org/officeDocument/2006/relationships/hyperlink" Target="https://1drv.ms/b/c/94bd56ed68f00427/IQC14n8HdGwLTIjevT_R-g9ZARqY6ViF0i4e1dDAlT-UyYc?e=nyOWfF" TargetMode="External"/><Relationship Id="rId305" Type="http://schemas.openxmlformats.org/officeDocument/2006/relationships/hyperlink" Target="https://1drv.ms/b/c/94bd56ed68f00427/IQDN5qjgIEi2Sq09Gsu-KPSWAWiYXy1l4zfp2Amh3ms4IZ0?e=pGh2su" TargetMode="External"/><Relationship Id="rId512" Type="http://schemas.openxmlformats.org/officeDocument/2006/relationships/hyperlink" Target="https://1drv.ms/b/c/94bd56ed68f00427/IQBzAJ1yd6o8QaVqQbPY7J-xASIMm2hN6wssmIi9pQzZNq0?e=EkAsc6" TargetMode="External"/><Relationship Id="rId957" Type="http://schemas.openxmlformats.org/officeDocument/2006/relationships/hyperlink" Target="mailto:janisnutrition@gmail.com" TargetMode="External"/><Relationship Id="rId1142" Type="http://schemas.openxmlformats.org/officeDocument/2006/relationships/hyperlink" Target="https://1drv.ms/b/c/94bd56ed68f00427/IQB9QxzuBhdVQYauyUHUjfCUAQCNZB6j2fke05zEuTa3o3U?e=uzfMai" TargetMode="External"/><Relationship Id="rId1587" Type="http://schemas.openxmlformats.org/officeDocument/2006/relationships/hyperlink" Target="https://1drv.ms/i/c/94bd56ed68f00427/IQAk9hhQhw5eQoNQqXyL3n_SAVheyjM6k5J-so-K1bx7oCE?e=8JYnJu" TargetMode="External"/><Relationship Id="rId86" Type="http://schemas.openxmlformats.org/officeDocument/2006/relationships/hyperlink" Target="https://1drv.ms/b/c/94bd56ed68f00427/IQCcBFazn6VTQZtp9_KnHSrMAb8ZttjefZhu8jRU6gkSxx4?e=VIMKsc" TargetMode="External"/><Relationship Id="rId817" Type="http://schemas.openxmlformats.org/officeDocument/2006/relationships/hyperlink" Target="https://1drv.ms/b/c/94bd56ed68f00427/IQAr3hsM9LE2T7sxZPXiPToUAVVMWFc_XnkHh3eHA97fR7M?e=WhiLkR" TargetMode="External"/><Relationship Id="rId1002" Type="http://schemas.openxmlformats.org/officeDocument/2006/relationships/hyperlink" Target="mailto:info@pharmadekoplc.com" TargetMode="External"/><Relationship Id="rId1447" Type="http://schemas.openxmlformats.org/officeDocument/2006/relationships/hyperlink" Target="https://1drv.ms/b/c/94bd56ed68f00427/IQDkdmTbcOD2Rqtyea-jsDUCAVhTKVj7JZqxaA2v470amoE?e=gbK6Ih" TargetMode="External"/><Relationship Id="rId1307" Type="http://schemas.openxmlformats.org/officeDocument/2006/relationships/hyperlink" Target="mailto:info@elbepharma.com" TargetMode="External"/><Relationship Id="rId1514" Type="http://schemas.openxmlformats.org/officeDocument/2006/relationships/hyperlink" Target="https://1drv.ms/b/c/94bd56ed68f00427/IQCUBlcZwB6xTaJrGwuHiNHZAXWZRyNzLSJojzz7AC_U77s?e=fiAou7" TargetMode="External"/><Relationship Id="rId13" Type="http://schemas.openxmlformats.org/officeDocument/2006/relationships/hyperlink" Target="https://nafdacng-my.sharepoint.com/:b:/g/personal/adekunle_adeniran_nafdac_gov_ng/IQBwFxHVzP_yRLqWDp8_aLcyAX3eal-y80hDsIg2Sx1EcUI?e=PhTOiN" TargetMode="External"/><Relationship Id="rId162" Type="http://schemas.openxmlformats.org/officeDocument/2006/relationships/hyperlink" Target="https://1drv.ms/b/c/94bd56ed68f00427/IQAZMpLmC1JnSJYgwJmSxME9AWmNOGa4O4dvZLO6ITCCKBI?e=JbW2AT" TargetMode="External"/><Relationship Id="rId467" Type="http://schemas.openxmlformats.org/officeDocument/2006/relationships/hyperlink" Target="mailto:info@nobleafrica.com" TargetMode="External"/><Relationship Id="rId1097" Type="http://schemas.openxmlformats.org/officeDocument/2006/relationships/hyperlink" Target="https://1drv.ms/b/c/94bd56ed68f00427/IQAnIsy7syCwR77DYzpN2jAuAbYjvis_Lc4zn2iT06EbTRI?e=YsRZMm" TargetMode="External"/><Relationship Id="rId674" Type="http://schemas.openxmlformats.org/officeDocument/2006/relationships/hyperlink" Target="mailto:osaretin.jaiyeola@fensyl.com" TargetMode="External"/><Relationship Id="rId881" Type="http://schemas.openxmlformats.org/officeDocument/2006/relationships/hyperlink" Target="mailto:officialsoklinnigeria@gmail.com" TargetMode="External"/><Relationship Id="rId979" Type="http://schemas.openxmlformats.org/officeDocument/2006/relationships/hyperlink" Target="mailto:info@pharmadekoplc.com" TargetMode="External"/><Relationship Id="rId327" Type="http://schemas.openxmlformats.org/officeDocument/2006/relationships/hyperlink" Target="https://1drv.ms/b/c/94bd56ed68f00427/IQAH81XBbHMFTYFO5mKG1l5kAZNd5sKvcWWh9E7hpcIbPOU?e=7q1oek" TargetMode="External"/><Relationship Id="rId534" Type="http://schemas.openxmlformats.org/officeDocument/2006/relationships/hyperlink" Target="mailto:bolanle.aladegbola@rb.com;uzo.amatokwu@reckitt.com" TargetMode="External"/><Relationship Id="rId741" Type="http://schemas.openxmlformats.org/officeDocument/2006/relationships/hyperlink" Target="mailto:uzo.amatokwu@reckitt.com" TargetMode="External"/><Relationship Id="rId839" Type="http://schemas.openxmlformats.org/officeDocument/2006/relationships/hyperlink" Target="https://1drv.ms/b/c/94bd56ed68f00427/IQCVpF6p6yYcQptp2thQfZKsAe5RWh9CUUIwsvWcJrHMYLM?e=MgL9m8" TargetMode="External"/><Relationship Id="rId1164" Type="http://schemas.openxmlformats.org/officeDocument/2006/relationships/hyperlink" Target="mailto:PZindustries@pzcussons.com" TargetMode="External"/><Relationship Id="rId1371" Type="http://schemas.openxmlformats.org/officeDocument/2006/relationships/hyperlink" Target="https://1drv.ms/b/c/94bd56ed68f00427/IQCJy2V9LY_OSJTKasOdALOjAWZ_W423hyZ5r_usjZTXFn8?e=IOOVLC" TargetMode="External"/><Relationship Id="rId1469" Type="http://schemas.openxmlformats.org/officeDocument/2006/relationships/hyperlink" Target="mailto:oscarmacaulay@yahoo.com" TargetMode="External"/><Relationship Id="rId601" Type="http://schemas.openxmlformats.org/officeDocument/2006/relationships/hyperlink" Target="https://1drv.ms/b/c/94bd56ed68f00427/IQCi3iI_XGrUS6fMXErw4t6YASlqxbaDa4XQ3SIQqAfE1XE?e=jB33Qb" TargetMode="External"/><Relationship Id="rId1024" Type="http://schemas.openxmlformats.org/officeDocument/2006/relationships/hyperlink" Target="https://1drv.ms/b/c/94bd56ed68f00427/IQCT2aa3BPdKTZdDqfHMF-opAfCMmUye-LOoJvoCtsGNgEk?e=PXROkY" TargetMode="External"/><Relationship Id="rId1231" Type="http://schemas.openxmlformats.org/officeDocument/2006/relationships/hyperlink" Target="https://1drv.ms/b/c/94bd56ed68f00427/IQAeeRQ06rYJRKWbFBWh6itrAcRaY-vKCyOAxp3p5bg63fE?e=KU7qze" TargetMode="External"/><Relationship Id="rId906" Type="http://schemas.openxmlformats.org/officeDocument/2006/relationships/hyperlink" Target="mailto:info@fidson.com" TargetMode="External"/><Relationship Id="rId1329" Type="http://schemas.openxmlformats.org/officeDocument/2006/relationships/hyperlink" Target="https://1drv.ms/b/c/94bd56ed68f00427/IQAYE-LzXTAwTpDvImbjeGTIAQwcftS1GYnL03gvZu0Rxbg?e=VG9YEZ" TargetMode="External"/><Relationship Id="rId1536" Type="http://schemas.openxmlformats.org/officeDocument/2006/relationships/hyperlink" Target="https://1drv.ms/b/c/94bd56ed68f00427/IQCzI1OApdXHRYs5ZRGv4snDAXRJzr7MngqBYbbvKjcWabc?e=rIodqC" TargetMode="External"/><Relationship Id="rId35" Type="http://schemas.openxmlformats.org/officeDocument/2006/relationships/hyperlink" Target="https://1drv.ms/b/c/94bd56ed68f00427/IQC-Hblb0VbIRYEqmJcz_hGPAV4JOFYJNt3WqQKqXnrmPyc?e=JbgVXR" TargetMode="External"/><Relationship Id="rId1603" Type="http://schemas.openxmlformats.org/officeDocument/2006/relationships/hyperlink" Target="https://1drv.ms/i/c/94bd56ed68f00427/IQBQ6MN1jMOPSaIK-yvi_jOnAcyayTqKuZ3_pmz5NeV6y_c?e=twn3yy" TargetMode="External"/><Relationship Id="rId184" Type="http://schemas.openxmlformats.org/officeDocument/2006/relationships/hyperlink" Target="https://1drv.ms/b/c/94bd56ed68f00427/IQCDoEkHqDkST51goZNFAGHdASDA8JVwDJAbo3hqmuA9ZLw?e=eTPhwG" TargetMode="External"/><Relationship Id="rId391" Type="http://schemas.openxmlformats.org/officeDocument/2006/relationships/hyperlink" Target="mailto:info@drugfieldpharma.com;olakunleekundayo@msn.com" TargetMode="External"/><Relationship Id="rId251" Type="http://schemas.openxmlformats.org/officeDocument/2006/relationships/hyperlink" Target="https://1drv.ms/b/c/94bd56ed68f00427/IQDLFfz3x7X2QbhJFPWrJsLwAcSzwF6-LPfEjBghSJIEDqE?e=daIvAX" TargetMode="External"/><Relationship Id="rId489" Type="http://schemas.openxmlformats.org/officeDocument/2006/relationships/hyperlink" Target="https://1drv.ms/b/c/94bd56ed68f00427/IQD7FRTRMlItQowtTtfSQFzdAZISl6BSH3oEJBlWC48ioWk?e=ZoXGc2" TargetMode="External"/><Relationship Id="rId696" Type="http://schemas.openxmlformats.org/officeDocument/2006/relationships/hyperlink" Target="mailto:swipha@swiphanigeria.com" TargetMode="External"/><Relationship Id="rId349" Type="http://schemas.openxmlformats.org/officeDocument/2006/relationships/hyperlink" Target="mailto:toluwasanmi@may-bakerng.com;info@may-bakerng.com" TargetMode="External"/><Relationship Id="rId556" Type="http://schemas.openxmlformats.org/officeDocument/2006/relationships/hyperlink" Target="mailto:KESSTER.CHIMYENUM@UNILEVER.COM" TargetMode="External"/><Relationship Id="rId763" Type="http://schemas.openxmlformats.org/officeDocument/2006/relationships/hyperlink" Target="https://1drv.ms/b/c/94bd56ed68f00427/IQDf5jirkYg7Q70XGtp6nvUNAdlTt8sYCzLps5U5l_w6K8U?e=Io0AIa" TargetMode="External"/><Relationship Id="rId1186" Type="http://schemas.openxmlformats.org/officeDocument/2006/relationships/hyperlink" Target="https://1drv.ms/b/c/94bd56ed68f00427/IQAR_RCIvY7DRaOHGM8NQ7bQASoYgryPOvi5Rj61ZYVpVKs?e=Fu0y06" TargetMode="External"/><Relationship Id="rId1393" Type="http://schemas.openxmlformats.org/officeDocument/2006/relationships/hyperlink" Target="mailto:osaretin.jaiyeola@fensyl.com" TargetMode="External"/><Relationship Id="rId111" Type="http://schemas.openxmlformats.org/officeDocument/2006/relationships/hyperlink" Target="https://1drv.ms/b/c/94bd56ed68f00427/IQAywq1JFTApQbue2h4j5ZdnATZI2vOntXQpi1Eia9e6MGk?e=15QGCj" TargetMode="External"/><Relationship Id="rId209" Type="http://schemas.openxmlformats.org/officeDocument/2006/relationships/hyperlink" Target="https://1drv.ms/b/c/94bd56ed68f00427/IQA7I6e-sxucS7QxQUVdFgtUAddTcohdt3HaP7UKqBoLUWM?e=7t4612" TargetMode="External"/><Relationship Id="rId416" Type="http://schemas.openxmlformats.org/officeDocument/2006/relationships/hyperlink" Target="mailto:reals@realsgroup.com" TargetMode="External"/><Relationship Id="rId970" Type="http://schemas.openxmlformats.org/officeDocument/2006/relationships/hyperlink" Target="https://1drv.ms/b/c/94bd56ed68f00427/IQCBal-DFFEzTpasGFZNYJvyAd2J-SL8Op38KRntCeaypkI?e=fo9omi" TargetMode="External"/><Relationship Id="rId1046" Type="http://schemas.openxmlformats.org/officeDocument/2006/relationships/hyperlink" Target="mailto:swipha@swiphanigeria.com" TargetMode="External"/><Relationship Id="rId1253" Type="http://schemas.openxmlformats.org/officeDocument/2006/relationships/hyperlink" Target="https://1drv.ms/b/c/94bd56ed68f00427/IQCzmsZul9-bSbYdvz8oqaCBAVHWREPxMHhTspQiXjwqF80?e=YfUMB2" TargetMode="External"/><Relationship Id="rId623" Type="http://schemas.openxmlformats.org/officeDocument/2006/relationships/hyperlink" Target="mailto:info@drugfieldpharma.com" TargetMode="External"/><Relationship Id="rId830" Type="http://schemas.openxmlformats.org/officeDocument/2006/relationships/hyperlink" Target="https://1drv.ms/b/c/94bd56ed68f00427/IQCVpF6p6yYcQptp2thQfZKsAe5RWh9CUUIwsvWcJrHMYLM?e=MgL9m8" TargetMode="External"/><Relationship Id="rId928" Type="http://schemas.openxmlformats.org/officeDocument/2006/relationships/hyperlink" Target="mailto:Nivea.Nigeria3@Beiersdorf.com" TargetMode="External"/><Relationship Id="rId1460" Type="http://schemas.openxmlformats.org/officeDocument/2006/relationships/hyperlink" Target="mailto:oscarmacaulay@yahoo.com" TargetMode="External"/><Relationship Id="rId1558" Type="http://schemas.openxmlformats.org/officeDocument/2006/relationships/hyperlink" Target="https://1drv.ms/b/c/94bd56ed68f00427/IQAkRMGgu6ZoSqN99HlHjbq6AcTtdNZJEzOJt9GHuS_ngCw?e=u3ldC1" TargetMode="External"/><Relationship Id="rId57" Type="http://schemas.openxmlformats.org/officeDocument/2006/relationships/hyperlink" Target="https://1drv.ms/b/c/94bd56ed68f00427/IQBQPMwya1ebSKS1OLv5Iz7VAY9sxF5IkRampJudgM3DpRs?e=y82zeO" TargetMode="External"/><Relationship Id="rId1113" Type="http://schemas.openxmlformats.org/officeDocument/2006/relationships/hyperlink" Target="https://1drv.ms/b/c/94bd56ed68f00427/IQDX5G3lGQzESYl_Ufm3ok0DAXvI5DCXt5riE4_s9GzqTYQ?e=cpIY0q" TargetMode="External"/><Relationship Id="rId1320" Type="http://schemas.openxmlformats.org/officeDocument/2006/relationships/hyperlink" Target="https://1drv.ms/b/c/94bd56ed68f00427/IQB1e0bU-jFpRaCQHNmzJXF9AbUhqnSNKxF3O34IETtidEc?e=o58l0L" TargetMode="External"/><Relationship Id="rId1418" Type="http://schemas.openxmlformats.org/officeDocument/2006/relationships/hyperlink" Target="mailto:sefihait.kone@bayer.com" TargetMode="External"/><Relationship Id="rId273" Type="http://schemas.openxmlformats.org/officeDocument/2006/relationships/hyperlink" Target="https://1drv.ms/b/c/94bd56ed68f00427/IQBQBOEJzCkYQ5K8dzv1HjjMAY8dbMOU1JbQCOPIT50DMF0?e=4P4bCy" TargetMode="External"/><Relationship Id="rId480" Type="http://schemas.openxmlformats.org/officeDocument/2006/relationships/hyperlink" Target="https://1drv.ms/b/c/94bd56ed68f00427/IQBqW6SvW9hAQokE59OcwTxoAdE-bwp-OaR1sOgznkGZK94?e=63uVLB" TargetMode="External"/><Relationship Id="rId133" Type="http://schemas.openxmlformats.org/officeDocument/2006/relationships/hyperlink" Target="https://1drv.ms/b/c/94bd56ed68f00427/IQAiloP0lkpsRbIqXSi6f7EPAa_F4b5wbsBAsMOIZUHXe10?e=bpDI7i" TargetMode="External"/><Relationship Id="rId340" Type="http://schemas.openxmlformats.org/officeDocument/2006/relationships/hyperlink" Target="https://1drv.ms/b/c/94bd56ed68f00427/IQC0bCrQ7Y71QqwKJh0zyAUOAYhGRJ6BNl5naqAkcPj-zGE?e=u0VgXa" TargetMode="External"/><Relationship Id="rId578" Type="http://schemas.openxmlformats.org/officeDocument/2006/relationships/hyperlink" Target="mailto:osworthnigeria@yahoo.com" TargetMode="External"/><Relationship Id="rId785" Type="http://schemas.openxmlformats.org/officeDocument/2006/relationships/hyperlink" Target="https://1drv.ms/b/c/94bd56ed68f00427/IQDkzJ-4hI8XSaOquHIWvsk_Ab3Reo82C4H7BZ0x8ytmYBk?e=4Vrdu9" TargetMode="External"/><Relationship Id="rId992" Type="http://schemas.openxmlformats.org/officeDocument/2006/relationships/hyperlink" Target="mailto:destmawellness@gmail.com" TargetMode="External"/><Relationship Id="rId200" Type="http://schemas.openxmlformats.org/officeDocument/2006/relationships/hyperlink" Target="https://1drv.ms/b/c/94bd56ed68f00427/IQALky2Cxmr8S6uPM1_iBctIAZDhLLGBA95YatfEZULTs6Q?e=mqHI8g" TargetMode="External"/><Relationship Id="rId438" Type="http://schemas.openxmlformats.org/officeDocument/2006/relationships/hyperlink" Target="mailto:kchconsumer@gmail.com" TargetMode="External"/><Relationship Id="rId645" Type="http://schemas.openxmlformats.org/officeDocument/2006/relationships/hyperlink" Target="mailto:pharmatex@gmail.com" TargetMode="External"/><Relationship Id="rId852" Type="http://schemas.openxmlformats.org/officeDocument/2006/relationships/hyperlink" Target="mailto:osworthnigeria@yahoo.com" TargetMode="External"/><Relationship Id="rId1068" Type="http://schemas.openxmlformats.org/officeDocument/2006/relationships/hyperlink" Target="https://1drv.ms/b/c/94bd56ed68f00427/IQBFudoV3nRIRplZ4qx_5KJqAYQoFKcOYxpXKDqAaGUeYcc?e=L0MVRW" TargetMode="External"/><Relationship Id="rId1275" Type="http://schemas.openxmlformats.org/officeDocument/2006/relationships/hyperlink" Target="mailto:phppharma@yahoo.com" TargetMode="External"/><Relationship Id="rId1482" Type="http://schemas.openxmlformats.org/officeDocument/2006/relationships/hyperlink" Target="mailto:registration@aspirang.com" TargetMode="External"/><Relationship Id="rId505" Type="http://schemas.openxmlformats.org/officeDocument/2006/relationships/hyperlink" Target="https://1drv.ms/b/c/94bd56ed68f00427/IQBYHNn3ecigRI-xS3hZ65HaAcdJJ3tRRwHk6Pu_xA4M4p0?e=5gkKdV" TargetMode="External"/><Relationship Id="rId712" Type="http://schemas.openxmlformats.org/officeDocument/2006/relationships/hyperlink" Target="mailto:sefihait.kone@bayer.com" TargetMode="External"/><Relationship Id="rId1135" Type="http://schemas.openxmlformats.org/officeDocument/2006/relationships/hyperlink" Target="https://1drv.ms/b/c/94bd56ed68f00427/IQCJmAoajH7SQKGGsRZ95xuNAbCtgsaI6P1AAux-QqWf7iU?e=ms0aLT" TargetMode="External"/><Relationship Id="rId1342" Type="http://schemas.openxmlformats.org/officeDocument/2006/relationships/hyperlink" Target="mailto:info@ng.pvmgrp.com" TargetMode="External"/><Relationship Id="rId79" Type="http://schemas.openxmlformats.org/officeDocument/2006/relationships/hyperlink" Target="https://1drv.ms/b/c/94bd56ed68f00427/IQCc_RdcKp6TSL6KXelIjOl4Aay2PgKcZsnLY_gGxQRLy1w?e=31ulIy" TargetMode="External"/><Relationship Id="rId1202" Type="http://schemas.openxmlformats.org/officeDocument/2006/relationships/hyperlink" Target="mailto:pzindustries@pzcussons.com;udoka.adegor@pzcussons.com" TargetMode="External"/><Relationship Id="rId1507" Type="http://schemas.openxmlformats.org/officeDocument/2006/relationships/hyperlink" Target="https://1drv.ms/b/c/94bd56ed68f00427/IQCMSWyUn13NRaMIaAK_euaIAfNs4iDAhsf7XQ_iRg_R_yM?e=HcUC1x" TargetMode="External"/><Relationship Id="rId295" Type="http://schemas.openxmlformats.org/officeDocument/2006/relationships/hyperlink" Target="https://1drv.ms/b/c/94bd56ed68f00427/IQCiCt0fv_9ATpJUURnrrNgCAbvXgxpySN2EwtTaGyHz088?e=OHlVX6" TargetMode="External"/><Relationship Id="rId155" Type="http://schemas.openxmlformats.org/officeDocument/2006/relationships/hyperlink" Target="https://1drv.ms/b/c/94bd56ed68f00427/IQDbTEISmiKzQ5DyZkBOZVMEAbvxX1nHqoPU_2DslfnMcB4?e=7IrGsA" TargetMode="External"/><Relationship Id="rId362" Type="http://schemas.openxmlformats.org/officeDocument/2006/relationships/hyperlink" Target="mailto:pknpharmaceuticalsltd@gmail.com" TargetMode="External"/><Relationship Id="rId1297" Type="http://schemas.openxmlformats.org/officeDocument/2006/relationships/hyperlink" Target="mailto:theophilus.adimoha@shalina.com" TargetMode="External"/><Relationship Id="rId222" Type="http://schemas.openxmlformats.org/officeDocument/2006/relationships/hyperlink" Target="https://1drv.ms/b/c/94bd56ed68f00427/IQBqEtxisS_VS5exsWpJyUlVAfhyIFLsFIGVOObqqbNUyuc?e=vYjKKI" TargetMode="External"/><Relationship Id="rId667" Type="http://schemas.openxmlformats.org/officeDocument/2006/relationships/hyperlink" Target="mailto:uzo.amatokwu@reckitt.com" TargetMode="External"/><Relationship Id="rId874" Type="http://schemas.openxmlformats.org/officeDocument/2006/relationships/hyperlink" Target="mailto:osworthnigeria@yahoo.com" TargetMode="External"/><Relationship Id="rId527" Type="http://schemas.openxmlformats.org/officeDocument/2006/relationships/hyperlink" Target="mailto:info@drugfieldpharma.com" TargetMode="External"/><Relationship Id="rId734" Type="http://schemas.openxmlformats.org/officeDocument/2006/relationships/hyperlink" Target="mailto:info@fidson.com" TargetMode="External"/><Relationship Id="rId941" Type="http://schemas.openxmlformats.org/officeDocument/2006/relationships/hyperlink" Target="mailto:saroagrosciences@saroafrica.com" TargetMode="External"/><Relationship Id="rId1157" Type="http://schemas.openxmlformats.org/officeDocument/2006/relationships/hyperlink" Target="https://1drv.ms/b/c/94bd56ed68f00427/IQAwSBnVPeo7T45wDMoLO1DoATvAzwM-i5IhCkvoPxJgZaU?e=L8wIy1" TargetMode="External"/><Relationship Id="rId1364" Type="http://schemas.openxmlformats.org/officeDocument/2006/relationships/hyperlink" Target="https://1drv.ms/b/c/94bd56ed68f00427/IQBsWuIHfuZVRosPRo7vJKI2AXsVI76RYB5OSOYRajwMvHk?e=qSpeDB" TargetMode="External"/><Relationship Id="rId1571" Type="http://schemas.openxmlformats.org/officeDocument/2006/relationships/hyperlink" Target="https://1drv.ms/b/c/94bd56ed68f00427/IQCeCpVHGsPoSJ-SoOUIRoQxAUrnxBhx6l6_VzkQngs_cIs?e=vEdoI1" TargetMode="External"/><Relationship Id="rId70" Type="http://schemas.openxmlformats.org/officeDocument/2006/relationships/hyperlink" Target="https://1drv.ms/b/c/94bd56ed68f00427/IQBsZ1vZ8lPeTZD7ZpjigCcbAeVQl0oda5DpvE7MIl64hd4?e=EevkYK" TargetMode="External"/><Relationship Id="rId801" Type="http://schemas.openxmlformats.org/officeDocument/2006/relationships/hyperlink" Target="https://1drv.ms/b/c/94bd56ed68f00427/IQAtfPXWaEL7S78aWIOoNw3OATFAVb3JtHgYmhqbfNjLo-s?e=S1hPJk" TargetMode="External"/><Relationship Id="rId1017" Type="http://schemas.openxmlformats.org/officeDocument/2006/relationships/hyperlink" Target="https://1drv.ms/b/c/94bd56ed68f00427/IQDHa0eTVJjyRZv7HM_xkF0BARDsyQAF_TKGSy4FtjBKzac?e=DJjlLX" TargetMode="External"/><Relationship Id="rId1224" Type="http://schemas.openxmlformats.org/officeDocument/2006/relationships/hyperlink" Target="https://1drv.ms/b/c/94bd56ed68f00427/IQAWAJopfBArT4QP0iA4-EGqAdq6JlzeJ3tXViyI4Ms8_Tw?e=UguPF5" TargetMode="External"/><Relationship Id="rId1431" Type="http://schemas.openxmlformats.org/officeDocument/2006/relationships/hyperlink" Target="mailto:bolanle.aladegbola@rb.com;uzo.amatokwu@reckitt.com" TargetMode="External"/><Relationship Id="rId1529" Type="http://schemas.openxmlformats.org/officeDocument/2006/relationships/hyperlink" Target="https://1drv.ms/b/c/94bd56ed68f00427/IQCaOiSeN3_2Q7iSMxsn2fYfAfmSTQeTh_O2Tdgae15xZgU?e=jQYfz1" TargetMode="External"/><Relationship Id="rId28" Type="http://schemas.openxmlformats.org/officeDocument/2006/relationships/hyperlink" Target="https://1drv.ms/b/c/94bd56ed68f00427/IQB8PCcPMfxcSaWKMBbsroZiAUUh3dM7VVyL74priVEB888?e=bSL9Ns" TargetMode="External"/><Relationship Id="rId177" Type="http://schemas.openxmlformats.org/officeDocument/2006/relationships/hyperlink" Target="https://1drv.ms/b/c/94bd56ed68f00427/IQBuLMmcRYCoQIlPlMdOy61JAQYmqc9HBPwpmlCALJ5JtdQ?e=JjLdtc" TargetMode="External"/><Relationship Id="rId384" Type="http://schemas.openxmlformats.org/officeDocument/2006/relationships/hyperlink" Target="https://1drv.ms/b/c/94bd56ed68f00427/IQAlnCnUugPeRIGJSVLMFlehAVuiOH91foDgIL86JY12_JY?e=ZqGSyq" TargetMode="External"/><Relationship Id="rId591" Type="http://schemas.openxmlformats.org/officeDocument/2006/relationships/hyperlink" Target="https://1drv.ms/b/c/94bd56ed68f00427/IQBAnVVQfiiTTqCuUqFELhuiAQLGn110L_rQh44oIAMVu20?e=ByhZa2" TargetMode="External"/><Relationship Id="rId244" Type="http://schemas.openxmlformats.org/officeDocument/2006/relationships/hyperlink" Target="https://1drv.ms/b/c/94bd56ed68f00427/IQDBQlA6nSwLR655TVgRfA3zAZUt3HFjlU4-4h12UWEdVc0?e=2KovcA" TargetMode="External"/><Relationship Id="rId689" Type="http://schemas.openxmlformats.org/officeDocument/2006/relationships/hyperlink" Target="mailto:order@vastovers.com" TargetMode="External"/><Relationship Id="rId896" Type="http://schemas.openxmlformats.org/officeDocument/2006/relationships/hyperlink" Target="mailto:pzindustries@pzcussons.com" TargetMode="External"/><Relationship Id="rId1081" Type="http://schemas.openxmlformats.org/officeDocument/2006/relationships/hyperlink" Target="https://1drv.ms/b/c/94bd56ed68f00427/IQBnS_2mzKAeRIsT3JqcDp2iAStq4F8vZ7ip4RoKlTCDsL4?e=WYjU5h" TargetMode="External"/><Relationship Id="rId451" Type="http://schemas.openxmlformats.org/officeDocument/2006/relationships/hyperlink" Target="https://1drv.ms/b/c/94bd56ed68f00427/IQDXBfzl30A9S4qQu8fbvZKxARjwyaZ0E0Pqdsg_GzMBHUg?e=p2zPQM" TargetMode="External"/><Relationship Id="rId549" Type="http://schemas.openxmlformats.org/officeDocument/2006/relationships/hyperlink" Target="mailto:aspira.cosmetics@aspirang.com" TargetMode="External"/><Relationship Id="rId756" Type="http://schemas.openxmlformats.org/officeDocument/2006/relationships/hyperlink" Target="mailto:kesster.chimyenum@unilever.com" TargetMode="External"/><Relationship Id="rId1179" Type="http://schemas.openxmlformats.org/officeDocument/2006/relationships/hyperlink" Target="mailto:Rosanna.Iwuala@sunpharma.com" TargetMode="External"/><Relationship Id="rId1386" Type="http://schemas.openxmlformats.org/officeDocument/2006/relationships/hyperlink" Target="mailto:customerservice@emzorpharma.com;chinelo@emzorpharma.com;info@emzorpharma.com" TargetMode="External"/><Relationship Id="rId1593" Type="http://schemas.openxmlformats.org/officeDocument/2006/relationships/hyperlink" Target="mailto:oktafiana.prihantari@kalbe.co.id" TargetMode="External"/><Relationship Id="rId104" Type="http://schemas.openxmlformats.org/officeDocument/2006/relationships/hyperlink" Target="https://1drv.ms/b/c/94bd56ed68f00427/IQDKlYzrqagsQJeqr0Ul_fHRAfcjO2eiYZwb5VzYc8Wu2zk?e=LJL2XZ" TargetMode="External"/><Relationship Id="rId311" Type="http://schemas.openxmlformats.org/officeDocument/2006/relationships/hyperlink" Target="https://1drv.ms/b/c/94bd56ed68f00427/IQADeC1kG83CSo5kHLAP71QkAXDhumO5-rLsaywdlBqbTGY?e=OLz8qG" TargetMode="External"/><Relationship Id="rId409" Type="http://schemas.openxmlformats.org/officeDocument/2006/relationships/hyperlink" Target="https://1drv.ms/b/c/94bd56ed68f00427/IQA86RnAinhuRIB6XekfY-U_AWkqPmE0mPe1dVDUv-fhAU0?e=YHmUuu" TargetMode="External"/><Relationship Id="rId963" Type="http://schemas.openxmlformats.org/officeDocument/2006/relationships/hyperlink" Target="https://1drv.ms/b/c/94bd56ed68f00427/IQCXJu4gDDRoTZfuK9dqm60iAQsuh9IdVX3_F8Kj5D840sE?e=yqclLq" TargetMode="External"/><Relationship Id="rId1039" Type="http://schemas.openxmlformats.org/officeDocument/2006/relationships/hyperlink" Target="https://1drv.ms/b/c/94bd56ed68f00427/IQBFudoV3nRIRplZ4qx_5KJqAYQoFKcOYxpXKDqAaGUeYcc?e=L0MVRW" TargetMode="External"/><Relationship Id="rId1246" Type="http://schemas.openxmlformats.org/officeDocument/2006/relationships/hyperlink" Target="mailto:phppharma@yahoo.com" TargetMode="External"/><Relationship Id="rId92" Type="http://schemas.openxmlformats.org/officeDocument/2006/relationships/hyperlink" Target="https://1drv.ms/b/c/94bd56ed68f00427/IQDbTEISmiKzQ5DyZkBOZVMEAbvxX1nHqoPU_2DslfnMcB4?e=KbSGoc" TargetMode="External"/><Relationship Id="rId616" Type="http://schemas.openxmlformats.org/officeDocument/2006/relationships/hyperlink" Target="https://1drv.ms/b/c/94bd56ed68f00427/IQCG0iQkrbvgT6w3V0vLw9-fAd3Cunbh5LwCW0Uu7CR6eRo?e=TSsobf" TargetMode="External"/><Relationship Id="rId823" Type="http://schemas.openxmlformats.org/officeDocument/2006/relationships/hyperlink" Target="mailto:therapeuticlaboratories@gmail.com" TargetMode="External"/><Relationship Id="rId1453" Type="http://schemas.openxmlformats.org/officeDocument/2006/relationships/hyperlink" Target="https://1drv.ms/b/c/94bd56ed68f00427/IQCcPoklni9uS6qLxd8eJbgdAYPrxEUXOG7oePT6Dtoh394?e=J5ZjMi" TargetMode="External"/><Relationship Id="rId1106" Type="http://schemas.openxmlformats.org/officeDocument/2006/relationships/hyperlink" Target="mailto:victoria.ezeala@viatris.com;abisola.ayodele@pfizer.com" TargetMode="External"/><Relationship Id="rId1313" Type="http://schemas.openxmlformats.org/officeDocument/2006/relationships/hyperlink" Target="mailto:pzindustries@pzcussons.com;udoka.adegor@pzcussons.com" TargetMode="External"/><Relationship Id="rId1520" Type="http://schemas.openxmlformats.org/officeDocument/2006/relationships/hyperlink" Target="https://1drv.ms/b/c/94bd56ed68f00427/IQA24qWVuBx-Tqq_uL3Nx573AXd8IHsZCKTnTZrrFVNOlUY?e=b3C9Ty" TargetMode="External"/><Relationship Id="rId199" Type="http://schemas.openxmlformats.org/officeDocument/2006/relationships/hyperlink" Target="https://1drv.ms/b/c/94bd56ed68f00427/IQCOMAK8lWe2QrQKubs1G9GvAbpgecnP_sr8Iug83YptTpQ?e=F8lcrM" TargetMode="External"/><Relationship Id="rId266" Type="http://schemas.openxmlformats.org/officeDocument/2006/relationships/hyperlink" Target="https://1drv.ms/b/c/94bd56ed68f00427/IQBQBOEJzCkYQ5K8dzv1HjjMAY8dbMOU1JbQCOPIT50DMF0?e=4P4bCy" TargetMode="External"/><Relationship Id="rId473" Type="http://schemas.openxmlformats.org/officeDocument/2006/relationships/hyperlink" Target="mailto:cosmeticsgiv17@yahoo.com" TargetMode="External"/><Relationship Id="rId680" Type="http://schemas.openxmlformats.org/officeDocument/2006/relationships/hyperlink" Target="mailto:uzo.amatokwu@reckitt.com" TargetMode="External"/><Relationship Id="rId126" Type="http://schemas.openxmlformats.org/officeDocument/2006/relationships/hyperlink" Target="https://1drv.ms/b/c/94bd56ed68f00427/IQDponWGs60jRLj1UY6uygsnAXQ8WBmTX6m8eqR4vXMWcWM?e=ZAeyKt" TargetMode="External"/><Relationship Id="rId333" Type="http://schemas.openxmlformats.org/officeDocument/2006/relationships/hyperlink" Target="https://1drv.ms/b/c/94bd56ed68f00427/IQAhs8cx27YiRYwlncdD6GF9AUwBegcE09_W-yNT6umffMQ?e=8wMZcI" TargetMode="External"/><Relationship Id="rId540" Type="http://schemas.openxmlformats.org/officeDocument/2006/relationships/hyperlink" Target="mailto:skyvillemulticare@yahoo.com" TargetMode="External"/><Relationship Id="rId778" Type="http://schemas.openxmlformats.org/officeDocument/2006/relationships/hyperlink" Target="https://1drv.ms/b/c/94bd56ed68f00427/IQBOIr7vhKLbQ77yj-L8YAYIAR8kHO0dsyIfRzIUidZTxUA?e=OYfYBo" TargetMode="External"/><Relationship Id="rId985" Type="http://schemas.openxmlformats.org/officeDocument/2006/relationships/hyperlink" Target="https://1drv.ms/b/c/94bd56ed68f00427/IQA6YoO0pi4xTazn09RT4XMGARGY4gLyyyFieFNSTHG8aSQ?e=SA8VJ3" TargetMode="External"/><Relationship Id="rId1170" Type="http://schemas.openxmlformats.org/officeDocument/2006/relationships/hyperlink" Target="mailto:Rosanna.Iwuala@sunpharma.com" TargetMode="External"/><Relationship Id="rId638" Type="http://schemas.openxmlformats.org/officeDocument/2006/relationships/hyperlink" Target="mailto:info@drugfieldpharma.com" TargetMode="External"/><Relationship Id="rId845" Type="http://schemas.openxmlformats.org/officeDocument/2006/relationships/hyperlink" Target="https://1drv.ms/b/c/94bd56ed68f00427/IQBXwy7Tk51iTIugk9ewDg7IAXcG_XUHQiEVkc0HbK5us3o?e=Bc9ez6" TargetMode="External"/><Relationship Id="rId1030" Type="http://schemas.openxmlformats.org/officeDocument/2006/relationships/hyperlink" Target="https://1drv.ms/b/c/94bd56ed68f00427/IQBFudoV3nRIRplZ4qx_5KJqAYQoFKcOYxpXKDqAaGUeYcc?e=L0MVRW" TargetMode="External"/><Relationship Id="rId1268" Type="http://schemas.openxmlformats.org/officeDocument/2006/relationships/hyperlink" Target="mailto:phppharma@yahoo.com" TargetMode="External"/><Relationship Id="rId1475" Type="http://schemas.openxmlformats.org/officeDocument/2006/relationships/hyperlink" Target="mailto:swipha@swiphanigeria.com" TargetMode="External"/><Relationship Id="rId400" Type="http://schemas.openxmlformats.org/officeDocument/2006/relationships/hyperlink" Target="https://1drv.ms/b/c/94bd56ed68f00427/IQDolDasY1zlRKloqM6W8d76AczEqJlkx2J6x77CkrQb3y4?e=9lDTCY" TargetMode="External"/><Relationship Id="rId705" Type="http://schemas.openxmlformats.org/officeDocument/2006/relationships/hyperlink" Target="mailto:c.unanka@drugstoc.com" TargetMode="External"/><Relationship Id="rId1128" Type="http://schemas.openxmlformats.org/officeDocument/2006/relationships/hyperlink" Target="https://1drv.ms/b/c/94bd56ed68f00427/IQAHQ1WCZJE8QZxn6trj0fTnAa-0RjQQhgVrCS9lPCt2cG4?e=s477E3" TargetMode="External"/><Relationship Id="rId1335" Type="http://schemas.openxmlformats.org/officeDocument/2006/relationships/hyperlink" Target="mailto:janisnutrition@gmail.com" TargetMode="External"/><Relationship Id="rId1542" Type="http://schemas.openxmlformats.org/officeDocument/2006/relationships/hyperlink" Target="https://1drv.ms/b/c/94bd56ed68f00427/IQD0tfbcPcLDTZ6TxJAgJxYlASReJ3YmkcJvLt8xpJMkjDU?e=nW891d" TargetMode="External"/><Relationship Id="rId912" Type="http://schemas.openxmlformats.org/officeDocument/2006/relationships/hyperlink" Target="mailto:0lpharm@olpharm.com" TargetMode="External"/><Relationship Id="rId41" Type="http://schemas.openxmlformats.org/officeDocument/2006/relationships/hyperlink" Target="https://1drv.ms/b/c/94bd56ed68f00427/IQDCG1QPvHF6QoZYb4ol6HLoAb9IQss49XR-9WNyNTO3r7A?e=SMWecC" TargetMode="External"/><Relationship Id="rId1402" Type="http://schemas.openxmlformats.org/officeDocument/2006/relationships/hyperlink" Target="mailto:osaretin.jaiyeola@fensyl.com" TargetMode="External"/><Relationship Id="rId190" Type="http://schemas.openxmlformats.org/officeDocument/2006/relationships/hyperlink" Target="https://1drv.ms/b/c/94bd56ed68f00427/IQBVDj1q6hYFT5_v68cuzHUvAbsqqeBCE_SfSOIh8x0k5eA?e=IfIBwR" TargetMode="External"/><Relationship Id="rId288" Type="http://schemas.openxmlformats.org/officeDocument/2006/relationships/hyperlink" Target="https://1drv.ms/b/c/94bd56ed68f00427/IQCf-lwye3pMRYOUij8w7lRsAcyBn9bT8SyP-IuSV6GxCWA?e=gSTNNq" TargetMode="External"/><Relationship Id="rId495" Type="http://schemas.openxmlformats.org/officeDocument/2006/relationships/hyperlink" Target="mailto:bioharbglobal@gmail.com" TargetMode="External"/><Relationship Id="rId148" Type="http://schemas.openxmlformats.org/officeDocument/2006/relationships/hyperlink" Target="https://1drv.ms/b/c/94bd56ed68f00427/IQDsVfdfnjH_SbkXgmfJul7DASvS9jiB36Py9z3u09AfWRI?e=xfcDFS" TargetMode="External"/><Relationship Id="rId355" Type="http://schemas.openxmlformats.org/officeDocument/2006/relationships/hyperlink" Target="mailto:toluwasanmi@may-bakerng.com;info@may-bakerng.com" TargetMode="External"/><Relationship Id="rId562" Type="http://schemas.openxmlformats.org/officeDocument/2006/relationships/hyperlink" Target="mailto:taiwo.oteju@beiersdorf.com" TargetMode="External"/><Relationship Id="rId1192" Type="http://schemas.openxmlformats.org/officeDocument/2006/relationships/hyperlink" Target="mailto:pzindustries@pzcussons.com;udoka.adegor@pzcussons.com" TargetMode="External"/><Relationship Id="rId215" Type="http://schemas.openxmlformats.org/officeDocument/2006/relationships/hyperlink" Target="https://1drv.ms/b/c/94bd56ed68f00427/IQBLKqGPiDaFSJhXnguPK4NWAY0K7bnHLdqZk9bcZYUyKH4?e=tf0AZH" TargetMode="External"/><Relationship Id="rId422" Type="http://schemas.openxmlformats.org/officeDocument/2006/relationships/hyperlink" Target="https://1drv.ms/b/c/94bd56ed68f00427/IQDzb9YccY09SotdW_mR8I1AAcxyNOyGTk33vjn04gY66ls?e=jh9b6g" TargetMode="External"/><Relationship Id="rId867" Type="http://schemas.openxmlformats.org/officeDocument/2006/relationships/hyperlink" Target="mailto:osworthnigeria@yahoo.com" TargetMode="External"/><Relationship Id="rId1052" Type="http://schemas.openxmlformats.org/officeDocument/2006/relationships/hyperlink" Target="mailto:swipha@swiphanigeria.com" TargetMode="External"/><Relationship Id="rId1497" Type="http://schemas.openxmlformats.org/officeDocument/2006/relationships/hyperlink" Target="https://1drv.ms/b/c/94bd56ed68f00427/IQCGD2B2BZwES5e3Eby7XOmDAYqtZyicrCr6diGeYxG3eM4?e=VdsXT0" TargetMode="External"/><Relationship Id="rId727" Type="http://schemas.openxmlformats.org/officeDocument/2006/relationships/hyperlink" Target="mailto:blessing_lynedge@yahoo.com" TargetMode="External"/><Relationship Id="rId934" Type="http://schemas.openxmlformats.org/officeDocument/2006/relationships/hyperlink" Target="mailto:info@imperiocosmetics.com" TargetMode="External"/><Relationship Id="rId1357" Type="http://schemas.openxmlformats.org/officeDocument/2006/relationships/hyperlink" Target="mailto:osaretin.jaiyeola@fensyl.com" TargetMode="External"/><Relationship Id="rId1564" Type="http://schemas.openxmlformats.org/officeDocument/2006/relationships/hyperlink" Target="https://1drv.ms/b/c/94bd56ed68f00427/IQBIZLYZiCu7QLxhikexGJPTAb1uI0GnfktGnPjfGwj0P_E?e=6JevwT" TargetMode="External"/><Relationship Id="rId63" Type="http://schemas.openxmlformats.org/officeDocument/2006/relationships/hyperlink" Target="https://1drv.ms/b/c/94bd56ed68f00427/IQD2yzcTVOtzTJLxLIoWOL5JAZNdhPx8Fhu_KunPYugZ9Wc?e=Qd8yhj" TargetMode="External"/><Relationship Id="rId1217" Type="http://schemas.openxmlformats.org/officeDocument/2006/relationships/hyperlink" Target="https://1drv.ms/b/c/94bd56ed68f00427/IQAft2jyy_kRR7NNv2k2WCliAVICUA5Ilfku4zz-LrsKKtI?e=YCjDmS" TargetMode="External"/><Relationship Id="rId1424" Type="http://schemas.openxmlformats.org/officeDocument/2006/relationships/hyperlink" Target="mailto:osaretin.jaiyeola@fensyl.com" TargetMode="External"/><Relationship Id="rId377" Type="http://schemas.openxmlformats.org/officeDocument/2006/relationships/hyperlink" Target="mailto:info@drugfieldpharma.com;olakunleekundayo@msn.com" TargetMode="External"/><Relationship Id="rId584" Type="http://schemas.openxmlformats.org/officeDocument/2006/relationships/hyperlink" Target="https://1drv.ms/b/c/94bd56ed68f00427/IQCtyjcxA86tTL1ftVqxYMN9AZpSfGA0GOUUGTus4iFTnTI?e=o7Rdkg" TargetMode="External"/><Relationship Id="rId5" Type="http://schemas.openxmlformats.org/officeDocument/2006/relationships/hyperlink" Target="https://1drv.ms/b/c/94bd56ed68f00427/IQBGMP854pPCT4vun2Qh5BbvAWgQ1yHXF-jp3B669nqaW4A?e=SzOHA2" TargetMode="External"/><Relationship Id="rId237" Type="http://schemas.openxmlformats.org/officeDocument/2006/relationships/hyperlink" Target="https://1drv.ms/b/c/94bd56ed68f00427/IQDksHdYDMWiRKLWrS88MedHAQccQDiJz-Bz_23786MmpKo?e=dTLrcn" TargetMode="External"/><Relationship Id="rId791" Type="http://schemas.openxmlformats.org/officeDocument/2006/relationships/hyperlink" Target="https://1drv.ms/b/c/94bd56ed68f00427/IQAlF2Qt-5MgSqoZpoplGj_BAafgQOiygQzR224r_LbwlJE?e=ZjeOFR" TargetMode="External"/><Relationship Id="rId889" Type="http://schemas.openxmlformats.org/officeDocument/2006/relationships/hyperlink" Target="mailto:Nivea.Nigeria3@Beiersdorf.com" TargetMode="External"/><Relationship Id="rId1074" Type="http://schemas.openxmlformats.org/officeDocument/2006/relationships/hyperlink" Target="https://1drv.ms/b/c/94bd56ed68f00427/IQBFudoV3nRIRplZ4qx_5KJqAYQoFKcOYxpXKDqAaGUeYcc?e=L0MVRW" TargetMode="External"/><Relationship Id="rId444" Type="http://schemas.openxmlformats.org/officeDocument/2006/relationships/hyperlink" Target="https://1drv.ms/b/c/94bd56ed68f00427/IQA1EOgZ1aSPSqS3hT_0Xfp0AYPOJJa4TWLnp6xYkPXPiAY?e=AlA7cQ" TargetMode="External"/><Relationship Id="rId651" Type="http://schemas.openxmlformats.org/officeDocument/2006/relationships/hyperlink" Target="mailto:Rosanna.Iwuala@sunpharma.com" TargetMode="External"/><Relationship Id="rId749" Type="http://schemas.openxmlformats.org/officeDocument/2006/relationships/hyperlink" Target="mailto:janisnutrition@gmail.com" TargetMode="External"/><Relationship Id="rId1281" Type="http://schemas.openxmlformats.org/officeDocument/2006/relationships/hyperlink" Target="https://1drv.ms/b/c/94bd56ed68f00427/IQC14n8HdGwLTIjevT_R-g9ZARqY6ViF0i4e1dDAlT-UyYc?e=nyOWfF" TargetMode="External"/><Relationship Id="rId1379" Type="http://schemas.openxmlformats.org/officeDocument/2006/relationships/hyperlink" Target="mailto:shalina.regulatory@yahoo.com" TargetMode="External"/><Relationship Id="rId1586" Type="http://schemas.openxmlformats.org/officeDocument/2006/relationships/hyperlink" Target="https://1drv.ms/i/c/94bd56ed68f00427/IQAk9hhQhw5eQoNQqXyL3n_SAVheyjM6k5J-so-K1bx7oCE?e=8JYnJu" TargetMode="External"/><Relationship Id="rId304" Type="http://schemas.openxmlformats.org/officeDocument/2006/relationships/hyperlink" Target="https://1drv.ms/b/c/94bd56ed68f00427/IQDN5qjgIEi2Sq09Gsu-KPSWAWiYXy1l4zfp2Amh3ms4IZ0?e=pGh2su" TargetMode="External"/><Relationship Id="rId511" Type="http://schemas.openxmlformats.org/officeDocument/2006/relationships/hyperlink" Target="https://1drv.ms/b/c/94bd56ed68f00427/IQBzAJ1yd6o8QaVqQbPY7J-xASIMm2hN6wssmIi9pQzZNq0?e=EkAsc6" TargetMode="External"/><Relationship Id="rId609" Type="http://schemas.openxmlformats.org/officeDocument/2006/relationships/hyperlink" Target="https://1drv.ms/b/c/94bd56ed68f00427/IQDntUPSfQABT5wvudN_xMiAASwTwlvz4RzisRUGJfT8nAM?e=nYLv7g" TargetMode="External"/><Relationship Id="rId956" Type="http://schemas.openxmlformats.org/officeDocument/2006/relationships/hyperlink" Target="mailto:osaretin.jaiyeola@fensyl.com" TargetMode="External"/><Relationship Id="rId1141" Type="http://schemas.openxmlformats.org/officeDocument/2006/relationships/hyperlink" Target="https://1drv.ms/b/c/94bd56ed68f00427/IQBrW6tMG6jgQLqhOi7jN1ToAVT7clNFw0bUKfu39My18jk?e=tqh4lV" TargetMode="External"/><Relationship Id="rId1239" Type="http://schemas.openxmlformats.org/officeDocument/2006/relationships/hyperlink" Target="mailto:phppharma@yahoo.com" TargetMode="External"/><Relationship Id="rId85" Type="http://schemas.openxmlformats.org/officeDocument/2006/relationships/hyperlink" Target="https://1drv.ms/b/c/94bd56ed68f00427/IQCcBFazn6VTQZtp9_KnHSrMAb8ZttjefZhu8jRU6gkSxx4?e=VIMKsc" TargetMode="External"/><Relationship Id="rId816" Type="http://schemas.openxmlformats.org/officeDocument/2006/relationships/hyperlink" Target="https://1drv.ms/b/c/94bd56ed68f00427/IQAr3hsM9LE2T7sxZPXiPToUAVVMWFc_XnkHh3eHA97fR7M?e=WhiLkR" TargetMode="External"/><Relationship Id="rId1001" Type="http://schemas.openxmlformats.org/officeDocument/2006/relationships/hyperlink" Target="https://1drv.ms/b/c/94bd56ed68f00427/IQD_2XAIyngJS5p8gdR7PJDfAcgPRfYezxXl9YN2DHpitkg?e=7OAIoJ" TargetMode="External"/><Relationship Id="rId1446" Type="http://schemas.openxmlformats.org/officeDocument/2006/relationships/hyperlink" Target="mailto:osaretin.jaiyeola@fensyl.com" TargetMode="External"/><Relationship Id="rId1306" Type="http://schemas.openxmlformats.org/officeDocument/2006/relationships/hyperlink" Target="mailto:info@elbepharma.com" TargetMode="External"/><Relationship Id="rId1513" Type="http://schemas.openxmlformats.org/officeDocument/2006/relationships/hyperlink" Target="https://1drv.ms/b/c/94bd56ed68f00427/IQCUBlcZwB6xTaJrGwuHiNHZAXWZRyNzLSJojzz7AC_U77s?e=fiAou7" TargetMode="External"/><Relationship Id="rId12" Type="http://schemas.openxmlformats.org/officeDocument/2006/relationships/hyperlink" Target="https://nafdacng-my.sharepoint.com/:b:/g/personal/adekunle_adeniran_nafdac_gov_ng/IQBwFxHVzP_yRLqWDp8_aLcyAX3eal-y80hDsIg2Sx1EcUI?e=PhTOiN" TargetMode="External"/><Relationship Id="rId161" Type="http://schemas.openxmlformats.org/officeDocument/2006/relationships/hyperlink" Target="https://1drv.ms/b/c/94bd56ed68f00427/IQAZMpLmC1JnSJYgwJmSxME9AWmNOGa4O4dvZLO6ITCCKBI?e=JbW2AT" TargetMode="External"/><Relationship Id="rId399" Type="http://schemas.openxmlformats.org/officeDocument/2006/relationships/hyperlink" Target="mailto:uzo.amatokwu@reckitt.com" TargetMode="External"/><Relationship Id="rId259" Type="http://schemas.openxmlformats.org/officeDocument/2006/relationships/hyperlink" Target="https://1drv.ms/b/c/94bd56ed68f00427/IQCxRVKN--m4RIUkUJ5IvzmVAfwNXeR0puARKWZz7uTWomc?e=aFgxg1" TargetMode="External"/><Relationship Id="rId466" Type="http://schemas.openxmlformats.org/officeDocument/2006/relationships/hyperlink" Target="https://1drv.ms/b/c/94bd56ed68f00427/IQA66cluu2vISaHM6JNAiEZ9AUMFV-sHRxclNtL-D0v-91E?e=SL7x4H" TargetMode="External"/><Relationship Id="rId673" Type="http://schemas.openxmlformats.org/officeDocument/2006/relationships/hyperlink" Target="mailto:osaretin.jaiyeola@fensyl.com" TargetMode="External"/><Relationship Id="rId880" Type="http://schemas.openxmlformats.org/officeDocument/2006/relationships/hyperlink" Target="mailto:Nivea.Nigeria3@Beiersdorf.com" TargetMode="External"/><Relationship Id="rId1096" Type="http://schemas.openxmlformats.org/officeDocument/2006/relationships/hyperlink" Target="https://1drv.ms/b/c/94bd56ed68f00427/IQAnIsy7syCwR77DYzpN2jAuAbYjvis_Lc4zn2iT06EbTRI?e=YsRZMm" TargetMode="External"/><Relationship Id="rId119" Type="http://schemas.openxmlformats.org/officeDocument/2006/relationships/hyperlink" Target="https://1drv.ms/b/c/94bd56ed68f00427/IQBh69YsPyliSJUQtdrx0r0PARRd-DfqqHkYlWBPKn-nm1Q?e=M5CDXv" TargetMode="External"/><Relationship Id="rId326" Type="http://schemas.openxmlformats.org/officeDocument/2006/relationships/hyperlink" Target="https://1drv.ms/b/c/94bd56ed68f00427/IQAbkCyF63BsSKJOnNcJvredASrZTdgyjKPhCQHIjc5GDOM?e=lbBpjt" TargetMode="External"/><Relationship Id="rId533" Type="http://schemas.openxmlformats.org/officeDocument/2006/relationships/hyperlink" Target="https://1drv.ms/b/c/94bd56ed68f00427/IQBCE1XqSyXtRZ-OjZwXXUouAaywMh41gXOFU9LaBjdAmUg?e=XyrcsP" TargetMode="External"/><Relationship Id="rId978" Type="http://schemas.openxmlformats.org/officeDocument/2006/relationships/hyperlink" Target="https://1drv.ms/b/c/94bd56ed68f00427/IQD_2XAIyngJS5p8gdR7PJDfAcgPRfYezxXl9YN2DHpitkg?e=7OAIoJ" TargetMode="External"/><Relationship Id="rId1163" Type="http://schemas.openxmlformats.org/officeDocument/2006/relationships/hyperlink" Target="mailto:customerservice@emzorpharmana.com" TargetMode="External"/><Relationship Id="rId1370" Type="http://schemas.openxmlformats.org/officeDocument/2006/relationships/hyperlink" Target="mailto:adler_products@yahoo.com" TargetMode="External"/><Relationship Id="rId740" Type="http://schemas.openxmlformats.org/officeDocument/2006/relationships/hyperlink" Target="mailto:uzo.amatokwu@reckitt.com" TargetMode="External"/><Relationship Id="rId838" Type="http://schemas.openxmlformats.org/officeDocument/2006/relationships/hyperlink" Target="https://1drv.ms/b/c/94bd56ed68f00427/IQCVpF6p6yYcQptp2thQfZKsAe5RWh9CUUIwsvWcJrHMYLM?e=MgL9m8" TargetMode="External"/><Relationship Id="rId1023" Type="http://schemas.openxmlformats.org/officeDocument/2006/relationships/hyperlink" Target="mailto:momohoge@yahoo.com" TargetMode="External"/><Relationship Id="rId1468" Type="http://schemas.openxmlformats.org/officeDocument/2006/relationships/hyperlink" Target="mailto:oscarmacaulay@yahoo.com" TargetMode="External"/><Relationship Id="rId600" Type="http://schemas.openxmlformats.org/officeDocument/2006/relationships/hyperlink" Target="https://1drv.ms/b/c/94bd56ed68f00427/IQCi3iI_XGrUS6fMXErw4t6YASlqxbaDa4XQ3SIQqAfE1XE?e=jB33Qb" TargetMode="External"/><Relationship Id="rId1230" Type="http://schemas.openxmlformats.org/officeDocument/2006/relationships/hyperlink" Target="mailto:adler_products@yahoo.com" TargetMode="External"/><Relationship Id="rId1328" Type="http://schemas.openxmlformats.org/officeDocument/2006/relationships/hyperlink" Target="mailto:osaretin.jaiyeola@fensyl.com" TargetMode="External"/><Relationship Id="rId1535" Type="http://schemas.openxmlformats.org/officeDocument/2006/relationships/hyperlink" Target="https://1drv.ms/b/c/94bd56ed68f00427/IQCzI1OApdXHRYs5ZRGv4snDAXRJzr7MngqBYbbvKjcWabc?e=rIodqC" TargetMode="External"/><Relationship Id="rId905" Type="http://schemas.openxmlformats.org/officeDocument/2006/relationships/hyperlink" Target="mailto:info@fidson.com" TargetMode="External"/><Relationship Id="rId34" Type="http://schemas.openxmlformats.org/officeDocument/2006/relationships/hyperlink" Target="https://1drv.ms/b/c/94bd56ed68f00427/IQC-Hblb0VbIRYEqmJcz_hGPAV4JOFYJNt3WqQKqXnrmPyc?e=JbgVXR" TargetMode="External"/><Relationship Id="rId1602" Type="http://schemas.openxmlformats.org/officeDocument/2006/relationships/hyperlink" Target="https://1drv.ms/i/c/94bd56ed68f00427/IQBK2BUzVOyQSpaT3yUpPWL8AXUXjmzIdhHzao4IwUDgia8?e=su2xno" TargetMode="External"/><Relationship Id="rId183" Type="http://schemas.openxmlformats.org/officeDocument/2006/relationships/hyperlink" Target="https://1drv.ms/b/c/94bd56ed68f00427/IQCDoEkHqDkST51goZNFAGHdASDA8JVwDJAbo3hqmuA9ZLw?e=eTPhwG" TargetMode="External"/><Relationship Id="rId390" Type="http://schemas.openxmlformats.org/officeDocument/2006/relationships/hyperlink" Target="https://1drv.ms/b/c/94bd56ed68f00427/IQBwMDNP79e0TLdThgLDYc4ZAV3XXuwR4Uj_bQ2EB9yBXb4?e=MXaf9t" TargetMode="External"/><Relationship Id="rId250" Type="http://schemas.openxmlformats.org/officeDocument/2006/relationships/hyperlink" Target="https://1drv.ms/b/c/94bd56ed68f00427/IQBQSg39IIWhTaDhxYxUoOikAZpM7lIO-g3QqaniZC4RRp8?e=ZTT9qN" TargetMode="External"/><Relationship Id="rId488" Type="http://schemas.openxmlformats.org/officeDocument/2006/relationships/hyperlink" Target="mailto:udoka.adegor@pzcussons.com" TargetMode="External"/><Relationship Id="rId695" Type="http://schemas.openxmlformats.org/officeDocument/2006/relationships/hyperlink" Target="mailto:dami.ogunnowo@codixgroup.com;info@codixgroup.com" TargetMode="External"/><Relationship Id="rId709" Type="http://schemas.openxmlformats.org/officeDocument/2006/relationships/hyperlink" Target="mailto:destmawellness@gmail.com" TargetMode="External"/><Relationship Id="rId916" Type="http://schemas.openxmlformats.org/officeDocument/2006/relationships/hyperlink" Target="mailto:nguavese.saror@novartis.com" TargetMode="External"/><Relationship Id="rId1101" Type="http://schemas.openxmlformats.org/officeDocument/2006/relationships/hyperlink" Target="mailto:dare.ojo@esrnl.com" TargetMode="External"/><Relationship Id="rId1546" Type="http://schemas.openxmlformats.org/officeDocument/2006/relationships/hyperlink" Target="https://1drv.ms/b/c/94bd56ed68f00427/IQD0tfbcPcLDTZ6TxJAgJxYlASReJ3YmkcJvLt8xpJMkjDU?e=nW891d" TargetMode="External"/><Relationship Id="rId45" Type="http://schemas.openxmlformats.org/officeDocument/2006/relationships/hyperlink" Target="https://1drv.ms/b/c/94bd56ed68f00427/IQAxyEkKzwZISKeT4XlOzg8JAQSJNP-hR7JF3WKuTNEoadI?e=k1jdG1" TargetMode="External"/><Relationship Id="rId110" Type="http://schemas.openxmlformats.org/officeDocument/2006/relationships/hyperlink" Target="https://1drv.ms/b/c/94bd56ed68f00427/IQAWATI2BQrdSrAnYIIBjrHyAWbVWJnefcpDefv0kSamyZ0?e=gwC0ah" TargetMode="External"/><Relationship Id="rId348" Type="http://schemas.openxmlformats.org/officeDocument/2006/relationships/hyperlink" Target="https://1drv.ms/b/c/94bd56ed68f00427/IQCnKbhai1O-TKUKel0znbhQAQrUl9OSBKPGTBW8QR41iqc?e=FcxqYQ" TargetMode="External"/><Relationship Id="rId555" Type="http://schemas.openxmlformats.org/officeDocument/2006/relationships/hyperlink" Target="mailto:aspira.cosmetics@aspirang.com" TargetMode="External"/><Relationship Id="rId762" Type="http://schemas.openxmlformats.org/officeDocument/2006/relationships/hyperlink" Target="mailto:biofem@biofemgroup.com" TargetMode="External"/><Relationship Id="rId1185" Type="http://schemas.openxmlformats.org/officeDocument/2006/relationships/hyperlink" Target="mailto:pzindustries@pzcussons.com;udoka.adegor@pzcussons.com" TargetMode="External"/><Relationship Id="rId1392" Type="http://schemas.openxmlformats.org/officeDocument/2006/relationships/hyperlink" Target="mailto:osaretin.jaiyeola@fensyl.com" TargetMode="External"/><Relationship Id="rId1406" Type="http://schemas.openxmlformats.org/officeDocument/2006/relationships/hyperlink" Target="mailto:osaretin.jaiyeola@fensyl.com" TargetMode="External"/><Relationship Id="rId194" Type="http://schemas.openxmlformats.org/officeDocument/2006/relationships/hyperlink" Target="https://1drv.ms/b/c/94bd56ed68f00427/IQBwMBy7GbPCQIbQ2yn0RLG-AWnVQhGNoCqqQ5blSqH0-fg?e=DAXR0f" TargetMode="External"/><Relationship Id="rId208" Type="http://schemas.openxmlformats.org/officeDocument/2006/relationships/hyperlink" Target="https://1drv.ms/b/c/94bd56ed68f00427/IQDt0jPYrXGUQpmzE7vohaLYAaNK7Z70UIwqrev9gBxoEKI?e=M5qCvr" TargetMode="External"/><Relationship Id="rId415" Type="http://schemas.openxmlformats.org/officeDocument/2006/relationships/hyperlink" Target="mailto:reals@realsgroup.com" TargetMode="External"/><Relationship Id="rId622" Type="http://schemas.openxmlformats.org/officeDocument/2006/relationships/hyperlink" Target="https://1drv.ms/b/c/94bd56ed68f00427/IQCcSBrSoVWpToAlZMluSS3DAUyOnAl9fA2ImZMd9M8zFkw?e=Tc9osV" TargetMode="External"/><Relationship Id="rId1045" Type="http://schemas.openxmlformats.org/officeDocument/2006/relationships/hyperlink" Target="mailto:swipha@swiphanigeria.com" TargetMode="External"/><Relationship Id="rId1252" Type="http://schemas.openxmlformats.org/officeDocument/2006/relationships/hyperlink" Target="mailto:phppharma@yahoo.com" TargetMode="External"/><Relationship Id="rId261" Type="http://schemas.openxmlformats.org/officeDocument/2006/relationships/hyperlink" Target="https://1drv.ms/b/c/94bd56ed68f00427/IQCLO565ixU9R4nYJ-xkxW1MAdHEFk59zKRUgZB4QtuiWXw?e=J5oJzU" TargetMode="External"/><Relationship Id="rId499" Type="http://schemas.openxmlformats.org/officeDocument/2006/relationships/hyperlink" Target="https://1drv.ms/b/c/94bd56ed68f00427/IQAI8VNjuHrXSYr6KUg2XvKxAbJewvtI2DUSTxhgb5WF0fQ?e=gPdD6T" TargetMode="External"/><Relationship Id="rId927" Type="http://schemas.openxmlformats.org/officeDocument/2006/relationships/hyperlink" Target="mailto:Nivea.Nigeria3@Beiersdorf.com" TargetMode="External"/><Relationship Id="rId1112" Type="http://schemas.openxmlformats.org/officeDocument/2006/relationships/hyperlink" Target="https://1drv.ms/b/c/94bd56ed68f00427/IQDX5G3lGQzESYl_Ufm3ok0DAXvI5DCXt5riE4_s9GzqTYQ?e=cpIY0q" TargetMode="External"/><Relationship Id="rId1557" Type="http://schemas.openxmlformats.org/officeDocument/2006/relationships/hyperlink" Target="https://1drv.ms/b/c/94bd56ed68f00427/IQAkRMGgu6ZoSqN99HlHjbq6AcTtdNZJEzOJt9GHuS_ngCw?e=u3ldC1" TargetMode="External"/><Relationship Id="rId56" Type="http://schemas.openxmlformats.org/officeDocument/2006/relationships/hyperlink" Target="https://1drv.ms/b/c/94bd56ed68f00427/IQDuBQYl_GJERrlVkZoEsfR2ASdGNtuni1pLGf4_YFpd_Lk?e=X5via8" TargetMode="External"/><Relationship Id="rId359" Type="http://schemas.openxmlformats.org/officeDocument/2006/relationships/hyperlink" Target="mailto:uzo.amatokwu@reckitt.com" TargetMode="External"/><Relationship Id="rId566" Type="http://schemas.openxmlformats.org/officeDocument/2006/relationships/hyperlink" Target="mailto:taiwo.oteju@beiersdorf.com" TargetMode="External"/><Relationship Id="rId773" Type="http://schemas.openxmlformats.org/officeDocument/2006/relationships/hyperlink" Target="https://1drv.ms/b/c/94bd56ed68f00427/IQCk7cZSbAPEQZ0QTI4scHxbAavndkRuPr4TQrnaFFlPLjE?e=mzam4W" TargetMode="External"/><Relationship Id="rId1196" Type="http://schemas.openxmlformats.org/officeDocument/2006/relationships/hyperlink" Target="https://1drv.ms/b/c/94bd56ed68f00427/IQDCJxt2po3fQ7ayd1mH346vAV0-JZSC738WOqI91O4Q1_Y?e=a6Fsp6" TargetMode="External"/><Relationship Id="rId1417" Type="http://schemas.openxmlformats.org/officeDocument/2006/relationships/hyperlink" Target="https://1drv.ms/b/c/94bd56ed68f00427/IQAuMElbQCNKTI70jVfvKMA0ATk0esSy1-BwBMmS_CVKRn0?e=7nFrnU" TargetMode="External"/><Relationship Id="rId121" Type="http://schemas.openxmlformats.org/officeDocument/2006/relationships/hyperlink" Target="https://1drv.ms/b/c/94bd56ed68f00427/IQAZMpLmC1JnSJYgwJmSxME9AWmNOGa4O4dvZLO6ITCCKBI?e=Ly4hAA" TargetMode="External"/><Relationship Id="rId219" Type="http://schemas.openxmlformats.org/officeDocument/2006/relationships/hyperlink" Target="https://1drv.ms/b/c/94bd56ed68f00427/IQDAzdcBZi7gS4mXfQL5jP0ZAQpkznmVgg92ucxfG1IOxXs?e=H7ZI2d" TargetMode="External"/><Relationship Id="rId426" Type="http://schemas.openxmlformats.org/officeDocument/2006/relationships/hyperlink" Target="https://1drv.ms/b/c/94bd56ed68f00427/IQDRSe2MaP0pTIWeTOWt-USDAY_PHzn0VruhYZ-xVWCr7l0?e=z1P5Cq" TargetMode="External"/><Relationship Id="rId633" Type="http://schemas.openxmlformats.org/officeDocument/2006/relationships/hyperlink" Target="mailto:destmawellness@gmail.com" TargetMode="External"/><Relationship Id="rId980" Type="http://schemas.openxmlformats.org/officeDocument/2006/relationships/hyperlink" Target="mailto:info@pharmadekoplc.com" TargetMode="External"/><Relationship Id="rId1056" Type="http://schemas.openxmlformats.org/officeDocument/2006/relationships/hyperlink" Target="https://1drv.ms/b/c/94bd56ed68f00427/IQBFudoV3nRIRplZ4qx_5KJqAYQoFKcOYxpXKDqAaGUeYcc?e=L0MVRW" TargetMode="External"/><Relationship Id="rId1263" Type="http://schemas.openxmlformats.org/officeDocument/2006/relationships/hyperlink" Target="https://1drv.ms/b/c/94bd56ed68f00427/IQCb77MVezR-TK6OgE3pGD2vAdt-BSmhQ8f3DDd475HeEC4?e=hnbjXs" TargetMode="External"/><Relationship Id="rId840" Type="http://schemas.openxmlformats.org/officeDocument/2006/relationships/hyperlink" Target="https://1drv.ms/b/c/94bd56ed68f00427/IQCVpF6p6yYcQptp2thQfZKsAe5RWh9CUUIwsvWcJrHMYLM?e=MgL9m8" TargetMode="External"/><Relationship Id="rId938" Type="http://schemas.openxmlformats.org/officeDocument/2006/relationships/hyperlink" Target="mailto:info.africa@stridesarco.com" TargetMode="External"/><Relationship Id="rId1470" Type="http://schemas.openxmlformats.org/officeDocument/2006/relationships/hyperlink" Target="mailto:oscarmacaulay@yahoo.com" TargetMode="External"/><Relationship Id="rId1568" Type="http://schemas.openxmlformats.org/officeDocument/2006/relationships/hyperlink" Target="https://1drv.ms/b/c/94bd56ed68f00427/IQBIZLYZiCu7QLxhikexGJPTAb1uI0GnfktGnPjfGwj0P_E?e=6JevwT" TargetMode="External"/><Relationship Id="rId67" Type="http://schemas.openxmlformats.org/officeDocument/2006/relationships/hyperlink" Target="https://1drv.ms/b/c/94bd56ed68f00427/IQBifZfiSp36SYztyGvZWM-tAR-3P5s5JNEP1_LUPaq2ICY?e=kkaOZb" TargetMode="External"/><Relationship Id="rId272" Type="http://schemas.openxmlformats.org/officeDocument/2006/relationships/hyperlink" Target="https://1drv.ms/b/c/94bd56ed68f00427/IQBQBOEJzCkYQ5K8dzv1HjjMAY8dbMOU1JbQCOPIT50DMF0?e=4P4bCy" TargetMode="External"/><Relationship Id="rId577" Type="http://schemas.openxmlformats.org/officeDocument/2006/relationships/hyperlink" Target="mailto:info@helloproductsafrica.com" TargetMode="External"/><Relationship Id="rId700" Type="http://schemas.openxmlformats.org/officeDocument/2006/relationships/hyperlink" Target="mailto:stephenez@yahoo.com" TargetMode="External"/><Relationship Id="rId1123" Type="http://schemas.openxmlformats.org/officeDocument/2006/relationships/hyperlink" Target="https://1drv.ms/b/c/94bd56ed68f00427/IQC9j0aBi2WMRr2vN83Iva3dAZLc4NKtcmcGqiZ6dasZBTY?e=qWNmpY" TargetMode="External"/><Relationship Id="rId1330" Type="http://schemas.openxmlformats.org/officeDocument/2006/relationships/hyperlink" Target="mailto:osaretin.jaiyeola@fensyl.com" TargetMode="External"/><Relationship Id="rId1428" Type="http://schemas.openxmlformats.org/officeDocument/2006/relationships/hyperlink" Target="https://1drv.ms/b/c/94bd56ed68f00427/IQCHnmftYrNEQ7UIxFCNq7yKAY0TgB32PE8qDmSFMwGZ5S0?e=sbSlas" TargetMode="External"/><Relationship Id="rId132" Type="http://schemas.openxmlformats.org/officeDocument/2006/relationships/hyperlink" Target="https://1drv.ms/b/c/94bd56ed68f00427/IQBap-wfJFSpQ4GTvIFaiL9FAZ_2RI90Xhg1Gd2v0aHUxyE?e=HP7xLh" TargetMode="External"/><Relationship Id="rId784" Type="http://schemas.openxmlformats.org/officeDocument/2006/relationships/hyperlink" Target="https://1drv.ms/b/c/94bd56ed68f00427/IQDkzJ-4hI8XSaOquHIWvsk_Ab3Reo82C4H7BZ0x8ytmYBk?e=4Vrdu9" TargetMode="External"/><Relationship Id="rId991" Type="http://schemas.openxmlformats.org/officeDocument/2006/relationships/hyperlink" Target="https://1drv.ms/b/c/94bd56ed68f00427/IQBoqfMYPMBfTJulhhor6Df5ARf6YSMsBkrlaOm1K_vKpO0?e=4YVj31" TargetMode="External"/><Relationship Id="rId1067" Type="http://schemas.openxmlformats.org/officeDocument/2006/relationships/hyperlink" Target="https://1drv.ms/b/c/94bd56ed68f00427/IQBFudoV3nRIRplZ4qx_5KJqAYQoFKcOYxpXKDqAaGUeYcc?e=L0MVRW" TargetMode="External"/><Relationship Id="rId437" Type="http://schemas.openxmlformats.org/officeDocument/2006/relationships/hyperlink" Target="mailto:kchconsumer@gmail.com" TargetMode="External"/><Relationship Id="rId644" Type="http://schemas.openxmlformats.org/officeDocument/2006/relationships/hyperlink" Target="https://1drv.ms/b/c/94bd56ed68f00427/IQCiHcIkEKxFSKNZnhvrBmsKASxP5xF2b9RrWtSdNoW7nHU?e=9yaNAK" TargetMode="External"/><Relationship Id="rId851" Type="http://schemas.openxmlformats.org/officeDocument/2006/relationships/hyperlink" Target="mailto:info@helloproductsafrica.com" TargetMode="External"/><Relationship Id="rId1274" Type="http://schemas.openxmlformats.org/officeDocument/2006/relationships/hyperlink" Target="mailto:phppharma@yahoo.com" TargetMode="External"/><Relationship Id="rId1481" Type="http://schemas.openxmlformats.org/officeDocument/2006/relationships/hyperlink" Target="mailto:registration@aspirang.com" TargetMode="External"/><Relationship Id="rId1579" Type="http://schemas.openxmlformats.org/officeDocument/2006/relationships/hyperlink" Target="https://1drv.ms/b/c/94bd56ed68f00427/IQDDGli24ugfRJ4aKYYogK1cAdw3ybbgM4Td329bsl5xVH0?e=avk5AD" TargetMode="External"/><Relationship Id="rId283" Type="http://schemas.openxmlformats.org/officeDocument/2006/relationships/hyperlink" Target="https://1drv.ms/b/c/94bd56ed68f00427/IQCf-lwye3pMRYOUij8w7lRsAcyBn9bT8SyP-IuSV6GxCWA?e=gSTNNq" TargetMode="External"/><Relationship Id="rId490" Type="http://schemas.openxmlformats.org/officeDocument/2006/relationships/hyperlink" Target="mailto:udoka.adegor@pzcussons.com" TargetMode="External"/><Relationship Id="rId504" Type="http://schemas.openxmlformats.org/officeDocument/2006/relationships/hyperlink" Target="https://1drv.ms/b/c/94bd56ed68f00427/IQBYHNn3ecigRI-xS3hZ65HaAcdJJ3tRRwHk6Pu_xA4M4p0?e=5gkKdV" TargetMode="External"/><Relationship Id="rId711" Type="http://schemas.openxmlformats.org/officeDocument/2006/relationships/hyperlink" Target="mailto:sefihait.kone@bayer.com" TargetMode="External"/><Relationship Id="rId949" Type="http://schemas.openxmlformats.org/officeDocument/2006/relationships/hyperlink" Target="mailto:purnanigeria@purnanigeria.com" TargetMode="External"/><Relationship Id="rId1134" Type="http://schemas.openxmlformats.org/officeDocument/2006/relationships/hyperlink" Target="https://1drv.ms/b/c/94bd56ed68f00427/IQBfG8j1vaYCR6j9e0LHnmt8AYQbdu90R5QZS1YUpCRulWQ?e=1Rzeer" TargetMode="External"/><Relationship Id="rId1341" Type="http://schemas.openxmlformats.org/officeDocument/2006/relationships/hyperlink" Target="https://1drv.ms/b/c/94bd56ed68f00427/IQCEkbefiXcSQ7It_VyF8MK9Ada66shiI_BznkFI2jIHM1k?e=d9zUj7" TargetMode="External"/><Relationship Id="rId78" Type="http://schemas.openxmlformats.org/officeDocument/2006/relationships/hyperlink" Target="https://1drv.ms/b/c/94bd56ed68f00427/IQCc_RdcKp6TSL6KXelIjOl4Aay2PgKcZsnLY_gGxQRLy1w?e=31ulIy" TargetMode="External"/><Relationship Id="rId143" Type="http://schemas.openxmlformats.org/officeDocument/2006/relationships/hyperlink" Target="https://1drv.ms/b/c/94bd56ed68f00427/IQAFJMn0KercTLr-2PQ5gMExAbxCHPFDWdDb-Hl7qUWQ1Rc?e=9a45Rd" TargetMode="External"/><Relationship Id="rId350" Type="http://schemas.openxmlformats.org/officeDocument/2006/relationships/hyperlink" Target="https://1drv.ms/b/c/94bd56ed68f00427/IQCZ1bQIrDT2SKtvskPCz8LtAQCxLKkS99rcE0C_AuxU1NE?e=7KNn89" TargetMode="External"/><Relationship Id="rId588" Type="http://schemas.openxmlformats.org/officeDocument/2006/relationships/hyperlink" Target="mailto:swipha@swiphanigeria.com" TargetMode="External"/><Relationship Id="rId795" Type="http://schemas.openxmlformats.org/officeDocument/2006/relationships/hyperlink" Target="https://1drv.ms/b/c/94bd56ed68f00427/IQA15cylw2YqSogVsSl_w2t4AXBzDHZOe1gVTigRKxLUAjo?e=lPHXrW" TargetMode="External"/><Relationship Id="rId809" Type="http://schemas.openxmlformats.org/officeDocument/2006/relationships/hyperlink" Target="https://1drv.ms/b/c/94bd56ed68f00427/IQDrz1Z63TVsTaidy8jIGcBzAcexM5-QHQS1usLpE3K3uKA?e=P8BEFy" TargetMode="External"/><Relationship Id="rId1201" Type="http://schemas.openxmlformats.org/officeDocument/2006/relationships/hyperlink" Target="mailto:pzindustries@pzcussons.com;udoka.adegor@pzcussons.com" TargetMode="External"/><Relationship Id="rId1439" Type="http://schemas.openxmlformats.org/officeDocument/2006/relationships/hyperlink" Target="https://1drv.ms/b/c/94bd56ed68f00427/IQDRJMTwDTw-QLE8wo4MrtpqAR00LOYPy_V5VHSUPn1WfR8?e=90HuKb" TargetMode="External"/><Relationship Id="rId9" Type="http://schemas.openxmlformats.org/officeDocument/2006/relationships/hyperlink" Target="https://1drv.ms/b/c/94bd56ed68f00427/IQB6W6rLZUZlSbEuprAhzXZJAaqSed5sVaexAwMpiJ12OTs?e=sClBTZ" TargetMode="External"/><Relationship Id="rId210" Type="http://schemas.openxmlformats.org/officeDocument/2006/relationships/hyperlink" Target="https://1drv.ms/b/c/94bd56ed68f00427/IQA7I6e-sxucS7QxQUVdFgtUAddTcohdt3HaP7UKqBoLUWM?e=7t4612" TargetMode="External"/><Relationship Id="rId448" Type="http://schemas.openxmlformats.org/officeDocument/2006/relationships/hyperlink" Target="mailto:info@phillipsnigeria.com" TargetMode="External"/><Relationship Id="rId655" Type="http://schemas.openxmlformats.org/officeDocument/2006/relationships/hyperlink" Target="mailto:Rosanna.Iwuala@sunpharma.com" TargetMode="External"/><Relationship Id="rId862" Type="http://schemas.openxmlformats.org/officeDocument/2006/relationships/hyperlink" Target="https://1drv.ms/b/c/94bd56ed68f00427/IQCPj7_WaCQhSbUnasXX5qmaASpFmQyEfxseoNGoHmzr00A?e=ILmB78" TargetMode="External"/><Relationship Id="rId1078" Type="http://schemas.openxmlformats.org/officeDocument/2006/relationships/hyperlink" Target="mailto:swipha@swiphanigeria.com" TargetMode="External"/><Relationship Id="rId1285" Type="http://schemas.openxmlformats.org/officeDocument/2006/relationships/hyperlink" Target="mailto:info@may-baker.com" TargetMode="External"/><Relationship Id="rId1492" Type="http://schemas.openxmlformats.org/officeDocument/2006/relationships/hyperlink" Target="https://1drv.ms/b/c/94bd56ed68f00427/IQCGD2B2BZwES5e3Eby7XOmDAYqtZyicrCr6diGeYxG3eM4?e=7rthih" TargetMode="External"/><Relationship Id="rId1506" Type="http://schemas.openxmlformats.org/officeDocument/2006/relationships/hyperlink" Target="https://1drv.ms/b/c/94bd56ed68f00427/IQD-xGbSVt3zTKiLYmRxf1CuAQvS0ptuiY_dznQ0c-6udBg?e=zuQl3H" TargetMode="External"/><Relationship Id="rId294" Type="http://schemas.openxmlformats.org/officeDocument/2006/relationships/hyperlink" Target="https://1drv.ms/b/c/94bd56ed68f00427/IQCiCt0fv_9ATpJUURnrrNgCAbvXgxpySN2EwtTaGyHz088?e=OHlVX6" TargetMode="External"/><Relationship Id="rId308" Type="http://schemas.openxmlformats.org/officeDocument/2006/relationships/hyperlink" Target="https://1drv.ms/b/c/94bd56ed68f00427/IQDN5qjgIEi2Sq09Gsu-KPSWAWiYXy1l4zfp2Amh3ms4IZ0?e=pGh2su" TargetMode="External"/><Relationship Id="rId515" Type="http://schemas.openxmlformats.org/officeDocument/2006/relationships/hyperlink" Target="mailto:info@may-baker.com" TargetMode="External"/><Relationship Id="rId722" Type="http://schemas.openxmlformats.org/officeDocument/2006/relationships/hyperlink" Target="mailto:rosanna.iwuala@sunpharma.com" TargetMode="External"/><Relationship Id="rId1145" Type="http://schemas.openxmlformats.org/officeDocument/2006/relationships/hyperlink" Target="https://1drv.ms/b/c/94bd56ed68f00427/IQBK119An2P9SL3f2jOvONUSAU84Iwd8E5nfYoRFKkA2Uxc?e=oeoY2F" TargetMode="External"/><Relationship Id="rId1352" Type="http://schemas.openxmlformats.org/officeDocument/2006/relationships/hyperlink" Target="mailto:stephenez@yahoo.com" TargetMode="External"/><Relationship Id="rId89" Type="http://schemas.openxmlformats.org/officeDocument/2006/relationships/hyperlink" Target="https://1drv.ms/b/c/94bd56ed68f00427/IQBWibWdIP2qQKCeGkyxdqWlAbaMFSvFEoapzS1AndW2TQg?e=vLmdtW" TargetMode="External"/><Relationship Id="rId154" Type="http://schemas.openxmlformats.org/officeDocument/2006/relationships/hyperlink" Target="https://1drv.ms/b/c/94bd56ed68f00427/IQDbTEISmiKzQ5DyZkBOZVMEAbvxX1nHqoPU_2DslfnMcB4?e=7IrGsA" TargetMode="External"/><Relationship Id="rId361" Type="http://schemas.openxmlformats.org/officeDocument/2006/relationships/hyperlink" Target="https://1drv.ms/b/c/94bd56ed68f00427/IQDmPA6whq_XSbjP74fsDKAuAe5wDJJidmIHY4_ufXoL4_4?e=fZuIwE" TargetMode="External"/><Relationship Id="rId599" Type="http://schemas.openxmlformats.org/officeDocument/2006/relationships/hyperlink" Target="https://1drv.ms/b/c/94bd56ed68f00427/IQCi3iI_XGrUS6fMXErw4t6YASlqxbaDa4XQ3SIQqAfE1XE?e=jB33Qb" TargetMode="External"/><Relationship Id="rId1005" Type="http://schemas.openxmlformats.org/officeDocument/2006/relationships/hyperlink" Target="https://1drv.ms/b/c/94bd56ed68f00427/IQCdsHOj18IWS4crNNzS5TuFAfkRWd75aY_p3rJw7utUkr8?e=6A8d83" TargetMode="External"/><Relationship Id="rId1212" Type="http://schemas.openxmlformats.org/officeDocument/2006/relationships/hyperlink" Target="mailto:info.nigeria@sunpharma.com;rosanna.iwuala@sunpharma.com" TargetMode="External"/><Relationship Id="rId459" Type="http://schemas.openxmlformats.org/officeDocument/2006/relationships/hyperlink" Target="mailto:kchconsumer@gmail.com" TargetMode="External"/><Relationship Id="rId666" Type="http://schemas.openxmlformats.org/officeDocument/2006/relationships/hyperlink" Target="mailto:uzo.amatokwu@reckitt.com" TargetMode="External"/><Relationship Id="rId873" Type="http://schemas.openxmlformats.org/officeDocument/2006/relationships/hyperlink" Target="mailto:osworthnigeria@yahoo.com" TargetMode="External"/><Relationship Id="rId1089" Type="http://schemas.openxmlformats.org/officeDocument/2006/relationships/hyperlink" Target="mailto:janisnutrition@gmail.com" TargetMode="External"/><Relationship Id="rId1296" Type="http://schemas.openxmlformats.org/officeDocument/2006/relationships/hyperlink" Target="mailto:shalina.regulatory@yahoo.com" TargetMode="External"/><Relationship Id="rId1517" Type="http://schemas.openxmlformats.org/officeDocument/2006/relationships/hyperlink" Target="https://1drv.ms/b/c/94bd56ed68f00427/IQBy5biDRajYRLt4Tc34sULHAQt_tK90BKMtb5GtYlBFLzk?e=Pb6nqG" TargetMode="External"/><Relationship Id="rId16" Type="http://schemas.openxmlformats.org/officeDocument/2006/relationships/hyperlink" Target="https://nafdacng-my.sharepoint.com/:b:/g/personal/adekunle_adeniran_nafdac_gov_ng/IQDeOYWxCh3EQIXfgvWJVaVLAX7TqbtquEhcVtI47NjPBAY?e=IdypC7" TargetMode="External"/><Relationship Id="rId221" Type="http://schemas.openxmlformats.org/officeDocument/2006/relationships/hyperlink" Target="https://1drv.ms/b/c/94bd56ed68f00427/IQBML6YeCFXsRoS2Des1q07CAU0t2oeXYIRHHIKJuoik8NM?e=mBKHCX" TargetMode="External"/><Relationship Id="rId319" Type="http://schemas.openxmlformats.org/officeDocument/2006/relationships/hyperlink" Target="https://1drv.ms/b/c/94bd56ed68f00427/IQAjb_h_S3WXQqOnxzLfVRqcASWEEjF2SU8MCpfQkBDi3yo?e=fpasjw" TargetMode="External"/><Relationship Id="rId526" Type="http://schemas.openxmlformats.org/officeDocument/2006/relationships/hyperlink" Target="https://1drv.ms/b/c/94bd56ed68f00427/IQBzAJ1yd6o8QaVqQbPY7J-xASIMm2hN6wssmIi9pQzZNq0?e=EkAsc6" TargetMode="External"/><Relationship Id="rId1156" Type="http://schemas.openxmlformats.org/officeDocument/2006/relationships/hyperlink" Target="https://1drv.ms/b/c/94bd56ed68f00427/IQAwSBnVPeo7T45wDMoLO1DoATvAzwM-i5IhCkvoPxJgZaU?e=L8wIy1" TargetMode="External"/><Relationship Id="rId1363" Type="http://schemas.openxmlformats.org/officeDocument/2006/relationships/hyperlink" Target="mailto:info@nalispharma.com" TargetMode="External"/><Relationship Id="rId733" Type="http://schemas.openxmlformats.org/officeDocument/2006/relationships/hyperlink" Target="mailto:info@fidson.com" TargetMode="External"/><Relationship Id="rId940" Type="http://schemas.openxmlformats.org/officeDocument/2006/relationships/hyperlink" Target="mailto:saroagrosciences@saroafrica.com" TargetMode="External"/><Relationship Id="rId1016" Type="http://schemas.openxmlformats.org/officeDocument/2006/relationships/hyperlink" Target="https://1drv.ms/b/c/94bd56ed68f00427/IQDHa0eTVJjyRZv7HM_xkF0BARDsyQAF_TKGSy4FtjBKzac?e=DJjlLX" TargetMode="External"/><Relationship Id="rId1570" Type="http://schemas.openxmlformats.org/officeDocument/2006/relationships/hyperlink" Target="https://1drv.ms/b/c/94bd56ed68f00427/IQBIZLYZiCu7QLxhikexGJPTAb1uI0GnfktGnPjfGwj0P_E?e=6JevwT" TargetMode="External"/><Relationship Id="rId165" Type="http://schemas.openxmlformats.org/officeDocument/2006/relationships/hyperlink" Target="https://1drv.ms/b/c/94bd56ed68f00427/IQCALp3j2dQtR7GyjaHXfGXTAZn8jNLX473qb7bDs8XVyY0?e=L9Hh9A" TargetMode="External"/><Relationship Id="rId372" Type="http://schemas.openxmlformats.org/officeDocument/2006/relationships/hyperlink" Target="https://1drv.ms/b/c/94bd56ed68f00427/IQCwBBDJdzwRSZ_tIXkBNRzjATZTFkkmndXeIz5PNmw5ZnE?e=HTegT7" TargetMode="External"/><Relationship Id="rId677" Type="http://schemas.openxmlformats.org/officeDocument/2006/relationships/hyperlink" Target="mailto:osaretin.jaiyeola@fensyl.com" TargetMode="External"/><Relationship Id="rId800" Type="http://schemas.openxmlformats.org/officeDocument/2006/relationships/hyperlink" Target="https://1drv.ms/b/c/94bd56ed68f00427/IQC6MhXI0zc8SYs7O8NP--rEAadxeb4VGXsTPaNUL-Fl6to?e=oOnBrU" TargetMode="External"/><Relationship Id="rId1223" Type="http://schemas.openxmlformats.org/officeDocument/2006/relationships/hyperlink" Target="https://1drv.ms/b/c/94bd56ed68f00427/IQBuVz9mpQjRSoYc5mb_KEZ9Af_wZk4PpSWNvZlWeppo58U?e=lbjMuJ" TargetMode="External"/><Relationship Id="rId1430" Type="http://schemas.openxmlformats.org/officeDocument/2006/relationships/hyperlink" Target="mailto:lyn-edgepharm@yahoo.com" TargetMode="External"/><Relationship Id="rId1528" Type="http://schemas.openxmlformats.org/officeDocument/2006/relationships/hyperlink" Target="https://1drv.ms/b/c/94bd56ed68f00427/IQBUmo6htN0gRKoj967OoW7NAe9l33wvVnqzxeELE-I24Gk?e=EzI726" TargetMode="External"/><Relationship Id="rId232" Type="http://schemas.openxmlformats.org/officeDocument/2006/relationships/hyperlink" Target="https://1drv.ms/b/c/94bd56ed68f00427/IQBLfNK0sliHTIDd-ig-tKv2AV8Fqt-Cu94zoZsgw3a7coo?e=zbeqBy" TargetMode="External"/><Relationship Id="rId884" Type="http://schemas.openxmlformats.org/officeDocument/2006/relationships/hyperlink" Target="mailto:Nivea.Nigeria3@Beiersdorf.com" TargetMode="External"/><Relationship Id="rId27" Type="http://schemas.openxmlformats.org/officeDocument/2006/relationships/hyperlink" Target="https://1drv.ms/b/c/94bd56ed68f00427/IQDa9z8BaW6cRI4HlMf2uPT6AYzbsp25UEJLv0RMtXg8-0s?e=fai0Sq" TargetMode="External"/><Relationship Id="rId537" Type="http://schemas.openxmlformats.org/officeDocument/2006/relationships/hyperlink" Target="mailto:grace.iyiola@godrejcp.com" TargetMode="External"/><Relationship Id="rId744" Type="http://schemas.openxmlformats.org/officeDocument/2006/relationships/hyperlink" Target="mailto:info@geneithpharm.com" TargetMode="External"/><Relationship Id="rId951" Type="http://schemas.openxmlformats.org/officeDocument/2006/relationships/hyperlink" Target="mailto:osaretin.jaiyeoya@fensyi.com" TargetMode="External"/><Relationship Id="rId1167" Type="http://schemas.openxmlformats.org/officeDocument/2006/relationships/hyperlink" Target="mailto:Rosanna.Iwuala@sunpharma.com" TargetMode="External"/><Relationship Id="rId1374" Type="http://schemas.openxmlformats.org/officeDocument/2006/relationships/hyperlink" Target="https://1drv.ms/b/c/94bd56ed68f00427/IQDyvGUpnDHsR7IBbg_xP5Q0ARkezw4Svcais0yZA1-ZPpI?e=faNvxz" TargetMode="External"/><Relationship Id="rId1581" Type="http://schemas.openxmlformats.org/officeDocument/2006/relationships/hyperlink" Target="https://1drv.ms/b/c/94bd56ed68f00427/IQDDGli24ugfRJ4aKYYogK1cAdw3ybbgM4Td329bsl5xVH0?e=avk5AD" TargetMode="External"/><Relationship Id="rId80" Type="http://schemas.openxmlformats.org/officeDocument/2006/relationships/hyperlink" Target="https://1drv.ms/b/c/94bd56ed68f00427/IQD2p3pXr82rTJ_yUF2b2uouAa3x815_8n_l-je1a7Xw3GQ?e=r4hcZj" TargetMode="External"/><Relationship Id="rId176" Type="http://schemas.openxmlformats.org/officeDocument/2006/relationships/hyperlink" Target="https://1drv.ms/b/c/94bd56ed68f00427/IQBuLMmcRYCoQIlPlMdOy61JAQYmqc9HBPwpmlCALJ5JtdQ?e=JjLdtc" TargetMode="External"/><Relationship Id="rId383" Type="http://schemas.openxmlformats.org/officeDocument/2006/relationships/hyperlink" Target="mailto:info@drugfieldpharma.com;olakunleekundayo@msn.com" TargetMode="External"/><Relationship Id="rId590" Type="http://schemas.openxmlformats.org/officeDocument/2006/relationships/hyperlink" Target="https://1drv.ms/b/c/94bd56ed68f00427/IQBTE-KLSRF4SbcVkMVvwr7nAWikt3wKDE-GUtiQkUNfo4U?e=ygOWEq" TargetMode="External"/><Relationship Id="rId604" Type="http://schemas.openxmlformats.org/officeDocument/2006/relationships/hyperlink" Target="mailto:info@afrabchem.com" TargetMode="External"/><Relationship Id="rId811" Type="http://schemas.openxmlformats.org/officeDocument/2006/relationships/hyperlink" Target="https://1drv.ms/b/c/94bd56ed68f00427/IQA_gZa3F_wWRIW76LiK_fRPAQ64r7EgC45WsFcTH7od5WQ?e=PpekoV" TargetMode="External"/><Relationship Id="rId1027" Type="http://schemas.openxmlformats.org/officeDocument/2006/relationships/hyperlink" Target="https://1drv.ms/b/c/94bd56ed68f00427/IQBFudoV3nRIRplZ4qx_5KJqAYQoFKcOYxpXKDqAaGUeYcc?e=L0MVRW" TargetMode="External"/><Relationship Id="rId1234" Type="http://schemas.openxmlformats.org/officeDocument/2006/relationships/hyperlink" Target="mailto:valuecarepro@yahoo.com" TargetMode="External"/><Relationship Id="rId1441" Type="http://schemas.openxmlformats.org/officeDocument/2006/relationships/hyperlink" Target="mailto:osaretin.jaiyeola@fensyl.com" TargetMode="External"/><Relationship Id="rId243" Type="http://schemas.openxmlformats.org/officeDocument/2006/relationships/hyperlink" Target="https://1drv.ms/b/c/94bd56ed68f00427/IQDBQlA6nSwLR655TVgRfA3zAZUt3HFjlU4-4h12UWEdVc0?e=2KovcA" TargetMode="External"/><Relationship Id="rId450" Type="http://schemas.openxmlformats.org/officeDocument/2006/relationships/hyperlink" Target="https://1drv.ms/b/c/94bd56ed68f00427/IQC9Rfz3U4D5Tp7su2yyWoUPASzNMVMTBKESyP917rEUF1c?e=FGZxDY" TargetMode="External"/><Relationship Id="rId688" Type="http://schemas.openxmlformats.org/officeDocument/2006/relationships/hyperlink" Target="mailto:order@vastovers.com" TargetMode="External"/><Relationship Id="rId895" Type="http://schemas.openxmlformats.org/officeDocument/2006/relationships/hyperlink" Target="mailto:mamaudacare@mamudagroup.it" TargetMode="External"/><Relationship Id="rId909" Type="http://schemas.openxmlformats.org/officeDocument/2006/relationships/hyperlink" Target="mailto:info@elbepharm.com" TargetMode="External"/><Relationship Id="rId1080" Type="http://schemas.openxmlformats.org/officeDocument/2006/relationships/hyperlink" Target="mailto:swipha@swiphanigeria.com" TargetMode="External"/><Relationship Id="rId1301" Type="http://schemas.openxmlformats.org/officeDocument/2006/relationships/hyperlink" Target="mailto:info@shalina.com" TargetMode="External"/><Relationship Id="rId1539" Type="http://schemas.openxmlformats.org/officeDocument/2006/relationships/hyperlink" Target="https://1drv.ms/b/c/94bd56ed68f00427/IQBE4s7lxvf7T5A8iN0bRNXHAbJry1Zm2wr1hHZaHO0JGMc?e=OFREd2" TargetMode="External"/><Relationship Id="rId38" Type="http://schemas.openxmlformats.org/officeDocument/2006/relationships/hyperlink" Target="https://1drv.ms/b/c/94bd56ed68f00427/IQDJ_6jzu-MMT5dlbnRgw7btAQBpWNcCnQ_V3QGGpUmX2cc?e=lVEmFh" TargetMode="External"/><Relationship Id="rId103" Type="http://schemas.openxmlformats.org/officeDocument/2006/relationships/hyperlink" Target="https://1drv.ms/b/c/94bd56ed68f00427/IQCHmt2K_RYlS6B8gaUtD1tCAb6_8FyjSqwMspZ0BWiMaCE?e=iJ3b45" TargetMode="External"/><Relationship Id="rId310" Type="http://schemas.openxmlformats.org/officeDocument/2006/relationships/hyperlink" Target="https://1drv.ms/b/c/94bd56ed68f00427/IQADeC1kG83CSo5kHLAP71QkAXDhumO5-rLsaywdlBqbTGY?e=OLz8qG" TargetMode="External"/><Relationship Id="rId548" Type="http://schemas.openxmlformats.org/officeDocument/2006/relationships/hyperlink" Target="mailto:aspira.cosmetics@aspirang.com" TargetMode="External"/><Relationship Id="rId755" Type="http://schemas.openxmlformats.org/officeDocument/2006/relationships/hyperlink" Target="mailto:grace.iyiola@godrejcp.com" TargetMode="External"/><Relationship Id="rId962" Type="http://schemas.openxmlformats.org/officeDocument/2006/relationships/hyperlink" Target="https://1drv.ms/b/c/94bd56ed68f00427/IQCXJu4gDDRoTZfuK9dqm60iAQsuh9IdVX3_F8Kj5D840sE?e=yqclLq" TargetMode="External"/><Relationship Id="rId1178" Type="http://schemas.openxmlformats.org/officeDocument/2006/relationships/hyperlink" Target="https://1drv.ms/b/c/94bd56ed68f00427/IQBvSkaAlWWPRKGXqKr-ZLffARAg3lQU6LiScgbuBe70qLk?e=he02Rt" TargetMode="External"/><Relationship Id="rId1385" Type="http://schemas.openxmlformats.org/officeDocument/2006/relationships/hyperlink" Target="mailto:customerservice@emzorpharma.com;chinelo@emzorpharma.com;info@emzorpharma.com" TargetMode="External"/><Relationship Id="rId1592" Type="http://schemas.openxmlformats.org/officeDocument/2006/relationships/hyperlink" Target="https://1drv.ms/i/c/94bd56ed68f00427/IQBj6ZHIq_YtR4oU6Hf30mVMASngxUPK9D2i7BkCu-THlMA?e=lWwlay" TargetMode="External"/><Relationship Id="rId1606" Type="http://schemas.openxmlformats.org/officeDocument/2006/relationships/hyperlink" Target="https://1drv.ms/i/c/94bd56ed68f00427/IQDxxdkMfZlfT7_x1araAzYoAe9n1ak77ei9O8sWoa8_CbI?e=EZZMDD" TargetMode="External"/><Relationship Id="rId91" Type="http://schemas.openxmlformats.org/officeDocument/2006/relationships/hyperlink" Target="https://1drv.ms/b/c/94bd56ed68f00427/IQBWibWdIP2qQKCeGkyxdqWlAbaMFSvFEoapzS1AndW2TQg?e=vLmdtW" TargetMode="External"/><Relationship Id="rId187" Type="http://schemas.openxmlformats.org/officeDocument/2006/relationships/hyperlink" Target="https://1drv.ms/b/c/94bd56ed68f00427/IQCG1h_oD2UzSYYdE3_vMzNUAee-oxsUti26X48uGOTSEIY?e=xGlDiY" TargetMode="External"/><Relationship Id="rId394" Type="http://schemas.openxmlformats.org/officeDocument/2006/relationships/hyperlink" Target="mailto:info@drugfieldpharma.com;olakunleekundayo@msn.com" TargetMode="External"/><Relationship Id="rId408" Type="http://schemas.openxmlformats.org/officeDocument/2006/relationships/hyperlink" Target="mailto:reals@realsgroup.com" TargetMode="External"/><Relationship Id="rId615" Type="http://schemas.openxmlformats.org/officeDocument/2006/relationships/hyperlink" Target="mailto:info@drugfieldpharma.com" TargetMode="External"/><Relationship Id="rId822" Type="http://schemas.openxmlformats.org/officeDocument/2006/relationships/hyperlink" Target="https://1drv.ms/b/c/94bd56ed68f00427/IQBNgMcutltMT42rSNOACso8AZKB2uiCB4jVEjCRBBl4NRg?e=rdfVdf" TargetMode="External"/><Relationship Id="rId1038" Type="http://schemas.openxmlformats.org/officeDocument/2006/relationships/hyperlink" Target="https://1drv.ms/b/c/94bd56ed68f00427/IQBFudoV3nRIRplZ4qx_5KJqAYQoFKcOYxpXKDqAaGUeYcc?e=L0MVRW" TargetMode="External"/><Relationship Id="rId1245" Type="http://schemas.openxmlformats.org/officeDocument/2006/relationships/hyperlink" Target="https://1drv.ms/b/c/94bd56ed68f00427/IQDX8yzUu_ItSbXhdng0YWHHAdrPqmE72d1K8UPnE35YH_w?e=9XDtlo" TargetMode="External"/><Relationship Id="rId1452" Type="http://schemas.openxmlformats.org/officeDocument/2006/relationships/hyperlink" Target="mailto:asgrowpharma@kunech.com" TargetMode="External"/><Relationship Id="rId254" Type="http://schemas.openxmlformats.org/officeDocument/2006/relationships/hyperlink" Target="https://1drv.ms/b/c/94bd56ed68f00427/IQBQSg39IIWhTaDhxYxUoOikAZpM7lIO-g3QqaniZC4RRp8?e=ZTT9qN" TargetMode="External"/><Relationship Id="rId699" Type="http://schemas.openxmlformats.org/officeDocument/2006/relationships/hyperlink" Target="mailto:pzindustries@pzcussons.com" TargetMode="External"/><Relationship Id="rId1091" Type="http://schemas.openxmlformats.org/officeDocument/2006/relationships/hyperlink" Target="mailto:janisnutrition@gmail.com" TargetMode="External"/><Relationship Id="rId1105" Type="http://schemas.openxmlformats.org/officeDocument/2006/relationships/hyperlink" Target="mailto:abisola.ayodele@pfizer.com" TargetMode="External"/><Relationship Id="rId1312" Type="http://schemas.openxmlformats.org/officeDocument/2006/relationships/hyperlink" Target="https://1drv.ms/b/c/94bd56ed68f00427/IQCB2NL4_4-fSoUinMhPoK-OARfkBGbN9QFQ7WnM20P6Ig4?e=FMuheY" TargetMode="External"/><Relationship Id="rId49" Type="http://schemas.openxmlformats.org/officeDocument/2006/relationships/hyperlink" Target="https://1drv.ms/b/c/94bd56ed68f00427/IQBGtCwVDxWDT4EHAN-wAqgpAVzKa8j6E7HmAjKaUcHPhFM?e=3vjsNj" TargetMode="External"/><Relationship Id="rId114" Type="http://schemas.openxmlformats.org/officeDocument/2006/relationships/hyperlink" Target="https://1drv.ms/b/c/94bd56ed68f00427/IQBdHarp-6imR5YDrRF9CjcoAVgxPQ7W3CYp8JqaKDKzvzI?e=3qD8xx" TargetMode="External"/><Relationship Id="rId461" Type="http://schemas.openxmlformats.org/officeDocument/2006/relationships/hyperlink" Target="mailto:therapeuticlab@yahoo.com" TargetMode="External"/><Relationship Id="rId559" Type="http://schemas.openxmlformats.org/officeDocument/2006/relationships/hyperlink" Target="mailto:udoka.adegor@pzcussons.com" TargetMode="External"/><Relationship Id="rId766" Type="http://schemas.openxmlformats.org/officeDocument/2006/relationships/hyperlink" Target="https://1drv.ms/b/c/94bd56ed68f00427/IQD9HVEdKUf3RYmitnt1BZuUAdNRwPkNJmhYc_iQGtTM9WE?e=rKl6Ea" TargetMode="External"/><Relationship Id="rId1189" Type="http://schemas.openxmlformats.org/officeDocument/2006/relationships/hyperlink" Target="https://1drv.ms/b/c/94bd56ed68f00427/IQAR_RCIvY7DRaOHGM8NQ7bQASoYgryPOvi5Rj61ZYVpVKs?e=Fu0y06" TargetMode="External"/><Relationship Id="rId1396" Type="http://schemas.openxmlformats.org/officeDocument/2006/relationships/hyperlink" Target="mailto:info@imperiocosmetics.com" TargetMode="External"/><Relationship Id="rId198" Type="http://schemas.openxmlformats.org/officeDocument/2006/relationships/hyperlink" Target="https://1drv.ms/b/c/94bd56ed68f00427/IQCOMAK8lWe2QrQKubs1G9GvAbpgecnP_sr8Iug83YptTpQ?e=F8lcrM" TargetMode="External"/><Relationship Id="rId321" Type="http://schemas.openxmlformats.org/officeDocument/2006/relationships/hyperlink" Target="https://1drv.ms/b/c/94bd56ed68f00427/IQDavQGFYfMRS6YA3vlRuNV9AedA83KlZ0xsLbyX3zT2_2g?e=nucOYo" TargetMode="External"/><Relationship Id="rId419" Type="http://schemas.openxmlformats.org/officeDocument/2006/relationships/hyperlink" Target="mailto:info@drugfieldpharma.com;olakunleekundayo@msn.com" TargetMode="External"/><Relationship Id="rId626" Type="http://schemas.openxmlformats.org/officeDocument/2006/relationships/hyperlink" Target="https://1drv.ms/b/c/94bd56ed68f00427/IQCNbJp_eMJrRpxxUskUu2lLAWZ9y2xHKfBrFOH1gtFWILQ?e=xnkCaO" TargetMode="External"/><Relationship Id="rId973" Type="http://schemas.openxmlformats.org/officeDocument/2006/relationships/hyperlink" Target="https://1drv.ms/b/c/94bd56ed68f00427/IQD_2XAIyngJS5p8gdR7PJDfAcgPRfYezxXl9YN2DHpitkg?e=7OAIoJ" TargetMode="External"/><Relationship Id="rId1049" Type="http://schemas.openxmlformats.org/officeDocument/2006/relationships/hyperlink" Target="mailto:swipha@swiphanigeria.com" TargetMode="External"/><Relationship Id="rId1256" Type="http://schemas.openxmlformats.org/officeDocument/2006/relationships/hyperlink" Target="mailto:phppharma@yahoo.com" TargetMode="External"/><Relationship Id="rId833" Type="http://schemas.openxmlformats.org/officeDocument/2006/relationships/hyperlink" Target="https://1drv.ms/b/c/94bd56ed68f00427/IQCVpF6p6yYcQptp2thQfZKsAe5RWh9CUUIwsvWcJrHMYLM?e=MgL9m8" TargetMode="External"/><Relationship Id="rId1116" Type="http://schemas.openxmlformats.org/officeDocument/2006/relationships/hyperlink" Target="https://1drv.ms/b/c/94bd56ed68f00427/IQDaGromWNesSZUP5SUF2HBhAfvA1_3J6Sb4PJnPMVrW_mQ?e=RG3oHN" TargetMode="External"/><Relationship Id="rId1463" Type="http://schemas.openxmlformats.org/officeDocument/2006/relationships/hyperlink" Target="mailto:oscarmacaulay@yahoo.com" TargetMode="External"/><Relationship Id="rId265" Type="http://schemas.openxmlformats.org/officeDocument/2006/relationships/hyperlink" Target="https://1drv.ms/b/c/94bd56ed68f00427/IQCtC4moyi9ZSb7oqfSEj2shAUhopr_yl9iTCYTrJLyJxJU?e=P4ZwuB" TargetMode="External"/><Relationship Id="rId472" Type="http://schemas.openxmlformats.org/officeDocument/2006/relationships/hyperlink" Target="https://1drv.ms/b/c/94bd56ed68f00427/IQACMHOpsuCFRL8qIadri7qYAUEsLGSPgUY2WwDCcvR8VWA?e=mnWWjS" TargetMode="External"/><Relationship Id="rId900" Type="http://schemas.openxmlformats.org/officeDocument/2006/relationships/hyperlink" Target="mailto:0fficialsoklinnigeria@gmail.com" TargetMode="External"/><Relationship Id="rId1323" Type="http://schemas.openxmlformats.org/officeDocument/2006/relationships/hyperlink" Target="https://1drv.ms/b/c/94bd56ed68f00427/IQCsDBOkTyM1TaxPOBFtuDshAeIx2fvPZKDu010Ai9bdIuk?e=T3Impq" TargetMode="External"/><Relationship Id="rId1530" Type="http://schemas.openxmlformats.org/officeDocument/2006/relationships/hyperlink" Target="https://1drv.ms/b/c/94bd56ed68f00427/IQDeGy1QczoVQYxD1VegHeDqATTZ8IsFRXX74KKA5ty2Ldo?e=dicU3f" TargetMode="External"/><Relationship Id="rId125" Type="http://schemas.openxmlformats.org/officeDocument/2006/relationships/hyperlink" Target="https://1drv.ms/b/c/94bd56ed68f00427/IQBcczmzE8EPR5Q4fNIHTDGOAZCZAHalv-tIYJR9XZYLQYc?e=WS7950" TargetMode="External"/><Relationship Id="rId332" Type="http://schemas.openxmlformats.org/officeDocument/2006/relationships/hyperlink" Target="https://1drv.ms/b/c/94bd56ed68f00427/IQA8KNOvJS6hSq7IC68A1R68AUEVi3NM0AT9XbT6Y_Ufba4?e=et8vAu" TargetMode="External"/><Relationship Id="rId777" Type="http://schemas.openxmlformats.org/officeDocument/2006/relationships/hyperlink" Target="https://1drv.ms/b/c/94bd56ed68f00427/IQDkDadlU_osS4aSTBRNTnylAeTe_KGUxgaAvUidu5GVR2Y?e=vA9dGx" TargetMode="External"/><Relationship Id="rId984" Type="http://schemas.openxmlformats.org/officeDocument/2006/relationships/hyperlink" Target="https://1drv.ms/b/c/94bd56ed68f00427/IQBzAJ1yd6o8QaVqQbPY7J-xASIMm2hN6wssmIi9pQzZNq0?e=EkAsc6" TargetMode="External"/><Relationship Id="rId637" Type="http://schemas.openxmlformats.org/officeDocument/2006/relationships/hyperlink" Target="mailto:info@drugfieldpharma.com" TargetMode="External"/><Relationship Id="rId844" Type="http://schemas.openxmlformats.org/officeDocument/2006/relationships/hyperlink" Target="https://1drv.ms/b/c/94bd56ed68f00427/IQBXwy7Tk51iTIugk9ewDg7IAXcG_XUHQiEVkc0HbK5us3o?e=Bc9ez6" TargetMode="External"/><Relationship Id="rId1267" Type="http://schemas.openxmlformats.org/officeDocument/2006/relationships/hyperlink" Target="https://1drv.ms/b/c/94bd56ed68f00427/IQDYU_Cko2X5To4eGkwHuNSmAfeQ63l0_yGuPmruK0d45S8?e=srj1BR" TargetMode="External"/><Relationship Id="rId1474" Type="http://schemas.openxmlformats.org/officeDocument/2006/relationships/hyperlink" Target="mailto:swipha@swiphanigeria.com" TargetMode="External"/><Relationship Id="rId276" Type="http://schemas.openxmlformats.org/officeDocument/2006/relationships/hyperlink" Target="https://1drv.ms/b/c/94bd56ed68f00427/IQAgtdBWTHPUSaWrl0h0o7loAW3v4yYovoiumVRj33zWFYE?e=sp3DvN" TargetMode="External"/><Relationship Id="rId483" Type="http://schemas.openxmlformats.org/officeDocument/2006/relationships/hyperlink" Target="https://1drv.ms/b/c/94bd56ed68f00427/IQBlEdeNtUwDS4tmvBOkpy61Ad-gJ63dPgiJk_JF37kHWZg?e=4ioqxF" TargetMode="External"/><Relationship Id="rId690" Type="http://schemas.openxmlformats.org/officeDocument/2006/relationships/hyperlink" Target="mailto:order@vastovers.com" TargetMode="External"/><Relationship Id="rId704" Type="http://schemas.openxmlformats.org/officeDocument/2006/relationships/hyperlink" Target="mailto:osaretin.jaiyeola@fensyl.com" TargetMode="External"/><Relationship Id="rId911" Type="http://schemas.openxmlformats.org/officeDocument/2006/relationships/hyperlink" Target="mailto:0lpharm@olpharm.com" TargetMode="External"/><Relationship Id="rId1127" Type="http://schemas.openxmlformats.org/officeDocument/2006/relationships/hyperlink" Target="https://1drv.ms/b/c/94bd56ed68f00427/IQDJ0MqCsE2ARrJel6MfIJokAb_bU6epZyJg5eaf8iHfVG0?e=3NJcp2" TargetMode="External"/><Relationship Id="rId1334" Type="http://schemas.openxmlformats.org/officeDocument/2006/relationships/hyperlink" Target="mailto:info@phillipsnigeria.com" TargetMode="External"/><Relationship Id="rId1541" Type="http://schemas.openxmlformats.org/officeDocument/2006/relationships/hyperlink" Target="https://1drv.ms/b/c/94bd56ed68f00427/IQD0tfbcPcLDTZ6TxJAgJxYlASReJ3YmkcJvLt8xpJMkjDU?e=nW891d" TargetMode="External"/><Relationship Id="rId40" Type="http://schemas.openxmlformats.org/officeDocument/2006/relationships/hyperlink" Target="https://1drv.ms/b/c/94bd56ed68f00427/IQDJ_6jzu-MMT5dlbnRgw7btAQBpWNcCnQ_V3QGGpUmX2cc?e=lVEmFh" TargetMode="External"/><Relationship Id="rId136" Type="http://schemas.openxmlformats.org/officeDocument/2006/relationships/hyperlink" Target="https://1drv.ms/b/c/94bd56ed68f00427/IQCSLSv3xP9aQrCqxOV_apaSAWT5pq7GS9fzjOhxtX-CWuc?e=dE1kKs" TargetMode="External"/><Relationship Id="rId343" Type="http://schemas.openxmlformats.org/officeDocument/2006/relationships/hyperlink" Target="https://1drv.ms/b/c/94bd56ed68f00427/IQDjW1ahkVWoT5mdo3Gjl1lrAYTo5oyTL8Qbz_E7U19r5hY?e=OHJP3Z" TargetMode="External"/><Relationship Id="rId550" Type="http://schemas.openxmlformats.org/officeDocument/2006/relationships/hyperlink" Target="mailto:aspira.cosmetics@aspirang.com" TargetMode="External"/><Relationship Id="rId788" Type="http://schemas.openxmlformats.org/officeDocument/2006/relationships/hyperlink" Target="https://1drv.ms/b/c/94bd56ed68f00427/IQAZYaZXw4ipSp39a7QhUdZ2AdXssQsZ7LoGTvQjd4FrqoQ?e=n61BUS" TargetMode="External"/><Relationship Id="rId995" Type="http://schemas.openxmlformats.org/officeDocument/2006/relationships/hyperlink" Target="mailto:osaretin.jaiyeola@fensyl.com" TargetMode="External"/><Relationship Id="rId1180" Type="http://schemas.openxmlformats.org/officeDocument/2006/relationships/hyperlink" Target="mailto:Rosanna.Iwuala@sunpharma.com" TargetMode="External"/><Relationship Id="rId1401" Type="http://schemas.openxmlformats.org/officeDocument/2006/relationships/hyperlink" Target="mailto:osaretin.jaiyeola@fensyl.com" TargetMode="External"/><Relationship Id="rId203" Type="http://schemas.openxmlformats.org/officeDocument/2006/relationships/hyperlink" Target="https://1drv.ms/b/c/94bd56ed68f00427/IQCxR76uuuqaQpGv2ip8Zqi5AdUhHH877EzcyI7V2jD4hZM?e=gsJcAO" TargetMode="External"/><Relationship Id="rId648" Type="http://schemas.openxmlformats.org/officeDocument/2006/relationships/hyperlink" Target="https://1drv.ms/b/c/94bd56ed68f00427/IQBDnNzzhilHTb1RLZcqzcpGAfKvSdF7OxUi6KJmfz-fab4?e=iIUlV4" TargetMode="External"/><Relationship Id="rId855" Type="http://schemas.openxmlformats.org/officeDocument/2006/relationships/hyperlink" Target="https://1drv.ms/b/c/94bd56ed68f00427/IQAvM3Nilo5dTYlJ1VO0CV7bAdeBkYswNKBXKxKTzuqQ8NU?e=a4KLsc" TargetMode="External"/><Relationship Id="rId1040" Type="http://schemas.openxmlformats.org/officeDocument/2006/relationships/hyperlink" Target="https://1drv.ms/b/c/94bd56ed68f00427/IQBFudoV3nRIRplZ4qx_5KJqAYQoFKcOYxpXKDqAaGUeYcc?e=L0MVRW" TargetMode="External"/><Relationship Id="rId1278" Type="http://schemas.openxmlformats.org/officeDocument/2006/relationships/hyperlink" Target="mailto:bridget.mayor@unilever.com" TargetMode="External"/><Relationship Id="rId1485" Type="http://schemas.openxmlformats.org/officeDocument/2006/relationships/hyperlink" Target="https://1drv.ms/b/c/94bd56ed68f00427/IQBFudoV3nRIRplZ4qx_5KJqAYQoFKcOYxpXKDqAaGUeYcc?e=L0MVRW" TargetMode="External"/><Relationship Id="rId287" Type="http://schemas.openxmlformats.org/officeDocument/2006/relationships/hyperlink" Target="https://1drv.ms/b/c/94bd56ed68f00427/IQCf-lwye3pMRYOUij8w7lRsAcyBn9bT8SyP-IuSV6GxCWA?e=gSTNNq" TargetMode="External"/><Relationship Id="rId410" Type="http://schemas.openxmlformats.org/officeDocument/2006/relationships/hyperlink" Target="mailto:reals@realsgroup.com" TargetMode="External"/><Relationship Id="rId494" Type="http://schemas.openxmlformats.org/officeDocument/2006/relationships/hyperlink" Target="https://1drv.ms/b/c/94bd56ed68f00427/IQCwIC43VfeIQ5sRjbdENihSATLGvCp-zl2_0nOaw5l1zQQ?e=fs9PuG" TargetMode="External"/><Relationship Id="rId508" Type="http://schemas.openxmlformats.org/officeDocument/2006/relationships/hyperlink" Target="mailto:kchconsumer@gmail.com" TargetMode="External"/><Relationship Id="rId715" Type="http://schemas.openxmlformats.org/officeDocument/2006/relationships/hyperlink" Target="mailto:sefihait.kone@bayer.com" TargetMode="External"/><Relationship Id="rId922" Type="http://schemas.openxmlformats.org/officeDocument/2006/relationships/hyperlink" Target="mailto:abpharma.parenterals@gmail.com" TargetMode="External"/><Relationship Id="rId1138" Type="http://schemas.openxmlformats.org/officeDocument/2006/relationships/hyperlink" Target="https://1drv.ms/b/c/94bd56ed68f00427/IQAsIPCsx5QxTr4w_USpTYQYAWgu6aQttDv30eEYcsXZx1o?e=8D3aAU" TargetMode="External"/><Relationship Id="rId1345" Type="http://schemas.openxmlformats.org/officeDocument/2006/relationships/hyperlink" Target="https://1drv.ms/b/c/94bd56ed68f00427/IQCEkbefiXcSQ7It_VyF8MK9Ada66shiI_BznkFI2jIHM1k?e=d9zUj7" TargetMode="External"/><Relationship Id="rId1552" Type="http://schemas.openxmlformats.org/officeDocument/2006/relationships/hyperlink" Target="https://1drv.ms/b/c/94bd56ed68f00427/IQBSFWqYC5tkT6vXKjfVzfGCARsjWfAM2mFWjXzf2BgtFIY?e=gCt5n9" TargetMode="External"/><Relationship Id="rId147" Type="http://schemas.openxmlformats.org/officeDocument/2006/relationships/hyperlink" Target="https://1drv.ms/b/c/94bd56ed68f00427/IQDLjDMMDNLnTqpwAP5HuQpEAWunz5vKVGNPW_P26b7tp8k?e=g8SWEl" TargetMode="External"/><Relationship Id="rId354" Type="http://schemas.openxmlformats.org/officeDocument/2006/relationships/hyperlink" Target="mailto:toluwasanmi@may-bakerng.com;info@may-bakerng.com" TargetMode="External"/><Relationship Id="rId799" Type="http://schemas.openxmlformats.org/officeDocument/2006/relationships/hyperlink" Target="https://1drv.ms/b/c/94bd56ed68f00427/IQC6MhXI0zc8SYs7O8NP--rEAadxeb4VGXsTPaNUL-Fl6to?e=oOnBrU" TargetMode="External"/><Relationship Id="rId1191" Type="http://schemas.openxmlformats.org/officeDocument/2006/relationships/hyperlink" Target="https://1drv.ms/b/c/94bd56ed68f00427/IQD9p5RfcGBTR7OpJVlytRwoAZ_cOyD4QA-krdYIFpFD3mk?e=j3iKpA" TargetMode="External"/><Relationship Id="rId1205" Type="http://schemas.openxmlformats.org/officeDocument/2006/relationships/hyperlink" Target="https://1drv.ms/b/c/94bd56ed68f00427/IQCEu-lzuIPNQIKhEkZnWq_tAXrcmWZ2FvWuprSgYJvfVo8?e=XK2blk" TargetMode="External"/><Relationship Id="rId51" Type="http://schemas.openxmlformats.org/officeDocument/2006/relationships/hyperlink" Target="https://1drv.ms/b/c/94bd56ed68f00427/IQBmw4mKjzgeRbzW_qdoedRjARju4H85TPuLb1oKiK_xI38?e=9zuepg" TargetMode="External"/><Relationship Id="rId561" Type="http://schemas.openxmlformats.org/officeDocument/2006/relationships/hyperlink" Target="mailto:taiwo.oteju@beiersdorf.com" TargetMode="External"/><Relationship Id="rId659" Type="http://schemas.openxmlformats.org/officeDocument/2006/relationships/hyperlink" Target="mailto:Rosanna.Iwuala@sunpharma.com" TargetMode="External"/><Relationship Id="rId866" Type="http://schemas.openxmlformats.org/officeDocument/2006/relationships/hyperlink" Target="https://1drv.ms/b/c/94bd56ed68f00427/IQBKyu-JK7DGSJf5K8ineQ4iAT-ScRmhpCWiIHRFNweVb7E?e=KOag8O" TargetMode="External"/><Relationship Id="rId1289" Type="http://schemas.openxmlformats.org/officeDocument/2006/relationships/hyperlink" Target="https://1drv.ms/b/c/94bd56ed68f00427/IQAVMr2w9uPeRKf_x4NuP-7vAfkum5EIPifb9wO5i0XsD0g?e=Q4zcg2" TargetMode="External"/><Relationship Id="rId1412" Type="http://schemas.openxmlformats.org/officeDocument/2006/relationships/hyperlink" Target="mailto:management@svnl.in;spmakun@gmail.com" TargetMode="External"/><Relationship Id="rId1496" Type="http://schemas.openxmlformats.org/officeDocument/2006/relationships/hyperlink" Target="https://1drv.ms/b/c/94bd56ed68f00427/IQCGD2B2BZwES5e3Eby7XOmDAYqtZyicrCr6diGeYxG3eM4?e=7rthih" TargetMode="External"/><Relationship Id="rId214" Type="http://schemas.openxmlformats.org/officeDocument/2006/relationships/hyperlink" Target="https://1drv.ms/b/c/94bd56ed68f00427/IQAxr0Us6sv1Ta-wVC_cOysIAdGDTpQ9B4PHYd5LzarkqNc?e=z8Zoco" TargetMode="External"/><Relationship Id="rId298" Type="http://schemas.openxmlformats.org/officeDocument/2006/relationships/hyperlink" Target="https://1drv.ms/b/c/94bd56ed68f00427/IQDfIbdEFX5zT6SkcarzbhZnAf5aplRtLq0tyvsZ_gbG5SY?e=LD0P5p" TargetMode="External"/><Relationship Id="rId421" Type="http://schemas.openxmlformats.org/officeDocument/2006/relationships/hyperlink" Target="https://1drv.ms/b/c/94bd56ed68f00427/IQBB6NWKfTpjSIQdjPCIG_H1ATCRhAV11BgCxdKtETpkRkY?e=Gbez1F" TargetMode="External"/><Relationship Id="rId519" Type="http://schemas.openxmlformats.org/officeDocument/2006/relationships/hyperlink" Target="https://1drv.ms/b/c/94bd56ed68f00427/IQDVH1ZeCy0tQ4vN1Y6PfPqXAeufbeYwLknUp2mPzHxwH9k?e=CdbkTl" TargetMode="External"/><Relationship Id="rId1051" Type="http://schemas.openxmlformats.org/officeDocument/2006/relationships/hyperlink" Target="mailto:swipha@swiphanigeria.com" TargetMode="External"/><Relationship Id="rId1149" Type="http://schemas.openxmlformats.org/officeDocument/2006/relationships/hyperlink" Target="https://1drv.ms/b/c/94bd56ed68f00427/IQBe53qp63eUTpzPbp7uW2rZAT2aoQ2i_SQ4zR5BG9D72FY?e=OFtqB7" TargetMode="External"/><Relationship Id="rId1356" Type="http://schemas.openxmlformats.org/officeDocument/2006/relationships/hyperlink" Target="mailto:stephenez@yahoo.com" TargetMode="External"/><Relationship Id="rId158" Type="http://schemas.openxmlformats.org/officeDocument/2006/relationships/hyperlink" Target="https://1drv.ms/b/c/94bd56ed68f00427/IQDW33SjvRSyTb6P3qIRlTVlAeM_3PGn7W2vRDB5l7EWb-U?e=LVbfpi" TargetMode="External"/><Relationship Id="rId726" Type="http://schemas.openxmlformats.org/officeDocument/2006/relationships/hyperlink" Target="mailto:blessing_lynedge@yahoo.com" TargetMode="External"/><Relationship Id="rId933" Type="http://schemas.openxmlformats.org/officeDocument/2006/relationships/hyperlink" Target="mailto:info@imperiocosmetics.com" TargetMode="External"/><Relationship Id="rId1009" Type="http://schemas.openxmlformats.org/officeDocument/2006/relationships/hyperlink" Target="https://1drv.ms/b/c/94bd56ed68f00427/IQCKJEouukKjQ5rOYXLi_CdiAbXNY-Wtp3MPQsvU62UxWuA?e=VXIlhK" TargetMode="External"/><Relationship Id="rId1563" Type="http://schemas.openxmlformats.org/officeDocument/2006/relationships/hyperlink" Target="https://1drv.ms/b/c/94bd56ed68f00427/IQBIZLYZiCu7QLxhikexGJPTAb1uI0GnfktGnPjfGwj0P_E?e=6JevwT" TargetMode="External"/><Relationship Id="rId62" Type="http://schemas.openxmlformats.org/officeDocument/2006/relationships/hyperlink" Target="https://1drv.ms/b/c/94bd56ed68f00427/IQD2yzcTVOtzTJLxLIoWOL5JAZNdhPx8Fhu_KunPYugZ9Wc?e=Qd8yhj" TargetMode="External"/><Relationship Id="rId365" Type="http://schemas.openxmlformats.org/officeDocument/2006/relationships/hyperlink" Target="mailto:pknpharmaceuticalsltd@gmail.com" TargetMode="External"/><Relationship Id="rId572" Type="http://schemas.openxmlformats.org/officeDocument/2006/relationships/hyperlink" Target="mailto:luis.munoz@beiersdorf.com" TargetMode="External"/><Relationship Id="rId1216" Type="http://schemas.openxmlformats.org/officeDocument/2006/relationships/hyperlink" Target="mailto:phppharma@yahoo.com" TargetMode="External"/><Relationship Id="rId1423" Type="http://schemas.openxmlformats.org/officeDocument/2006/relationships/hyperlink" Target="https://1drv.ms/b/c/94bd56ed68f00427/IQD-xGbSVt3zTKiLYmRxf1CuAQvS0ptuiY_dznQ0c-6udBg?e=r82hgP" TargetMode="External"/><Relationship Id="rId225" Type="http://schemas.openxmlformats.org/officeDocument/2006/relationships/hyperlink" Target="https://1drv.ms/b/c/94bd56ed68f00427/IQBMlqNWsfArRZCdaIB4vVYwAVsFnW1kcLNj-nMUvDOb-Gw?e=U67x0B" TargetMode="External"/><Relationship Id="rId432" Type="http://schemas.openxmlformats.org/officeDocument/2006/relationships/hyperlink" Target="mailto:osaretin.jaiyeola@fensyl.com" TargetMode="External"/><Relationship Id="rId877" Type="http://schemas.openxmlformats.org/officeDocument/2006/relationships/hyperlink" Target="mailto:kesster.chimyenum@unilever.com" TargetMode="External"/><Relationship Id="rId1062" Type="http://schemas.openxmlformats.org/officeDocument/2006/relationships/hyperlink" Target="https://1drv.ms/b/c/94bd56ed68f00427/IQBFudoV3nRIRplZ4qx_5KJqAYQoFKcOYxpXKDqAaGUeYcc?e=L0MVRW" TargetMode="External"/><Relationship Id="rId737" Type="http://schemas.openxmlformats.org/officeDocument/2006/relationships/hyperlink" Target="mailto:info@fidson.com" TargetMode="External"/><Relationship Id="rId944" Type="http://schemas.openxmlformats.org/officeDocument/2006/relationships/hyperlink" Target="mailto:reals@realsgroup.com%20;%20realsspecialties@yahoo.com" TargetMode="External"/><Relationship Id="rId1367" Type="http://schemas.openxmlformats.org/officeDocument/2006/relationships/hyperlink" Target="mailto:info@nalispharma.com" TargetMode="External"/><Relationship Id="rId1574" Type="http://schemas.openxmlformats.org/officeDocument/2006/relationships/hyperlink" Target="https://1drv.ms/b/c/94bd56ed68f00427/IQDDGli24ugfRJ4aKYYogK1cAdw3ybbgM4Td329bsl5xVH0?e=avk5AD" TargetMode="External"/><Relationship Id="rId73" Type="http://schemas.openxmlformats.org/officeDocument/2006/relationships/hyperlink" Target="https://1drv.ms/b/c/94bd56ed68f00427/IQDy2fuhI-qvR5OvDWSBJM96ASYvRrSR3fjEegP483LxP88?e=wO4K7w" TargetMode="External"/><Relationship Id="rId169" Type="http://schemas.openxmlformats.org/officeDocument/2006/relationships/hyperlink" Target="https://1drv.ms/b/c/94bd56ed68f00427/IQDoxMuVbVMpQITNtyVtaXT_Af0Tz9npVi0fEJqOQiv8DgE?e=qdcg7H" TargetMode="External"/><Relationship Id="rId376" Type="http://schemas.openxmlformats.org/officeDocument/2006/relationships/hyperlink" Target="mailto:info@drugfieldpharma.com;olakunleekundayo@msn.com" TargetMode="External"/><Relationship Id="rId583" Type="http://schemas.openxmlformats.org/officeDocument/2006/relationships/hyperlink" Target="https://1drv.ms/b/c/94bd56ed68f00427/IQBsnmxdBuf1RrlfxkVXhYmxAX7-bQjbM6j5L9rHBNxC-tE?e=VjT8ca" TargetMode="External"/><Relationship Id="rId790" Type="http://schemas.openxmlformats.org/officeDocument/2006/relationships/hyperlink" Target="https://1drv.ms/b/c/94bd56ed68f00427/IQC41_pkeazkSZGDAnHfNqlrAWmQ-rH6RHM_PHzjHEs_v7c?e=LrdL5A" TargetMode="External"/><Relationship Id="rId804" Type="http://schemas.openxmlformats.org/officeDocument/2006/relationships/hyperlink" Target="https://1drv.ms/b/c/94bd56ed68f00427/IQAVh4u0ZBdyR6y3EDn4k3r-ATxj0YT5k3UHyWlnln1_qIc?e=UPW3rF" TargetMode="External"/><Relationship Id="rId1227" Type="http://schemas.openxmlformats.org/officeDocument/2006/relationships/hyperlink" Target="mailto:info@drugfieldpharma.com" TargetMode="External"/><Relationship Id="rId1434" Type="http://schemas.openxmlformats.org/officeDocument/2006/relationships/hyperlink" Target="mailto:lyn-edgepharm@yahoo.com" TargetMode="External"/><Relationship Id="rId4" Type="http://schemas.openxmlformats.org/officeDocument/2006/relationships/hyperlink" Target="https://1drv.ms/b/c/94bd56ed68f00427/IQBfG8j1vaYCR6j9e0LHnmt8AYQbdu90R5QZS1YUpCRulWQ?e=ygf8f2" TargetMode="External"/><Relationship Id="rId236" Type="http://schemas.openxmlformats.org/officeDocument/2006/relationships/hyperlink" Target="https://1drv.ms/b/c/94bd56ed68f00427/IQDksHdYDMWiRKLWrS88MedHAQccQDiJz-Bz_23786MmpKo?e=dTLrcn" TargetMode="External"/><Relationship Id="rId443" Type="http://schemas.openxmlformats.org/officeDocument/2006/relationships/hyperlink" Target="https://1drv.ms/b/c/94bd56ed68f00427/IQD3DXnodZypR6E1wszkXUJVAeWUDv2vqVemE8dP1wtYOko?e=Ct3APa" TargetMode="External"/><Relationship Id="rId650" Type="http://schemas.openxmlformats.org/officeDocument/2006/relationships/hyperlink" Target="mailto:Rosanna.Iwuala@sunpharma.com" TargetMode="External"/><Relationship Id="rId888" Type="http://schemas.openxmlformats.org/officeDocument/2006/relationships/hyperlink" Target="mailto:Nivea.Nigeria3@Beiersdorf.com" TargetMode="External"/><Relationship Id="rId1073" Type="http://schemas.openxmlformats.org/officeDocument/2006/relationships/hyperlink" Target="https://1drv.ms/b/c/94bd56ed68f00427/IQBFudoV3nRIRplZ4qx_5KJqAYQoFKcOYxpXKDqAaGUeYcc?e=L0MVRW" TargetMode="External"/><Relationship Id="rId1280" Type="http://schemas.openxmlformats.org/officeDocument/2006/relationships/hyperlink" Target="mailto:topwideventureslimited@gmail.com" TargetMode="External"/><Relationship Id="rId1501" Type="http://schemas.openxmlformats.org/officeDocument/2006/relationships/hyperlink" Target="https://1drv.ms/b/c/94bd56ed68f00427/IQCbkXd4E6k3RKiR3fxDCo4UAUqPpwEfbbdHGyHSQ4tR7hY?e=sngw5q" TargetMode="External"/><Relationship Id="rId303" Type="http://schemas.openxmlformats.org/officeDocument/2006/relationships/hyperlink" Target="https://1drv.ms/b/c/94bd56ed68f00427/IQDN5qjgIEi2Sq09Gsu-KPSWAWiYXy1l4zfp2Amh3ms4IZ0?e=pGh2su" TargetMode="External"/><Relationship Id="rId748" Type="http://schemas.openxmlformats.org/officeDocument/2006/relationships/hyperlink" Target="mailto:janisnutrition@gmail.com" TargetMode="External"/><Relationship Id="rId955" Type="http://schemas.openxmlformats.org/officeDocument/2006/relationships/hyperlink" Target="mailto:osaretin.jaiyeola@fensyl.com" TargetMode="External"/><Relationship Id="rId1140" Type="http://schemas.openxmlformats.org/officeDocument/2006/relationships/hyperlink" Target="https://1drv.ms/b/c/94bd56ed68f00427/IQDMQx0Co9LmQbt6jApyi4u1ASf_yV6E7Mw70QHV_qg_zgM?e=w1eIWV" TargetMode="External"/><Relationship Id="rId1378" Type="http://schemas.openxmlformats.org/officeDocument/2006/relationships/hyperlink" Target="mailto:shalina.regulatory@yahoo.com" TargetMode="External"/><Relationship Id="rId1585" Type="http://schemas.openxmlformats.org/officeDocument/2006/relationships/hyperlink" Target="https://1drv.ms/b/c/94bd56ed68f00427/IQCz990Vh3rWT5AS7HTl3o8iAZTX3zGZgp0qUetjt-TLPHM?e=AOGfKP" TargetMode="External"/><Relationship Id="rId84" Type="http://schemas.openxmlformats.org/officeDocument/2006/relationships/hyperlink" Target="https://1drv.ms/b/c/94bd56ed68f00427/IQCcBFazn6VTQZtp9_KnHSrMAb8ZttjefZhu8jRU6gkSxx4?e=VIMKsc" TargetMode="External"/><Relationship Id="rId387" Type="http://schemas.openxmlformats.org/officeDocument/2006/relationships/hyperlink" Target="mailto:info@drugfieldpharma.com;olakunleekundayo@msn.com" TargetMode="External"/><Relationship Id="rId510" Type="http://schemas.openxmlformats.org/officeDocument/2006/relationships/hyperlink" Target="https://1drv.ms/b/c/94bd56ed68f00427/IQBzAJ1yd6o8QaVqQbPY7J-xASIMm2hN6wssmIi9pQzZNq0?e=EkAsc6" TargetMode="External"/><Relationship Id="rId594" Type="http://schemas.openxmlformats.org/officeDocument/2006/relationships/hyperlink" Target="mailto:customerservice@emzorpharma.com" TargetMode="External"/><Relationship Id="rId608" Type="http://schemas.openxmlformats.org/officeDocument/2006/relationships/hyperlink" Target="mailto:info@afrabchem.com" TargetMode="External"/><Relationship Id="rId815" Type="http://schemas.openxmlformats.org/officeDocument/2006/relationships/hyperlink" Target="https://1drv.ms/b/c/94bd56ed68f00427/IQDITjeUsUOMQ5F9qRYId7KjARdb7u95kg92hpUrvKt03Bs?e=daPYZO" TargetMode="External"/><Relationship Id="rId1238" Type="http://schemas.openxmlformats.org/officeDocument/2006/relationships/hyperlink" Target="https://1drv.ms/b/c/94bd56ed68f00427/IQCnEiqpaxltR4bVn_rVH_6LARL5Shg6mKzftAhud0GU1bk?e=ciHwZw" TargetMode="External"/><Relationship Id="rId1445" Type="http://schemas.openxmlformats.org/officeDocument/2006/relationships/hyperlink" Target="mailto:osaretin.jaiyeola@fensyl.com" TargetMode="External"/><Relationship Id="rId247" Type="http://schemas.openxmlformats.org/officeDocument/2006/relationships/hyperlink" Target="https://1drv.ms/b/c/94bd56ed68f00427/IQAHFRm3tWRnTK4bRAIlcsGwAT_h1XB0NWqeimPKgJPJEOA?e=mSwVz5" TargetMode="External"/><Relationship Id="rId899" Type="http://schemas.openxmlformats.org/officeDocument/2006/relationships/hyperlink" Target="mailto:0fficialsoklinnigeria@gmail.com" TargetMode="External"/><Relationship Id="rId1000" Type="http://schemas.openxmlformats.org/officeDocument/2006/relationships/hyperlink" Target="https://1drv.ms/b/c/94bd56ed68f00427/IQD_2XAIyngJS5p8gdR7PJDfAcgPRfYezxXl9YN2DHpitkg?e=7OAIoJ" TargetMode="External"/><Relationship Id="rId1084" Type="http://schemas.openxmlformats.org/officeDocument/2006/relationships/hyperlink" Target="mailto:destmawellness@gmail.com" TargetMode="External"/><Relationship Id="rId1305" Type="http://schemas.openxmlformats.org/officeDocument/2006/relationships/hyperlink" Target="mailto:info@elbepharma.com" TargetMode="External"/><Relationship Id="rId107" Type="http://schemas.openxmlformats.org/officeDocument/2006/relationships/hyperlink" Target="https://1drv.ms/b/c/94bd56ed68f00427/IQAWATI2BQrdSrAnYIIBjrHyAWbVWJnefcpDefv0kSamyZ0?e=gwC0ah" TargetMode="External"/><Relationship Id="rId454" Type="http://schemas.openxmlformats.org/officeDocument/2006/relationships/hyperlink" Target="mailto:info@phillipsnigeria.com" TargetMode="External"/><Relationship Id="rId661" Type="http://schemas.openxmlformats.org/officeDocument/2006/relationships/hyperlink" Target="mailto:Rosanna.Iwuala@sunpharma.com" TargetMode="External"/><Relationship Id="rId759" Type="http://schemas.openxmlformats.org/officeDocument/2006/relationships/hyperlink" Target="mailto:info@drugfieldpharma.com" TargetMode="External"/><Relationship Id="rId966" Type="http://schemas.openxmlformats.org/officeDocument/2006/relationships/hyperlink" Target="https://1drv.ms/b/c/94bd56ed68f00427/IQCXJu4gDDRoTZfuK9dqm60iAQsuh9IdVX3_F8Kj5D840sE?e=yqclLq" TargetMode="External"/><Relationship Id="rId1291" Type="http://schemas.openxmlformats.org/officeDocument/2006/relationships/hyperlink" Target="mailto:dare.ojo@esrnl.com" TargetMode="External"/><Relationship Id="rId1389" Type="http://schemas.openxmlformats.org/officeDocument/2006/relationships/hyperlink" Target="https://1drv.ms/b/c/94bd56ed68f00427/IQCH5Xt_fQYQQIotxyXlZ9wbAbGKYP2A1wr_zrv3CViE86c?e=WBPoqR" TargetMode="External"/><Relationship Id="rId1512" Type="http://schemas.openxmlformats.org/officeDocument/2006/relationships/hyperlink" Target="https://1drv.ms/b/c/94bd56ed68f00427/IQCUBlcZwB6xTaJrGwuHiNHZAXWZRyNzLSJojzz7AC_U77s?e=fiAou7" TargetMode="External"/><Relationship Id="rId1596" Type="http://schemas.openxmlformats.org/officeDocument/2006/relationships/hyperlink" Target="mailto:emeka.chukwurah@cqraff.com" TargetMode="External"/><Relationship Id="rId11" Type="http://schemas.openxmlformats.org/officeDocument/2006/relationships/hyperlink" Target="https://1drv.ms/b/c/94bd56ed68f00427/IQCS1ZTeKNk4QqJ0F1zOlghIASDa658LLGZ8WWK7aAgGefc?e=chprKV" TargetMode="External"/><Relationship Id="rId314" Type="http://schemas.openxmlformats.org/officeDocument/2006/relationships/hyperlink" Target="https://1drv.ms/b/c/94bd56ed68f00427/IQADeC1kG83CSo5kHLAP71QkAXDhumO5-rLsaywdlBqbTGY?e=OLz8qG" TargetMode="External"/><Relationship Id="rId398" Type="http://schemas.openxmlformats.org/officeDocument/2006/relationships/hyperlink" Target="mailto:uzo.amatokwu@reckitt.com" TargetMode="External"/><Relationship Id="rId521" Type="http://schemas.openxmlformats.org/officeDocument/2006/relationships/hyperlink" Target="https://1drv.ms/b/c/94bd56ed68f00427/IQD_192XoVMUR6bcsjib7wmgAaWktNXwJrH097sFi3cI5Oo?e=PKboOU" TargetMode="External"/><Relationship Id="rId619" Type="http://schemas.openxmlformats.org/officeDocument/2006/relationships/hyperlink" Target="mailto:osaretin.jaiyeola@fensyl.com" TargetMode="External"/><Relationship Id="rId1151" Type="http://schemas.openxmlformats.org/officeDocument/2006/relationships/hyperlink" Target="https://1drv.ms/b/c/94bd56ed68f00427/IQAhCarUlxMvSYu5bVxjlEF1ASfSjxoglNGEBIcNGDPT3o8?e=Uo00se" TargetMode="External"/><Relationship Id="rId1249" Type="http://schemas.openxmlformats.org/officeDocument/2006/relationships/hyperlink" Target="https://1drv.ms/b/c/94bd56ed68f00427/IQBk0Cmmd0dTSJu5V54tvzasAZOx3UBe9jDHetSFBYPiWEA?e=6hiujC" TargetMode="External"/><Relationship Id="rId95" Type="http://schemas.openxmlformats.org/officeDocument/2006/relationships/hyperlink" Target="https://1drv.ms/b/c/94bd56ed68f00427/IQAPDtLJd_tlR7yRMXAz5HSQAb2FS_BzlFM_TQ7tNdawPMA?e=LhaL39" TargetMode="External"/><Relationship Id="rId160" Type="http://schemas.openxmlformats.org/officeDocument/2006/relationships/hyperlink" Target="https://1drv.ms/b/c/94bd56ed68f00427/IQAZMpLmC1JnSJYgwJmSxME9AWmNOGa4O4dvZLO6ITCCKBI?e=JbW2AT" TargetMode="External"/><Relationship Id="rId826" Type="http://schemas.openxmlformats.org/officeDocument/2006/relationships/hyperlink" Target="https://1drv.ms/b/c/94bd56ed68f00427/IQBXWaNBaHMnRrFG9BtkMlvZAfnUgp1s8VKmb_L7vbCDxDk?e=EYfMlN" TargetMode="External"/><Relationship Id="rId1011" Type="http://schemas.openxmlformats.org/officeDocument/2006/relationships/hyperlink" Target="mailto:info@drugfieldpharma.com" TargetMode="External"/><Relationship Id="rId1109" Type="http://schemas.openxmlformats.org/officeDocument/2006/relationships/hyperlink" Target="mailto:victoria.ezeala@viatris.com;abisola.ayodele@pfizer.com" TargetMode="External"/><Relationship Id="rId1456" Type="http://schemas.openxmlformats.org/officeDocument/2006/relationships/hyperlink" Target="mailto:bolanle.aladegbola@rb.com;uzo.amatokwu@reckitt.com;oladimeji.agbolade@reckittbenckiser.com" TargetMode="External"/><Relationship Id="rId258" Type="http://schemas.openxmlformats.org/officeDocument/2006/relationships/hyperlink" Target="https://1drv.ms/b/c/94bd56ed68f00427/IQBvDLxN7xgmR5hTqHHINS_5AaaMEV_ltVGF9zqgblEPWGY?e=XC2qx9" TargetMode="External"/><Relationship Id="rId465" Type="http://schemas.openxmlformats.org/officeDocument/2006/relationships/hyperlink" Target="https://1drv.ms/b/c/94bd56ed68f00427/IQB2L5XGBx9uRag8ojK1vF5bAbzfSiqYERSBeKY59eGpzQs?e=IplQUH" TargetMode="External"/><Relationship Id="rId672" Type="http://schemas.openxmlformats.org/officeDocument/2006/relationships/hyperlink" Target="mailto:osaretin.jaiyeola@fensyl.com" TargetMode="External"/><Relationship Id="rId1095" Type="http://schemas.openxmlformats.org/officeDocument/2006/relationships/hyperlink" Target="https://1drv.ms/b/c/94bd56ed68f00427/IQAyQwrpyYr2TKwDyd1IVhlHAXqdckKQnwC34-d1iBzGRsk?e=eGTxZE" TargetMode="External"/><Relationship Id="rId1316" Type="http://schemas.openxmlformats.org/officeDocument/2006/relationships/hyperlink" Target="mailto:pzindustries@pzcussons.com;udoka.adegor@pzcussons.com" TargetMode="External"/><Relationship Id="rId1523" Type="http://schemas.openxmlformats.org/officeDocument/2006/relationships/hyperlink" Target="https://1drv.ms/b/c/94bd56ed68f00427/IQAb5H-uxVWRSpGDe0sVUMLnAbzx7aqw0Gv9DhKb-5ewImQ?e=wOHAhz" TargetMode="External"/><Relationship Id="rId22" Type="http://schemas.openxmlformats.org/officeDocument/2006/relationships/hyperlink" Target="https://nafdacng-my.sharepoint.com/:b:/g/personal/adekunle_adeniran_nafdac_gov_ng/IQBx7UGp5pQXQqyB06WqoZgkAeIcfryl-Zz6bwejaLuUCuk?e=QueWfs" TargetMode="External"/><Relationship Id="rId118" Type="http://schemas.openxmlformats.org/officeDocument/2006/relationships/hyperlink" Target="https://1drv.ms/b/c/94bd56ed68f00427/IQBkTHuP0YoES6oq7SdzleFeAYoc7AiJN95wDUFDp6aewis?e=ToGz1y" TargetMode="External"/><Relationship Id="rId325" Type="http://schemas.openxmlformats.org/officeDocument/2006/relationships/hyperlink" Target="https://1drv.ms/b/c/94bd56ed68f00427/IQBURuoRqxa1RoIC5AmYdJ7tAZwnBwlhY5qtmaBM6V5WGEw?e=gUojPx" TargetMode="External"/><Relationship Id="rId532" Type="http://schemas.openxmlformats.org/officeDocument/2006/relationships/hyperlink" Target="https://1drv.ms/b/c/94bd56ed68f00427/IQBCE1XqSyXtRZ-OjZwXXUouAaywMh41gXOFU9LaBjdAmUg?e=XyrcsP" TargetMode="External"/><Relationship Id="rId977" Type="http://schemas.openxmlformats.org/officeDocument/2006/relationships/hyperlink" Target="https://1drv.ms/b/c/94bd56ed68f00427/IQD_2XAIyngJS5p8gdR7PJDfAcgPRfYezxXl9YN2DHpitkg?e=7OAIoJ" TargetMode="External"/><Relationship Id="rId1162" Type="http://schemas.openxmlformats.org/officeDocument/2006/relationships/hyperlink" Target="https://1drv.ms/b/c/94bd56ed68f00427/IQC9lJYrvFfyQqdz65ZogTxQAXMnKsm4-zKhccBKBmGKB84?e=lpZWSX" TargetMode="External"/><Relationship Id="rId171" Type="http://schemas.openxmlformats.org/officeDocument/2006/relationships/hyperlink" Target="https://1drv.ms/b/c/94bd56ed68f00427/IQDoxMuVbVMpQITNtyVtaXT_Af0Tz9npVi0fEJqOQiv8DgE?e=qdcg7H" TargetMode="External"/><Relationship Id="rId837" Type="http://schemas.openxmlformats.org/officeDocument/2006/relationships/hyperlink" Target="https://1drv.ms/b/c/94bd56ed68f00427/IQCVpF6p6yYcQptp2thQfZKsAe5RWh9CUUIwsvWcJrHMYLM?e=MgL9m8" TargetMode="External"/><Relationship Id="rId1022" Type="http://schemas.openxmlformats.org/officeDocument/2006/relationships/hyperlink" Target="mailto:momohoge@yahoo.com" TargetMode="External"/><Relationship Id="rId1467" Type="http://schemas.openxmlformats.org/officeDocument/2006/relationships/hyperlink" Target="mailto:oscarmacaulay@yahoo.com" TargetMode="External"/><Relationship Id="rId269" Type="http://schemas.openxmlformats.org/officeDocument/2006/relationships/hyperlink" Target="https://1drv.ms/b/c/94bd56ed68f00427/IQBQBOEJzCkYQ5K8dzv1HjjMAY8dbMOU1JbQCOPIT50DMF0?e=4P4bCy" TargetMode="External"/><Relationship Id="rId476" Type="http://schemas.openxmlformats.org/officeDocument/2006/relationships/hyperlink" Target="mailto:blessing_lynedge@yahoo.com" TargetMode="External"/><Relationship Id="rId683" Type="http://schemas.openxmlformats.org/officeDocument/2006/relationships/hyperlink" Target="mailto:order@vastovers.com" TargetMode="External"/><Relationship Id="rId890" Type="http://schemas.openxmlformats.org/officeDocument/2006/relationships/hyperlink" Target="mailto:Nivea.Nigeria3@Beiersdorf.com" TargetMode="External"/><Relationship Id="rId904" Type="http://schemas.openxmlformats.org/officeDocument/2006/relationships/hyperlink" Target="mailto:osaretin.jaiyeola@fensyl.com" TargetMode="External"/><Relationship Id="rId1327" Type="http://schemas.openxmlformats.org/officeDocument/2006/relationships/hyperlink" Target="https://1drv.ms/b/c/94bd56ed68f00427/IQCb1Rqh-TSqRLDUvSnXDYQiAbWLlNT_Cu9nwg1euO-1ILQ?e=bWUvji" TargetMode="External"/><Relationship Id="rId1534" Type="http://schemas.openxmlformats.org/officeDocument/2006/relationships/hyperlink" Target="https://1drv.ms/b/c/94bd56ed68f00427/IQATyQhQYByORpc3wXvFatK3AWXjvl78xtNYuHwivuVKxEc?e=Xxhzpg" TargetMode="External"/><Relationship Id="rId33" Type="http://schemas.openxmlformats.org/officeDocument/2006/relationships/hyperlink" Target="https://1drv.ms/b/c/94bd56ed68f00427/IQC-Hblb0VbIRYEqmJcz_hGPAV4JOFYJNt3WqQKqXnrmPyc?e=JbgVXR" TargetMode="External"/><Relationship Id="rId129" Type="http://schemas.openxmlformats.org/officeDocument/2006/relationships/hyperlink" Target="https://1drv.ms/b/c/94bd56ed68f00427/IQBap-wfJFSpQ4GTvIFaiL9FAZ_2RI90Xhg1Gd2v0aHUxyE?e=HP7xLh" TargetMode="External"/><Relationship Id="rId336" Type="http://schemas.openxmlformats.org/officeDocument/2006/relationships/hyperlink" Target="https://1drv.ms/b/c/94bd56ed68f00427/IQCDDW3mjYXkRqx660z8VLT8AR_88Eq4s78wB1XS7s_mUSM?e=q9Isi2" TargetMode="External"/><Relationship Id="rId543" Type="http://schemas.openxmlformats.org/officeDocument/2006/relationships/hyperlink" Target="mailto:osaretin.jaiyeola@fensyl.com" TargetMode="External"/><Relationship Id="rId988" Type="http://schemas.openxmlformats.org/officeDocument/2006/relationships/hyperlink" Target="https://1drv.ms/b/c/94bd56ed68f00427/IQAam0THOGurRpsyAo5rdjeoAVO0QnDW5cRYM25oeNE45cw?e=p2KvT9" TargetMode="External"/><Relationship Id="rId1173" Type="http://schemas.openxmlformats.org/officeDocument/2006/relationships/hyperlink" Target="mailto:Rosanna.Iwuala@sunpharma.com" TargetMode="External"/><Relationship Id="rId1380" Type="http://schemas.openxmlformats.org/officeDocument/2006/relationships/hyperlink" Target="https://1drv.ms/b/c/94bd56ed68f00427/IQCpIjlGHBx4RaSR643tABbnATe-Ke9DFDQveHGHlpVQXMo?e=elav3i" TargetMode="External"/><Relationship Id="rId1601" Type="http://schemas.openxmlformats.org/officeDocument/2006/relationships/hyperlink" Target="https://1drv.ms/b/c/94bd56ed68f00427/IQAHdVrAS_vGT4RDfwHgUhwmASYe0mSje83sUuFaBN3sH8w?e=j5Ucsw" TargetMode="External"/><Relationship Id="rId182" Type="http://schemas.openxmlformats.org/officeDocument/2006/relationships/hyperlink" Target="https://1drv.ms/b/c/94bd56ed68f00427/IQClknt6ef_6RKe48Or015xZAVeP3FCshsOruUIfuZmEY-U?e=uzTjrA" TargetMode="External"/><Relationship Id="rId403" Type="http://schemas.openxmlformats.org/officeDocument/2006/relationships/hyperlink" Target="mailto:toluwasanmi@may-bakerng.com;info@may-bakerng.com" TargetMode="External"/><Relationship Id="rId750" Type="http://schemas.openxmlformats.org/officeDocument/2006/relationships/hyperlink" Target="mailto:janisnutrition@gmail.com" TargetMode="External"/><Relationship Id="rId848" Type="http://schemas.openxmlformats.org/officeDocument/2006/relationships/hyperlink" Target="https://1drv.ms/b/c/94bd56ed68f00427/IQAmIkx1p1HISoCjl4gsmr9KAX2pt09RKWXnNXXZURF_CL0?e=ewRh4B" TargetMode="External"/><Relationship Id="rId1033" Type="http://schemas.openxmlformats.org/officeDocument/2006/relationships/hyperlink" Target="mailto:swipha@swiphanigeria.com" TargetMode="External"/><Relationship Id="rId1478" Type="http://schemas.openxmlformats.org/officeDocument/2006/relationships/hyperlink" Target="mailto:swipha@swiphanigeria.com" TargetMode="External"/><Relationship Id="rId487" Type="http://schemas.openxmlformats.org/officeDocument/2006/relationships/hyperlink" Target="https://1drv.ms/b/c/94bd56ed68f00427/IQDDTB0GOKb9SpKCll7ER5kAARZ_6370giZtz9BoHAsHAuo?e=KagXal" TargetMode="External"/><Relationship Id="rId610" Type="http://schemas.openxmlformats.org/officeDocument/2006/relationships/hyperlink" Target="mailto:info@dhi.com.gh" TargetMode="External"/><Relationship Id="rId694" Type="http://schemas.openxmlformats.org/officeDocument/2006/relationships/hyperlink" Target="mailto:customercare@kedihealth.com" TargetMode="External"/><Relationship Id="rId708" Type="http://schemas.openxmlformats.org/officeDocument/2006/relationships/hyperlink" Target="mailto:destmawellness@gmail.com" TargetMode="External"/><Relationship Id="rId915" Type="http://schemas.openxmlformats.org/officeDocument/2006/relationships/hyperlink" Target="mailto:info@fidson.com" TargetMode="External"/><Relationship Id="rId1240" Type="http://schemas.openxmlformats.org/officeDocument/2006/relationships/hyperlink" Target="mailto:kchconsumer@gmail.com" TargetMode="External"/><Relationship Id="rId1338" Type="http://schemas.openxmlformats.org/officeDocument/2006/relationships/hyperlink" Target="mailto:pzindustries@pzcussons.com;udoka.adegor@pzcussons.com" TargetMode="External"/><Relationship Id="rId1545" Type="http://schemas.openxmlformats.org/officeDocument/2006/relationships/hyperlink" Target="https://1drv.ms/b/c/94bd56ed68f00427/IQD0tfbcPcLDTZ6TxJAgJxYlASReJ3YmkcJvLt8xpJMkjDU?e=nW891d" TargetMode="External"/><Relationship Id="rId347" Type="http://schemas.openxmlformats.org/officeDocument/2006/relationships/hyperlink" Target="https://1drv.ms/b/c/94bd56ed68f00427/IQCnKbhai1O-TKUKel0znbhQAQrUl9OSBKPGTBW8QR41iqc?e=FcxqYQ" TargetMode="External"/><Relationship Id="rId999" Type="http://schemas.openxmlformats.org/officeDocument/2006/relationships/hyperlink" Target="mailto:PZindustries@pzcussons.com" TargetMode="External"/><Relationship Id="rId1100" Type="http://schemas.openxmlformats.org/officeDocument/2006/relationships/hyperlink" Target="mailto:customercare@kedihealth.com" TargetMode="External"/><Relationship Id="rId1184" Type="http://schemas.openxmlformats.org/officeDocument/2006/relationships/hyperlink" Target="mailto:PZindustries@pzcussons.com" TargetMode="External"/><Relationship Id="rId1405" Type="http://schemas.openxmlformats.org/officeDocument/2006/relationships/hyperlink" Target="https://1drv.ms/b/c/94bd56ed68f00427/IQBYSC2mT2GmR5NbMeeQCKXDAVAWYyp5Qrut79udde_Vero?e=BHmRBy" TargetMode="External"/><Relationship Id="rId44" Type="http://schemas.openxmlformats.org/officeDocument/2006/relationships/hyperlink" Target="https://1drv.ms/b/c/94bd56ed68f00427/IQAxyEkKzwZISKeT4XlOzg8JAQSJNP-hR7JF3WKuTNEoadI?e=k1jdG1" TargetMode="External"/><Relationship Id="rId554" Type="http://schemas.openxmlformats.org/officeDocument/2006/relationships/hyperlink" Target="mailto:aspira.cosmetics@aspirang.com" TargetMode="External"/><Relationship Id="rId761" Type="http://schemas.openxmlformats.org/officeDocument/2006/relationships/hyperlink" Target="mailto:osaretin.jaiyeola@fensyl.com" TargetMode="External"/><Relationship Id="rId859" Type="http://schemas.openxmlformats.org/officeDocument/2006/relationships/hyperlink" Target="mailto:osworthnigeria@yahoo.com" TargetMode="External"/><Relationship Id="rId1391" Type="http://schemas.openxmlformats.org/officeDocument/2006/relationships/hyperlink" Target="https://1drv.ms/b/c/94bd56ed68f00427/IQCH5Xt_fQYQQIotxyXlZ9wbAbGKYP2A1wr_zrv3CViE86c?e=WBPoqR" TargetMode="External"/><Relationship Id="rId1489" Type="http://schemas.openxmlformats.org/officeDocument/2006/relationships/hyperlink" Target="https://1drv.ms/b/c/94bd56ed68f00427/IQCGD2B2BZwES5e3Eby7XOmDAYqtZyicrCr6diGeYxG3eM4?e=7rthih" TargetMode="External"/><Relationship Id="rId193" Type="http://schemas.openxmlformats.org/officeDocument/2006/relationships/hyperlink" Target="https://1drv.ms/b/c/94bd56ed68f00427/IQCbKBgcPZa5Tot9rZK2o_kOAcsTcqymmwJZ6Oeht4Yhccw?e=umhOc9" TargetMode="External"/><Relationship Id="rId207" Type="http://schemas.openxmlformats.org/officeDocument/2006/relationships/hyperlink" Target="https://1drv.ms/b/c/94bd56ed68f00427/IQDpxdDrjUITRZAgeL7JW1EgARh9XlkfTSZcW83YF9QHLgc?e=VPvyzM" TargetMode="External"/><Relationship Id="rId414" Type="http://schemas.openxmlformats.org/officeDocument/2006/relationships/hyperlink" Target="mailto:reals@realsgroup.com" TargetMode="External"/><Relationship Id="rId498" Type="http://schemas.openxmlformats.org/officeDocument/2006/relationships/hyperlink" Target="mailto:info@drugfieldpharma.com;olakunleekundayo@msn.com" TargetMode="External"/><Relationship Id="rId621" Type="http://schemas.openxmlformats.org/officeDocument/2006/relationships/hyperlink" Target="https://1drv.ms/b/c/94bd56ed68f00427/IQAb0WvUin90RpaUIuCGgzjFATj3bk3IPnRoYkuPiVytV7g?e=B52weA" TargetMode="External"/><Relationship Id="rId1044" Type="http://schemas.openxmlformats.org/officeDocument/2006/relationships/hyperlink" Target="mailto:swipha@swiphanigeria.com" TargetMode="External"/><Relationship Id="rId1251" Type="http://schemas.openxmlformats.org/officeDocument/2006/relationships/hyperlink" Target="https://1drv.ms/b/c/94bd56ed68f00427/IQCqsCdUTI9WR6L69wp4FGakAQuVccBn8SiAeN-IDAsJdHY?e=3sGY3N" TargetMode="External"/><Relationship Id="rId1349" Type="http://schemas.openxmlformats.org/officeDocument/2006/relationships/hyperlink" Target="mailto:info@ng.pvmgrp.com" TargetMode="External"/><Relationship Id="rId260" Type="http://schemas.openxmlformats.org/officeDocument/2006/relationships/hyperlink" Target="https://1drv.ms/b/c/94bd56ed68f00427/IQBazrVI6fQjSJlNDKFvBDsMAVGFiD4AGyQXZqEMBi9zpww?e=XYcZrr" TargetMode="External"/><Relationship Id="rId719" Type="http://schemas.openxmlformats.org/officeDocument/2006/relationships/hyperlink" Target="mailto:info@newheightpharma.coom" TargetMode="External"/><Relationship Id="rId926" Type="http://schemas.openxmlformats.org/officeDocument/2006/relationships/hyperlink" Target="mailto:Nivea.Nigeria3@Beiersdorf.com" TargetMode="External"/><Relationship Id="rId1111" Type="http://schemas.openxmlformats.org/officeDocument/2006/relationships/hyperlink" Target="mailto:osaretin.jaiyeola@fensyl.com" TargetMode="External"/><Relationship Id="rId1556" Type="http://schemas.openxmlformats.org/officeDocument/2006/relationships/hyperlink" Target="https://1drv.ms/b/c/94bd56ed68f00427/IQAbX2ozH6ruRYLvsUvqHww_AZ4Jpc7pkVpMui3vEvhreuI?e=gYZCmb" TargetMode="External"/><Relationship Id="rId55" Type="http://schemas.openxmlformats.org/officeDocument/2006/relationships/hyperlink" Target="https://1drv.ms/b/c/94bd56ed68f00427/IQCsZqeDI_HPS6eo1y2oLtQmAWVe92rIZ-wsSHJFXL1lPGE?e=MWs6hJ" TargetMode="External"/><Relationship Id="rId120" Type="http://schemas.openxmlformats.org/officeDocument/2006/relationships/hyperlink" Target="https://1drv.ms/b/c/94bd56ed68f00427/IQDGlX9BiQBfToKEFr10Jul5AeSs8jbZFHsmofQFJvFUQBI?e=QlfH5a" TargetMode="External"/><Relationship Id="rId358" Type="http://schemas.openxmlformats.org/officeDocument/2006/relationships/hyperlink" Target="https://1drv.ms/b/c/94bd56ed68f00427/IQBMmJmNXoq6SITVGhYrIBbMAS501lyh-fw3EbjE42sXSNI?e=ncyGu2" TargetMode="External"/><Relationship Id="rId565" Type="http://schemas.openxmlformats.org/officeDocument/2006/relationships/hyperlink" Target="mailto:taiwo.oteju@beiersdorf.com" TargetMode="External"/><Relationship Id="rId772" Type="http://schemas.openxmlformats.org/officeDocument/2006/relationships/hyperlink" Target="https://1drv.ms/b/c/94bd56ed68f00427/IQB7lOMWkFc3S5G-mt98YaS2AZZ-pb1e7Gyeq5fDTJ_GXk0?e=TMgG9N" TargetMode="External"/><Relationship Id="rId1195" Type="http://schemas.openxmlformats.org/officeDocument/2006/relationships/hyperlink" Target="https://1drv.ms/b/c/94bd56ed68f00427/IQDCJxt2po3fQ7ayd1mH346vAV0-JZSC738WOqI91O4Q1_Y?e=a6Fsp6" TargetMode="External"/><Relationship Id="rId1209" Type="http://schemas.openxmlformats.org/officeDocument/2006/relationships/hyperlink" Target="https://1drv.ms/b/c/94bd56ed68f00427/IQAY8Q7wAqb_Q6Wxxbb1sDUvASitEZtT0Qux1SuV3E7Axi8?e=bMNUKT" TargetMode="External"/><Relationship Id="rId1416" Type="http://schemas.openxmlformats.org/officeDocument/2006/relationships/hyperlink" Target="mailto:osaretin.jaiyeola@fensyl.com" TargetMode="External"/><Relationship Id="rId218" Type="http://schemas.openxmlformats.org/officeDocument/2006/relationships/hyperlink" Target="https://1drv.ms/b/c/94bd56ed68f00427/IQA83XsTakxPS6EublcCSc60ATyGGzHQoigtqVNjr4fAMFk?e=KK2BJn" TargetMode="External"/><Relationship Id="rId425" Type="http://schemas.openxmlformats.org/officeDocument/2006/relationships/hyperlink" Target="https://1drv.ms/b/c/94bd56ed68f00427/IQDRSe2MaP0pTIWeTOWt-USDAY_PHzn0VruhYZ-xVWCr7l0?e=z1P5Cq" TargetMode="External"/><Relationship Id="rId632" Type="http://schemas.openxmlformats.org/officeDocument/2006/relationships/hyperlink" Target="mailto:destmawellness@gmail.com" TargetMode="External"/><Relationship Id="rId1055" Type="http://schemas.openxmlformats.org/officeDocument/2006/relationships/hyperlink" Target="https://1drv.ms/b/c/94bd56ed68f00427/IQBFudoV3nRIRplZ4qx_5KJqAYQoFKcOYxpXKDqAaGUeYcc?e=L0MVRW" TargetMode="External"/><Relationship Id="rId1262" Type="http://schemas.openxmlformats.org/officeDocument/2006/relationships/hyperlink" Target="https://1drv.ms/b/c/94bd56ed68f00427/IQD9tjZl33u9R7nqhFNjEodiATci2SbKtk0uSjYMXS5hX9A?e=btVwux" TargetMode="External"/><Relationship Id="rId271" Type="http://schemas.openxmlformats.org/officeDocument/2006/relationships/hyperlink" Target="https://1drv.ms/b/c/94bd56ed68f00427/IQBQBOEJzCkYQ5K8dzv1HjjMAY8dbMOU1JbQCOPIT50DMF0?e=4P4bCy" TargetMode="External"/><Relationship Id="rId937" Type="http://schemas.openxmlformats.org/officeDocument/2006/relationships/hyperlink" Target="mailto:info@cybele.biz" TargetMode="External"/><Relationship Id="rId1122" Type="http://schemas.openxmlformats.org/officeDocument/2006/relationships/hyperlink" Target="https://1drv.ms/b/c/94bd56ed68f00427/IQC9j0aBi2WMRr2vN83Iva3dAZLc4NKtcmcGqiZ6dasZBTY?e=qWNmpY" TargetMode="External"/><Relationship Id="rId1567" Type="http://schemas.openxmlformats.org/officeDocument/2006/relationships/hyperlink" Target="https://1drv.ms/b/c/94bd56ed68f00427/IQBIZLYZiCu7QLxhikexGJPTAb1uI0GnfktGnPjfGwj0P_E?e=6JevwT" TargetMode="External"/><Relationship Id="rId66" Type="http://schemas.openxmlformats.org/officeDocument/2006/relationships/hyperlink" Target="https://1drv.ms/b/c/94bd56ed68f00427/IQB3ggu0WGpYRrT5xPMPqZi2Ac-jgq0KXWr1DbHx6YGQBf0?e=HpYpbL" TargetMode="External"/><Relationship Id="rId131" Type="http://schemas.openxmlformats.org/officeDocument/2006/relationships/hyperlink" Target="https://1drv.ms/b/c/94bd56ed68f00427/IQBap-wfJFSpQ4GTvIFaiL9FAZ_2RI90Xhg1Gd2v0aHUxyE?e=HP7xLh" TargetMode="External"/><Relationship Id="rId369" Type="http://schemas.openxmlformats.org/officeDocument/2006/relationships/hyperlink" Target="https://1drv.ms/b/c/94bd56ed68f00427/IQAIwkh4mh7mRplWUoL_b4M4ATQfi6lSzh0JdNv49Y24tXk?e=72395i" TargetMode="External"/><Relationship Id="rId576" Type="http://schemas.openxmlformats.org/officeDocument/2006/relationships/hyperlink" Target="mailto:taiwo.oteju@beiersdorf.com" TargetMode="External"/><Relationship Id="rId783" Type="http://schemas.openxmlformats.org/officeDocument/2006/relationships/hyperlink" Target="https://1drv.ms/b/c/94bd56ed68f00427/IQDkzJ-4hI8XSaOquHIWvsk_Ab3Reo82C4H7BZ0x8ytmYBk?e=4Vrdu9" TargetMode="External"/><Relationship Id="rId990" Type="http://schemas.openxmlformats.org/officeDocument/2006/relationships/hyperlink" Target="https://1drv.ms/b/c/94bd56ed68f00427/IQBdsBgguSz9QpoDrnqL9NHHARPPQb94sXBsfrCVc-HzZzI?e=YDrmCn" TargetMode="External"/><Relationship Id="rId1427" Type="http://schemas.openxmlformats.org/officeDocument/2006/relationships/hyperlink" Target="mailto:julius.itsisor@beiersdorf.com" TargetMode="External"/><Relationship Id="rId229" Type="http://schemas.openxmlformats.org/officeDocument/2006/relationships/hyperlink" Target="https://1drv.ms/b/c/94bd56ed68f00427/IQDIOCb9N2FPQJaNB6nJZRqyAftar87ehhKsvgaVBzx69JU?e=KQaUNC" TargetMode="External"/><Relationship Id="rId436" Type="http://schemas.openxmlformats.org/officeDocument/2006/relationships/hyperlink" Target="https://1drv.ms/b/c/94bd56ed68f00427/IQCG2YqogIIaQYRpK2ex0I5FAStPknfclFelkUxeE3d16s8?e=lNbmXZ" TargetMode="External"/><Relationship Id="rId643" Type="http://schemas.openxmlformats.org/officeDocument/2006/relationships/hyperlink" Target="https://1drv.ms/b/c/94bd56ed68f00427/IQAWBCp2wt2iS6Gt-SHSxFrhAYkpV72ouyrb_qjEIQ6rn8Q?e=qNoh2u" TargetMode="External"/><Relationship Id="rId1066" Type="http://schemas.openxmlformats.org/officeDocument/2006/relationships/hyperlink" Target="https://1drv.ms/b/c/94bd56ed68f00427/IQBFudoV3nRIRplZ4qx_5KJqAYQoFKcOYxpXKDqAaGUeYcc?e=L0MVRW" TargetMode="External"/><Relationship Id="rId1273" Type="http://schemas.openxmlformats.org/officeDocument/2006/relationships/hyperlink" Target="https://1drv.ms/b/c/94bd56ed68f00427/IQD_Rd35ZjSHQonr_I-K0ydsAWdioLv_D06hsfxAU-rrHgU?e=wrAQy0" TargetMode="External"/><Relationship Id="rId1480" Type="http://schemas.openxmlformats.org/officeDocument/2006/relationships/hyperlink" Target="mailto:swipha@swiphanigeria.com" TargetMode="External"/><Relationship Id="rId850" Type="http://schemas.openxmlformats.org/officeDocument/2006/relationships/hyperlink" Target="mailto:info@helloproductsafrica.com" TargetMode="External"/><Relationship Id="rId948" Type="http://schemas.openxmlformats.org/officeDocument/2006/relationships/hyperlink" Target="mailto:purnanigeria@purnanigeria.com" TargetMode="External"/><Relationship Id="rId1133" Type="http://schemas.openxmlformats.org/officeDocument/2006/relationships/hyperlink" Target="https://1drv.ms/b/c/94bd56ed68f00427/IQBu9m86Zca-QZ4WWlkWZ8yzAfpUCgROXOqJnbw--DRJp3E?e=7vYKuc" TargetMode="External"/><Relationship Id="rId1578" Type="http://schemas.openxmlformats.org/officeDocument/2006/relationships/hyperlink" Target="https://1drv.ms/b/c/94bd56ed68f00427/IQDDGli24ugfRJ4aKYYogK1cAdw3ybbgM4Td329bsl5xVH0?e=avk5AD" TargetMode="External"/><Relationship Id="rId77" Type="http://schemas.openxmlformats.org/officeDocument/2006/relationships/hyperlink" Target="https://1drv.ms/b/c/94bd56ed68f00427/IQCefuekj75AQodsvtJ4qzZ3AbJdPugZQ0XKD23yz8Ag138?e=XVy7Je" TargetMode="External"/><Relationship Id="rId282" Type="http://schemas.openxmlformats.org/officeDocument/2006/relationships/hyperlink" Target="https://1drv.ms/b/c/94bd56ed68f00427/IQCf-lwye3pMRYOUij8w7lRsAcyBn9bT8SyP-IuSV6GxCWA?e=gSTNNq" TargetMode="External"/><Relationship Id="rId503" Type="http://schemas.openxmlformats.org/officeDocument/2006/relationships/hyperlink" Target="https://1drv.ms/b/c/94bd56ed68f00427/IQBYHNn3ecigRI-xS3hZ65HaAcdJJ3tRRwHk6Pu_xA4M4p0?e=5gkKdV" TargetMode="External"/><Relationship Id="rId587" Type="http://schemas.openxmlformats.org/officeDocument/2006/relationships/hyperlink" Target="https://1drv.ms/b/c/94bd56ed68f00427/IQCqtAEnCQuSQodC6aHtyGyAAXXK_Rc5CysO6dyyVPKkPxE?e=RzdLgK" TargetMode="External"/><Relationship Id="rId710" Type="http://schemas.openxmlformats.org/officeDocument/2006/relationships/hyperlink" Target="mailto:sefihait.kone@bayer.com" TargetMode="External"/><Relationship Id="rId808" Type="http://schemas.openxmlformats.org/officeDocument/2006/relationships/hyperlink" Target="https://1drv.ms/b/c/94bd56ed68f00427/IQBPm32zmvAqRZ1ejH_d87AOARC-e3TcEXaV88qdfW7mL0s?e=g01S0P" TargetMode="External"/><Relationship Id="rId1340" Type="http://schemas.openxmlformats.org/officeDocument/2006/relationships/hyperlink" Target="mailto:info@elbepharma.com" TargetMode="External"/><Relationship Id="rId1438" Type="http://schemas.openxmlformats.org/officeDocument/2006/relationships/hyperlink" Target="https://1drv.ms/b/c/94bd56ed68f00427/IQDRJMTwDTw-QLE8wo4MrtpqAR00LOYPy_V5VHSUPn1WfR8?e=90HuKb" TargetMode="External"/><Relationship Id="rId8" Type="http://schemas.openxmlformats.org/officeDocument/2006/relationships/hyperlink" Target="https://1drv.ms/b/c/94bd56ed68f00427/IQAhGjw21Pg0Qpq2utQGCH3DAbOF9jaP2V4e5_H5qPCCvC8?e=xOithr" TargetMode="External"/><Relationship Id="rId142" Type="http://schemas.openxmlformats.org/officeDocument/2006/relationships/hyperlink" Target="https://1drv.ms/b/c/94bd56ed68f00427/IQAgDtnuoZwwToqWODY50vKYAXPzV-s_UhaV2L3cGsYfHoQ?e=3rbSf9" TargetMode="External"/><Relationship Id="rId447" Type="http://schemas.openxmlformats.org/officeDocument/2006/relationships/hyperlink" Target="mailto:info@phillipsnigeria.com" TargetMode="External"/><Relationship Id="rId794" Type="http://schemas.openxmlformats.org/officeDocument/2006/relationships/hyperlink" Target="https://1drv.ms/b/c/94bd56ed68f00427/IQA15cylw2YqSogVsSl_w2t4AXBzDHZOe1gVTigRKxLUAjo?e=lPHXrW" TargetMode="External"/><Relationship Id="rId1077" Type="http://schemas.openxmlformats.org/officeDocument/2006/relationships/hyperlink" Target="mailto:swipha@swiphanigeria.com" TargetMode="External"/><Relationship Id="rId1200" Type="http://schemas.openxmlformats.org/officeDocument/2006/relationships/hyperlink" Target="mailto:PZindustries@pzcussons.com" TargetMode="External"/><Relationship Id="rId654" Type="http://schemas.openxmlformats.org/officeDocument/2006/relationships/hyperlink" Target="mailto:Rosanna.Iwuala@sunpharma.com" TargetMode="External"/><Relationship Id="rId861" Type="http://schemas.openxmlformats.org/officeDocument/2006/relationships/hyperlink" Target="https://1drv.ms/b/c/94bd56ed68f00427/IQCPj7_WaCQhSbUnasXX5qmaASpFmQyEfxseoNGoHmzr00A?e=ILmB78" TargetMode="External"/><Relationship Id="rId959" Type="http://schemas.openxmlformats.org/officeDocument/2006/relationships/hyperlink" Target="https://1drv.ms/b/c/94bd56ed68f00427/IQDFBoG2Q7FoQ5y8_ibA_3O9AQwVEbdRnlZXnvxkLdj2Gwo?e=VbfAlU" TargetMode="External"/><Relationship Id="rId1284" Type="http://schemas.openxmlformats.org/officeDocument/2006/relationships/hyperlink" Target="mailto:info@may-baker.com" TargetMode="External"/><Relationship Id="rId1491" Type="http://schemas.openxmlformats.org/officeDocument/2006/relationships/hyperlink" Target="https://1drv.ms/b/c/94bd56ed68f00427/IQCGD2B2BZwES5e3Eby7XOmDAYqtZyicrCr6diGeYxG3eM4?e=7rthih" TargetMode="External"/><Relationship Id="rId1505" Type="http://schemas.openxmlformats.org/officeDocument/2006/relationships/hyperlink" Target="https://1drv.ms/b/c/94bd56ed68f00427/IQD-xGbSVt3zTKiLYmRxf1CuAQvS0ptuiY_dznQ0c-6udBg?e=zuQl3H" TargetMode="External"/><Relationship Id="rId1589" Type="http://schemas.openxmlformats.org/officeDocument/2006/relationships/hyperlink" Target="https://1drv.ms/i/c/94bd56ed68f00427/IQBwh2Nfq0BXQrIZgeCWQPdjAWMxMiaolR0bB_IVzufX6-I?e=zd0Azg" TargetMode="External"/><Relationship Id="rId293" Type="http://schemas.openxmlformats.org/officeDocument/2006/relationships/hyperlink" Target="https://1drv.ms/b/c/94bd56ed68f00427/IQCiCt0fv_9ATpJUURnrrNgCAbvXgxpySN2EwtTaGyHz088?e=OHlVX6" TargetMode="External"/><Relationship Id="rId307" Type="http://schemas.openxmlformats.org/officeDocument/2006/relationships/hyperlink" Target="https://1drv.ms/b/c/94bd56ed68f00427/IQDN5qjgIEi2Sq09Gsu-KPSWAWiYXy1l4zfp2Amh3ms4IZ0?e=pGh2su" TargetMode="External"/><Relationship Id="rId514" Type="http://schemas.openxmlformats.org/officeDocument/2006/relationships/hyperlink" Target="mailto:info@drugfieldpharma.com;olakunleekundayo@msn.com" TargetMode="External"/><Relationship Id="rId721" Type="http://schemas.openxmlformats.org/officeDocument/2006/relationships/hyperlink" Target="mailto:rosanna.iwuala@sunpharma.com" TargetMode="External"/><Relationship Id="rId1144" Type="http://schemas.openxmlformats.org/officeDocument/2006/relationships/hyperlink" Target="https://1drv.ms/b/c/94bd56ed68f00427/IQBbawWwZ-cCQ4O9pyOiI_RFAUwrsmu-fh0zXoAjNf2U5YI?e=UItawk" TargetMode="External"/><Relationship Id="rId1351" Type="http://schemas.openxmlformats.org/officeDocument/2006/relationships/hyperlink" Target="https://1drv.ms/b/c/94bd56ed68f00427/IQB8zOCZ1BjCTIGs0g-dL4PzAUIDVG0v0d-ME9RWWcqFcl0?e=Gqdw5p" TargetMode="External"/><Relationship Id="rId1449" Type="http://schemas.openxmlformats.org/officeDocument/2006/relationships/hyperlink" Target="https://1drv.ms/b/c/94bd56ed68f00427/IQDkdmTbcOD2Rqtyea-jsDUCAVhTKVj7JZqxaA2v470amoE?e=gbK6Ih" TargetMode="External"/><Relationship Id="rId88" Type="http://schemas.openxmlformats.org/officeDocument/2006/relationships/hyperlink" Target="https://1drv.ms/b/c/94bd56ed68f00427/IQBWibWdIP2qQKCeGkyxdqWlAbaMFSvFEoapzS1AndW2TQg?e=vLmdtW" TargetMode="External"/><Relationship Id="rId153" Type="http://schemas.openxmlformats.org/officeDocument/2006/relationships/hyperlink" Target="https://1drv.ms/b/c/94bd56ed68f00427/IQDbTEISmiKzQ5DyZkBOZVMEAbvxX1nHqoPU_2DslfnMcB4?e=7IrGsA" TargetMode="External"/><Relationship Id="rId360" Type="http://schemas.openxmlformats.org/officeDocument/2006/relationships/hyperlink" Target="https://1drv.ms/b/c/94bd56ed68f00427/IQDmPA6whq_XSbjP74fsDKAuAe5wDJJidmIHY4_ufXoL4_4?e=fZuIwE" TargetMode="External"/><Relationship Id="rId598" Type="http://schemas.openxmlformats.org/officeDocument/2006/relationships/hyperlink" Target="https://1drv.ms/b/c/94bd56ed68f00427/IQCi3iI_XGrUS6fMXErw4t6YASlqxbaDa4XQ3SIQqAfE1XE?e=jB33Qb" TargetMode="External"/><Relationship Id="rId819" Type="http://schemas.openxmlformats.org/officeDocument/2006/relationships/hyperlink" Target="mailto:aspira.cosmetics@aspirang.com" TargetMode="External"/><Relationship Id="rId1004" Type="http://schemas.openxmlformats.org/officeDocument/2006/relationships/hyperlink" Target="https://1drv.ms/b/c/94bd56ed68f00427/IQCdsHOj18IWS4crNNzS5TuFAfkRWd75aY_p3rJw7utUkr8?e=6A8d83" TargetMode="External"/><Relationship Id="rId1211" Type="http://schemas.openxmlformats.org/officeDocument/2006/relationships/hyperlink" Target="https://1drv.ms/b/c/94bd56ed68f00427/IQBxPxykRz8sQ7Xhk6TIACaKAf_6znQgfbvyZfdXKkeRDFI?e=jfs4Yc" TargetMode="External"/><Relationship Id="rId220" Type="http://schemas.openxmlformats.org/officeDocument/2006/relationships/hyperlink" Target="https://1drv.ms/b/c/94bd56ed68f00427/IQAQ1biug2d0RKDjjMt5_858ARm50Xy7MPf4iZ8WiI4sjSE?e=I84hCz" TargetMode="External"/><Relationship Id="rId458" Type="http://schemas.openxmlformats.org/officeDocument/2006/relationships/hyperlink" Target="mailto:grace.iyiola@godrejcp.com" TargetMode="External"/><Relationship Id="rId665" Type="http://schemas.openxmlformats.org/officeDocument/2006/relationships/hyperlink" Target="mailto:chipharma@clicktgi.net" TargetMode="External"/><Relationship Id="rId872" Type="http://schemas.openxmlformats.org/officeDocument/2006/relationships/hyperlink" Target="https://1drv.ms/b/c/94bd56ed68f00427/IQCq0AhGPDp9RIIIyrB5wqpoAReKUTqyYUUc2s_odfee258?e=qVq1Vl" TargetMode="External"/><Relationship Id="rId1088" Type="http://schemas.openxmlformats.org/officeDocument/2006/relationships/hyperlink" Target="https://1drv.ms/b/c/94bd56ed68f00427/IQD8lruqhSH0S76r3Kx5uQElAbQalLY-mHM5H5XyAkayIgw?e=j1LBpH" TargetMode="External"/><Relationship Id="rId1295" Type="http://schemas.openxmlformats.org/officeDocument/2006/relationships/hyperlink" Target="mailto:info@shalina.com" TargetMode="External"/><Relationship Id="rId1309" Type="http://schemas.openxmlformats.org/officeDocument/2006/relationships/hyperlink" Target="https://1drv.ms/b/c/94bd56ed68f00427/IQBWm1_E2txQQq5vABWnL9ybAZ-PZLoYJQ-ysE7EgNuKmVk?e=gZ0fiU" TargetMode="External"/><Relationship Id="rId1516" Type="http://schemas.openxmlformats.org/officeDocument/2006/relationships/hyperlink" Target="https://1drv.ms/b/c/94bd56ed68f00427/IQBy5biDRajYRLt4Tc34sULHAQt_tK90BKMtb5GtYlBFLzk?e=Pb6nqG" TargetMode="External"/><Relationship Id="rId15" Type="http://schemas.openxmlformats.org/officeDocument/2006/relationships/hyperlink" Target="https://nafdacng-my.sharepoint.com/:b:/g/personal/adekunle_adeniran_nafdac_gov_ng/IQDeOYWxCh3EQIXfgvWJVaVLAX7TqbtquEhcVtI47NjPBAY?e=IdypC7" TargetMode="External"/><Relationship Id="rId318" Type="http://schemas.openxmlformats.org/officeDocument/2006/relationships/hyperlink" Target="https://1drv.ms/b/c/94bd56ed68f00427/IQAemVciBcIcRaF8DywFTBawAdAvFLJI4a83pMeNxS7Amck?e=cRYMRZ" TargetMode="External"/><Relationship Id="rId525" Type="http://schemas.openxmlformats.org/officeDocument/2006/relationships/hyperlink" Target="https://1drv.ms/b/c/94bd56ed68f00427/IQAMwfCuip8rSaE2H3Jj1-GUAa5Uu_ViOjdyz5PLXiCF7U4?e=orGCD8" TargetMode="External"/><Relationship Id="rId732" Type="http://schemas.openxmlformats.org/officeDocument/2006/relationships/hyperlink" Target="mailto:destmawellness1234@gmail.com" TargetMode="External"/><Relationship Id="rId1155" Type="http://schemas.openxmlformats.org/officeDocument/2006/relationships/hyperlink" Target="https://1drv.ms/b/c/94bd56ed68f00427/IQAwSBnVPeo7T45wDMoLO1DoATvAzwM-i5IhCkvoPxJgZaU?e=L8wIy1" TargetMode="External"/><Relationship Id="rId1362" Type="http://schemas.openxmlformats.org/officeDocument/2006/relationships/hyperlink" Target="mailto:phppharma@yahoo.com" TargetMode="External"/><Relationship Id="rId99" Type="http://schemas.openxmlformats.org/officeDocument/2006/relationships/hyperlink" Target="https://1drv.ms/b/c/94bd56ed68f00427/IQC87RBCo_AMTpDn094d0tQeAbr9mT6WmQEGiV8j4Tf6-uk?e=Z80oxI" TargetMode="External"/><Relationship Id="rId164" Type="http://schemas.openxmlformats.org/officeDocument/2006/relationships/hyperlink" Target="https://1drv.ms/b/c/94bd56ed68f00427/IQCALp3j2dQtR7GyjaHXfGXTAZn8jNLX473qb7bDs8XVyY0?e=L9Hh9A" TargetMode="External"/><Relationship Id="rId371" Type="http://schemas.openxmlformats.org/officeDocument/2006/relationships/hyperlink" Target="mailto:info@drugfieldpharma.com;olakunleekundayo@msn.com" TargetMode="External"/><Relationship Id="rId1015" Type="http://schemas.openxmlformats.org/officeDocument/2006/relationships/hyperlink" Target="https://1drv.ms/b/c/94bd56ed68f00427/IQCnnEtfyXA-TYe8pfSAUGesASdE1-DVf9ssOlgbS7rhE5E?e=ogLD00" TargetMode="External"/><Relationship Id="rId1222" Type="http://schemas.openxmlformats.org/officeDocument/2006/relationships/hyperlink" Target="https://1drv.ms/b/c/94bd56ed68f00427/IQBbu2T_wHCNQrBJenmoyKb0Act2BpeEZX6Xm1SKyQwDZBQ?e=rctfG1" TargetMode="External"/><Relationship Id="rId469" Type="http://schemas.openxmlformats.org/officeDocument/2006/relationships/hyperlink" Target="mailto:info@nobleafrica.com" TargetMode="External"/><Relationship Id="rId676" Type="http://schemas.openxmlformats.org/officeDocument/2006/relationships/hyperlink" Target="mailto:osaretin.jaiyeola@fensyl.com" TargetMode="External"/><Relationship Id="rId883" Type="http://schemas.openxmlformats.org/officeDocument/2006/relationships/hyperlink" Target="mailto:Nivea.Nigeria3@Beiersdorf.com" TargetMode="External"/><Relationship Id="rId1099" Type="http://schemas.openxmlformats.org/officeDocument/2006/relationships/hyperlink" Target="mailto:janisnutrition@gmail.com" TargetMode="External"/><Relationship Id="rId1527" Type="http://schemas.openxmlformats.org/officeDocument/2006/relationships/hyperlink" Target="https://1drv.ms/b/c/94bd56ed68f00427/IQDesqaXhdIHTrA01pqhPaUPASe3dzdA91UBJO4jFKNTBso?e=NYX6L4" TargetMode="External"/><Relationship Id="rId26" Type="http://schemas.openxmlformats.org/officeDocument/2006/relationships/hyperlink" Target="https://1drv.ms/b/c/94bd56ed68f00427/IQCbDXcHLYX-TJdIjrNJ69sFASTZFIodz_BVujiRrrq4G0M?e=2y8LLg" TargetMode="External"/><Relationship Id="rId231" Type="http://schemas.openxmlformats.org/officeDocument/2006/relationships/hyperlink" Target="https://1drv.ms/b/c/94bd56ed68f00427/IQBLfNK0sliHTIDd-ig-tKv2AV8Fqt-Cu94zoZsgw3a7coo?e=zbeqBy" TargetMode="External"/><Relationship Id="rId329" Type="http://schemas.openxmlformats.org/officeDocument/2006/relationships/hyperlink" Target="https://1drv.ms/b/c/94bd56ed68f00427/IQBcy77SZCBoSK48quYa9k2hAa0Co5NkTUuRd0WOwgUWXR0?e=WAoT17" TargetMode="External"/><Relationship Id="rId536" Type="http://schemas.openxmlformats.org/officeDocument/2006/relationships/hyperlink" Target="mailto:grace.iyiola@godrejcp.com" TargetMode="External"/><Relationship Id="rId1166" Type="http://schemas.openxmlformats.org/officeDocument/2006/relationships/hyperlink" Target="mailto:customerservice@emzorpharmana.com" TargetMode="External"/><Relationship Id="rId1373" Type="http://schemas.openxmlformats.org/officeDocument/2006/relationships/hyperlink" Target="mailto:phppharma@yahoo.com" TargetMode="External"/><Relationship Id="rId175" Type="http://schemas.openxmlformats.org/officeDocument/2006/relationships/hyperlink" Target="https://1drv.ms/b/c/94bd56ed68f00427/IQBuLMmcRYCoQIlPlMdOy61JAQYmqc9HBPwpmlCALJ5JtdQ?e=JjLdtc" TargetMode="External"/><Relationship Id="rId743" Type="http://schemas.openxmlformats.org/officeDocument/2006/relationships/hyperlink" Target="mailto:info@geneithpharm.com" TargetMode="External"/><Relationship Id="rId950" Type="http://schemas.openxmlformats.org/officeDocument/2006/relationships/hyperlink" Target="mailto:purnanigeria@purnanigeria.com" TargetMode="External"/><Relationship Id="rId1026" Type="http://schemas.openxmlformats.org/officeDocument/2006/relationships/hyperlink" Target="https://1drv.ms/b/c/94bd56ed68f00427/IQBFudoV3nRIRplZ4qx_5KJqAYQoFKcOYxpXKDqAaGUeYcc?e=L0MVRW" TargetMode="External"/><Relationship Id="rId1580" Type="http://schemas.openxmlformats.org/officeDocument/2006/relationships/hyperlink" Target="https://1drv.ms/b/c/94bd56ed68f00427/IQDDGli24ugfRJ4aKYYogK1cAdw3ybbgM4Td329bsl5xVH0?e=avk5ADhttps://1drv.ms/b/c/94bd56ed68f00427/IQDDGli24ugfRJ4aKYYogK1cAdw3ybbgM4Td329bsl5xVH0?e=avk5AD" TargetMode="External"/><Relationship Id="rId382" Type="http://schemas.openxmlformats.org/officeDocument/2006/relationships/hyperlink" Target="https://1drv.ms/b/c/94bd56ed68f00427/IQAlnCnUugPeRIGJSVLMFlehAVuiOH91foDgIL86JY12_JY?e=ZqGSyq" TargetMode="External"/><Relationship Id="rId603" Type="http://schemas.openxmlformats.org/officeDocument/2006/relationships/hyperlink" Target="mailto:info@afrabchem.com" TargetMode="External"/><Relationship Id="rId687" Type="http://schemas.openxmlformats.org/officeDocument/2006/relationships/hyperlink" Target="mailto:order@vastovers.com" TargetMode="External"/><Relationship Id="rId810" Type="http://schemas.openxmlformats.org/officeDocument/2006/relationships/hyperlink" Target="mailto:Luis.munoz@beiersdorf.com" TargetMode="External"/><Relationship Id="rId908" Type="http://schemas.openxmlformats.org/officeDocument/2006/relationships/hyperlink" Target="mailto:info@elbepharm.com" TargetMode="External"/><Relationship Id="rId1233" Type="http://schemas.openxmlformats.org/officeDocument/2006/relationships/hyperlink" Target="https://1drv.ms/b/c/94bd56ed68f00427/IQDOxianeYjNR6ZWqBERQDQEASW3nJ-JPMQwdxUIT-8vEjk?e=u5UWPa" TargetMode="External"/><Relationship Id="rId1440" Type="http://schemas.openxmlformats.org/officeDocument/2006/relationships/hyperlink" Target="mailto:henry.duruike@beiersdorf.com" TargetMode="External"/><Relationship Id="rId1538" Type="http://schemas.openxmlformats.org/officeDocument/2006/relationships/hyperlink" Target="https://1drv.ms/b/c/94bd56ed68f00427/IQBE4s7lxvf7T5A8iN0bRNXHAbJry1Zm2wr1hHZaHO0JGMc?e=OFREd2" TargetMode="External"/><Relationship Id="rId242" Type="http://schemas.openxmlformats.org/officeDocument/2006/relationships/hyperlink" Target="https://1drv.ms/b/c/94bd56ed68f00427/IQDAwkee9E1pRpSORx1fqKELAWwhW0sNuap4kdn__apogCk?e=Z6Xx4E" TargetMode="External"/><Relationship Id="rId894" Type="http://schemas.openxmlformats.org/officeDocument/2006/relationships/hyperlink" Target="mailto:mamaudacare@mamudagroup.it" TargetMode="External"/><Relationship Id="rId1177" Type="http://schemas.openxmlformats.org/officeDocument/2006/relationships/hyperlink" Target="https://1drv.ms/b/c/94bd56ed68f00427/IQBvSkaAlWWPRKGXqKr-ZLffARAg3lQU6LiScgbuBe70qLk?e=he02Rt" TargetMode="External"/><Relationship Id="rId1300" Type="http://schemas.openxmlformats.org/officeDocument/2006/relationships/hyperlink" Target="mailto:info@shalina.com" TargetMode="External"/><Relationship Id="rId37" Type="http://schemas.openxmlformats.org/officeDocument/2006/relationships/hyperlink" Target="https://1drv.ms/b/c/94bd56ed68f00427/IQDJ_6jzu-MMT5dlbnRgw7btAQBpWNcCnQ_V3QGGpUmX2cc?e=lVEmFh" TargetMode="External"/><Relationship Id="rId102" Type="http://schemas.openxmlformats.org/officeDocument/2006/relationships/hyperlink" Target="https://1drv.ms/b/c/94bd56ed68f00427/IQBxDqk3zM4TSYhT84bQabBHATYefmBq_zzqpxKc5DeyMkg?e=KcIvMG" TargetMode="External"/><Relationship Id="rId547" Type="http://schemas.openxmlformats.org/officeDocument/2006/relationships/hyperlink" Target="mailto:kesster.chimyenum@unilever.com" TargetMode="External"/><Relationship Id="rId754" Type="http://schemas.openxmlformats.org/officeDocument/2006/relationships/hyperlink" Target="mailto:info@imperiocosmetics.com" TargetMode="External"/><Relationship Id="rId961" Type="http://schemas.openxmlformats.org/officeDocument/2006/relationships/hyperlink" Target="https://1drv.ms/b/c/94bd56ed68f00427/IQCXJu4gDDRoTZfuK9dqm60iAQsuh9IdVX3_F8Kj5D840sE?e=yqclLq" TargetMode="External"/><Relationship Id="rId1384" Type="http://schemas.openxmlformats.org/officeDocument/2006/relationships/hyperlink" Target="mailto:customerservice@emzorpharma.com;chinelo@emzorpharma.com;info@emzorpharma.com" TargetMode="External"/><Relationship Id="rId1591" Type="http://schemas.openxmlformats.org/officeDocument/2006/relationships/hyperlink" Target="https://1drv.ms/i/c/94bd56ed68f00427/IQCR8Bm0CNnRRqHEeuV6aG9bAR5goI-W2DOWzFSJfTYsj9k?e=DoHZD1" TargetMode="External"/><Relationship Id="rId1605" Type="http://schemas.openxmlformats.org/officeDocument/2006/relationships/hyperlink" Target="https://1drv.ms/i/c/94bd56ed68f00427/IQCqeXXS5xwtSoViQOQhwBtXARHpR6eQN8EkpmwXI0cNrLc?e=C0wDV5" TargetMode="External"/><Relationship Id="rId90" Type="http://schemas.openxmlformats.org/officeDocument/2006/relationships/hyperlink" Target="https://1drv.ms/b/c/94bd56ed68f00427/IQDbTEISmiKzQ5DyZkBOZVMEAbvxX1nHqoPU_2DslfnMcB4?e=KbSGoc" TargetMode="External"/><Relationship Id="rId186" Type="http://schemas.openxmlformats.org/officeDocument/2006/relationships/hyperlink" Target="https://1drv.ms/b/c/94bd56ed68f00427/IQDRK2gzYEZdR4BCeFoCQpkgAYWaTYH9OZWjLzBh8d0VgtA?e=JhvWN0" TargetMode="External"/><Relationship Id="rId393" Type="http://schemas.openxmlformats.org/officeDocument/2006/relationships/hyperlink" Target="mailto:info@drugfieldpharma.com;olakunleekundayo@msn.com" TargetMode="External"/><Relationship Id="rId407" Type="http://schemas.openxmlformats.org/officeDocument/2006/relationships/hyperlink" Target="mailto:toluwasanmi@may-bakerng.com;info@may-bakerng.com" TargetMode="External"/><Relationship Id="rId614" Type="http://schemas.openxmlformats.org/officeDocument/2006/relationships/hyperlink" Target="mailto:customerservice@emzorpharma.com" TargetMode="External"/><Relationship Id="rId821" Type="http://schemas.openxmlformats.org/officeDocument/2006/relationships/hyperlink" Target="https://1drv.ms/b/c/94bd56ed68f00427/IQBNgMcutltMT42rSNOACso8AZKB2uiCB4jVEjCRBBl4NRg?e=rdfVdf" TargetMode="External"/><Relationship Id="rId1037" Type="http://schemas.openxmlformats.org/officeDocument/2006/relationships/hyperlink" Target="mailto:swipha@swiphanigeria.com" TargetMode="External"/><Relationship Id="rId1244" Type="http://schemas.openxmlformats.org/officeDocument/2006/relationships/hyperlink" Target="mailto:phppharma@yahoo.com" TargetMode="External"/><Relationship Id="rId1451" Type="http://schemas.openxmlformats.org/officeDocument/2006/relationships/hyperlink" Target="mailto:asgrowpharma@kunech.com" TargetMode="External"/><Relationship Id="rId253" Type="http://schemas.openxmlformats.org/officeDocument/2006/relationships/hyperlink" Target="https://1drv.ms/b/c/94bd56ed68f00427/IQDLFfz3x7X2QbhJFPWrJsLwAcSzwF6-LPfEjBghSJIEDqE?e=daIvAX" TargetMode="External"/><Relationship Id="rId460" Type="http://schemas.openxmlformats.org/officeDocument/2006/relationships/hyperlink" Target="mailto:therapeuticlab@yahoo.com" TargetMode="External"/><Relationship Id="rId698" Type="http://schemas.openxmlformats.org/officeDocument/2006/relationships/hyperlink" Target="mailto:info@elbepharma.com" TargetMode="External"/><Relationship Id="rId919" Type="http://schemas.openxmlformats.org/officeDocument/2006/relationships/hyperlink" Target="mailto:almondethicalsltd@gmail.com" TargetMode="External"/><Relationship Id="rId1090" Type="http://schemas.openxmlformats.org/officeDocument/2006/relationships/hyperlink" Target="mailto:janisnutrition@gmail.com" TargetMode="External"/><Relationship Id="rId1104" Type="http://schemas.openxmlformats.org/officeDocument/2006/relationships/hyperlink" Target="mailto:victoria.ezeala@viatris.com;abisola.ayodele@pfizer.com" TargetMode="External"/><Relationship Id="rId1311" Type="http://schemas.openxmlformats.org/officeDocument/2006/relationships/hyperlink" Target="https://1drv.ms/b/c/94bd56ed68f00427/IQCB2NL4_4-fSoUinMhPoK-OARfkBGbN9QFQ7WnM20P6Ig4?e=FMuheY" TargetMode="External"/><Relationship Id="rId1549" Type="http://schemas.openxmlformats.org/officeDocument/2006/relationships/hyperlink" Target="https://1drv.ms/b/c/94bd56ed68f00427/IQD0tfbcPcLDTZ6TxJAgJxYlASReJ3YmkcJvLt8xpJMkjDU?e=nW891d" TargetMode="External"/><Relationship Id="rId48" Type="http://schemas.openxmlformats.org/officeDocument/2006/relationships/hyperlink" Target="https://1drv.ms/b/c/94bd56ed68f00427/IQCO8SUAjDlYQ7CeBYJUKuQYAY5kHVOiAU0rh5Cm9kd63pM?e=pjE0mT" TargetMode="External"/><Relationship Id="rId113" Type="http://schemas.openxmlformats.org/officeDocument/2006/relationships/hyperlink" Target="https://1drv.ms/b/c/94bd56ed68f00427/IQAGZbyG3M9aRKBu1XgT_L3hAfyVyG18Bm-AMVEWfGH5vts?e=Eyy644" TargetMode="External"/><Relationship Id="rId320" Type="http://schemas.openxmlformats.org/officeDocument/2006/relationships/hyperlink" Target="https://1drv.ms/b/c/94bd56ed68f00427/IQDavQGFYfMRS6YA3vlRuNV9AedA83KlZ0xsLbyX3zT2_2g?e=nucOYo" TargetMode="External"/><Relationship Id="rId558" Type="http://schemas.openxmlformats.org/officeDocument/2006/relationships/hyperlink" Target="mailto:udoka.adegor@pzcussons.com" TargetMode="External"/><Relationship Id="rId765" Type="http://schemas.openxmlformats.org/officeDocument/2006/relationships/hyperlink" Target="https://1drv.ms/b/c/94bd56ed68f00427/IQAfWEpkQycESo9oVx3oO9NzAUxHUceV76YUNJIUxxg-4No?e=z6kmc0" TargetMode="External"/><Relationship Id="rId972" Type="http://schemas.openxmlformats.org/officeDocument/2006/relationships/hyperlink" Target="https://1drv.ms/b/c/94bd56ed68f00427/IQCBal-DFFEzTpasGFZNYJvyAd2J-SL8Op38KRntCeaypkI?e=fo9omi" TargetMode="External"/><Relationship Id="rId1188" Type="http://schemas.openxmlformats.org/officeDocument/2006/relationships/hyperlink" Target="mailto:pzindustries@pzcussons.com;udoka.adegor@pzcussons.com" TargetMode="External"/><Relationship Id="rId1395" Type="http://schemas.openxmlformats.org/officeDocument/2006/relationships/hyperlink" Target="mailto:info@imperiocosmetics.com" TargetMode="External"/><Relationship Id="rId1409" Type="http://schemas.openxmlformats.org/officeDocument/2006/relationships/hyperlink" Target="mailto:osaretin.jaiyeola@fensyl.com" TargetMode="External"/><Relationship Id="rId197" Type="http://schemas.openxmlformats.org/officeDocument/2006/relationships/hyperlink" Target="https://1drv.ms/b/c/94bd56ed68f00427/IQAzp50SiZ-2RKXqSnR9rRgcAYYlTlQOEarlsrvdayNY-TA?e=mtnqoZ" TargetMode="External"/><Relationship Id="rId418" Type="http://schemas.openxmlformats.org/officeDocument/2006/relationships/hyperlink" Target="mailto:info@drugfieldpharma.com;olakunleekundayo@msn.com" TargetMode="External"/><Relationship Id="rId625" Type="http://schemas.openxmlformats.org/officeDocument/2006/relationships/hyperlink" Target="mailto:osaretin.jaiyeola@fensyl.com" TargetMode="External"/><Relationship Id="rId832" Type="http://schemas.openxmlformats.org/officeDocument/2006/relationships/hyperlink" Target="https://1drv.ms/b/c/94bd56ed68f00427/IQCVpF6p6yYcQptp2thQfZKsAe5RWh9CUUIwsvWcJrHMYLM?e=MgL9m8" TargetMode="External"/><Relationship Id="rId1048" Type="http://schemas.openxmlformats.org/officeDocument/2006/relationships/hyperlink" Target="mailto:swipha@swiphanigeria.com" TargetMode="External"/><Relationship Id="rId1255" Type="http://schemas.openxmlformats.org/officeDocument/2006/relationships/hyperlink" Target="https://1drv.ms/b/c/94bd56ed68f00427/IQDuD8c4tf7wSbxQIfl4zSvLASmr0_V5TOlGTzPELDJBl_0?e=4eRVRS" TargetMode="External"/><Relationship Id="rId1462" Type="http://schemas.openxmlformats.org/officeDocument/2006/relationships/hyperlink" Target="mailto:oscarmacaulay@yahoo.com" TargetMode="External"/><Relationship Id="rId264" Type="http://schemas.openxmlformats.org/officeDocument/2006/relationships/hyperlink" Target="https://1drv.ms/b/c/94bd56ed68f00427/IQCtC4moyi9ZSb7oqfSEj2shAUhopr_yl9iTCYTrJLyJxJU?e=P4ZwuB" TargetMode="External"/><Relationship Id="rId471" Type="http://schemas.openxmlformats.org/officeDocument/2006/relationships/hyperlink" Target="https://1drv.ms/b/c/94bd56ed68f00427/IQAD03yxIkv6QrHi7cqlaPT1Aa7bkI4oUQtl4MLtz_fptuQ?e=FxFMCJ" TargetMode="External"/><Relationship Id="rId1115" Type="http://schemas.openxmlformats.org/officeDocument/2006/relationships/hyperlink" Target="https://1drv.ms/b/c/94bd56ed68f00427/IQC0BUYMLCWRTZ3xuQjbgKxfAcgdJCn1fLMxCESWmEj8k1Y?e=UHiqg6" TargetMode="External"/><Relationship Id="rId1322" Type="http://schemas.openxmlformats.org/officeDocument/2006/relationships/hyperlink" Target="https://1drv.ms/b/c/94bd56ed68f00427/IQCsDBOkTyM1TaxPOBFtuDshAeIx2fvPZKDu010Ai9bdIuk?e=T3Impq" TargetMode="External"/><Relationship Id="rId59" Type="http://schemas.openxmlformats.org/officeDocument/2006/relationships/hyperlink" Target="https://1drv.ms/b/c/94bd56ed68f00427/IQCU77ss5fruR7_xwh85SSGkAXpOhHeyzoL6v2SIzjglTZM?e=3xRCOO" TargetMode="External"/><Relationship Id="rId124" Type="http://schemas.openxmlformats.org/officeDocument/2006/relationships/hyperlink" Target="https://1drv.ms/b/c/94bd56ed68f00427/IQBcczmzE8EPR5Q4fNIHTDGOAZCZAHalv-tIYJR9XZYLQYc?e=WS7950" TargetMode="External"/><Relationship Id="rId569" Type="http://schemas.openxmlformats.org/officeDocument/2006/relationships/hyperlink" Target="mailto:Luis.munoz@beiersdorf.com" TargetMode="External"/><Relationship Id="rId776" Type="http://schemas.openxmlformats.org/officeDocument/2006/relationships/hyperlink" Target="https://1drv.ms/b/c/94bd56ed68f00427/IQB8mSk1bkokSIv0R1PJSTSbAUDqVoMgAPSCMCh-0dN3oAo?e=R8WVha" TargetMode="External"/><Relationship Id="rId983" Type="http://schemas.openxmlformats.org/officeDocument/2006/relationships/hyperlink" Target="https://1drv.ms/b/c/94bd56ed68f00427/IQDMuUA-ITPFRIIXv4IXsJJoAf08FJBg6rYwMWpiANvpO6w?e=jMIlq8" TargetMode="External"/><Relationship Id="rId1199" Type="http://schemas.openxmlformats.org/officeDocument/2006/relationships/hyperlink" Target="mailto:PZindustries@pzcussons.com" TargetMode="External"/><Relationship Id="rId331" Type="http://schemas.openxmlformats.org/officeDocument/2006/relationships/hyperlink" Target="https://1drv.ms/b/c/94bd56ed68f00427/IQAjgLtaNFNFTLkINETDXFt3AbVmANvZup1vPtAZOAVz_Ag?e=3Cqq3V" TargetMode="External"/><Relationship Id="rId429" Type="http://schemas.openxmlformats.org/officeDocument/2006/relationships/hyperlink" Target="mailto:osaretin.jaiyeola@fensyl.com" TargetMode="External"/><Relationship Id="rId636" Type="http://schemas.openxmlformats.org/officeDocument/2006/relationships/hyperlink" Target="https://1drv.ms/b/c/94bd56ed68f00427/IQC5to7BlqJER4844j8ouyNVAWfGQQs6pDmYYb-vPFtr_VE?e=g3QKbI" TargetMode="External"/><Relationship Id="rId1059" Type="http://schemas.openxmlformats.org/officeDocument/2006/relationships/hyperlink" Target="https://1drv.ms/b/c/94bd56ed68f00427/IQBFudoV3nRIRplZ4qx_5KJqAYQoFKcOYxpXKDqAaGUeYcc?e=L0MVRW" TargetMode="External"/><Relationship Id="rId1266" Type="http://schemas.openxmlformats.org/officeDocument/2006/relationships/hyperlink" Target="mailto:phppharma@yahoo.com" TargetMode="External"/><Relationship Id="rId1473" Type="http://schemas.openxmlformats.org/officeDocument/2006/relationships/hyperlink" Target="mailto:swipha@swiphanigeria.com" TargetMode="External"/><Relationship Id="rId843" Type="http://schemas.openxmlformats.org/officeDocument/2006/relationships/hyperlink" Target="https://1drv.ms/b/c/94bd56ed68f00427/IQBXwy7Tk51iTIugk9ewDg7IAXcG_XUHQiEVkc0HbK5us3o?e=Bc9ez6" TargetMode="External"/><Relationship Id="rId1126" Type="http://schemas.openxmlformats.org/officeDocument/2006/relationships/hyperlink" Target="https://1drv.ms/b/c/94bd56ed68f00427/IQAHdVrAS_vGT4RDfwHgUhwmASYe0mSje83sUuFaBN3sH8w?e=j5Ucsw" TargetMode="External"/><Relationship Id="rId275" Type="http://schemas.openxmlformats.org/officeDocument/2006/relationships/hyperlink" Target="https://1drv.ms/b/c/94bd56ed68f00427/IQBQBOEJzCkYQ5K8dzv1HjjMAY8dbMOU1JbQCOPIT50DMF0?e=4P4bCy" TargetMode="External"/><Relationship Id="rId482" Type="http://schemas.openxmlformats.org/officeDocument/2006/relationships/hyperlink" Target="https://1drv.ms/b/c/94bd56ed68f00427/IQBlEdeNtUwDS4tmvBOkpy61Ad-gJ63dPgiJk_JF37kHWZg?e=4ioqxF" TargetMode="External"/><Relationship Id="rId703" Type="http://schemas.openxmlformats.org/officeDocument/2006/relationships/hyperlink" Target="mailto:osaretin.jaiyeola@fensyl.com" TargetMode="External"/><Relationship Id="rId910" Type="http://schemas.openxmlformats.org/officeDocument/2006/relationships/hyperlink" Target="mailto:stephenez@yahoo.com" TargetMode="External"/><Relationship Id="rId1333" Type="http://schemas.openxmlformats.org/officeDocument/2006/relationships/hyperlink" Target="https://1drv.ms/b/c/94bd56ed68f00427/IQDKIK5OVXliRIGG_P5rlr3kAcJlKddnBIgkpz20aWKBbzc?e=CUO5yx" TargetMode="External"/><Relationship Id="rId1540" Type="http://schemas.openxmlformats.org/officeDocument/2006/relationships/hyperlink" Target="https://1drv.ms/b/c/94bd56ed68f00427/IQBE4s7lxvf7T5A8iN0bRNXHAbJry1Zm2wr1hHZaHO0JGMc?e=OFREd2" TargetMode="External"/><Relationship Id="rId135" Type="http://schemas.openxmlformats.org/officeDocument/2006/relationships/hyperlink" Target="https://1drv.ms/b/c/94bd56ed68f00427/IQBlY9DnTn1dRarYuaGVGsYvAVJwxHzDMIakc01yadtGGNA?e=f7GZOt" TargetMode="External"/><Relationship Id="rId342" Type="http://schemas.openxmlformats.org/officeDocument/2006/relationships/hyperlink" Target="https://1drv.ms/b/c/94bd56ed68f00427/IQAOtywn64cmSbkEhetangvXATxN9xknEcJjh4rMgSLDiZw?e=FdjK4f" TargetMode="External"/><Relationship Id="rId787" Type="http://schemas.openxmlformats.org/officeDocument/2006/relationships/hyperlink" Target="https://1drv.ms/b/c/94bd56ed68f00427/IQAZYaZXw4ipSp39a7QhUdZ2AdXssQsZ7LoGTvQjd4FrqoQ?e=n61BUS" TargetMode="External"/><Relationship Id="rId994" Type="http://schemas.openxmlformats.org/officeDocument/2006/relationships/hyperlink" Target="mailto:destmawellness@gmail.com" TargetMode="External"/><Relationship Id="rId1400" Type="http://schemas.openxmlformats.org/officeDocument/2006/relationships/hyperlink" Target="https://1drv.ms/b/c/94bd56ed68f00427/IQAtpWNr91FwS6j9BYpCdy6PAQjzF_zyFfR3ScgJuNZhs_I?e=KQbdZz" TargetMode="External"/><Relationship Id="rId202" Type="http://schemas.openxmlformats.org/officeDocument/2006/relationships/hyperlink" Target="https://1drv.ms/b/c/94bd56ed68f00427/IQCxR76uuuqaQpGv2ip8Zqi5AdUhHH877EzcyI7V2jD4hZM?e=gsJcAO" TargetMode="External"/><Relationship Id="rId647" Type="http://schemas.openxmlformats.org/officeDocument/2006/relationships/hyperlink" Target="https://1drv.ms/b/c/94bd56ed68f00427/IQBDnNzzhilHTb1RLZcqzcpGAfKvSdF7OxUi6KJmfz-fab4?e=iIUlV4" TargetMode="External"/><Relationship Id="rId854" Type="http://schemas.openxmlformats.org/officeDocument/2006/relationships/hyperlink" Target="https://1drv.ms/b/c/94bd56ed68f00427/IQAvM3Nilo5dTYlJ1VO0CV7bAdeBkYswNKBXKxKTzuqQ8NU?e=a4KLsc" TargetMode="External"/><Relationship Id="rId1277" Type="http://schemas.openxmlformats.org/officeDocument/2006/relationships/hyperlink" Target="mailto:KESSTER.CHIMYENUM@UNILEVER.COM" TargetMode="External"/><Relationship Id="rId1484" Type="http://schemas.openxmlformats.org/officeDocument/2006/relationships/hyperlink" Target="mailto:swipha@swiphanigeria.com" TargetMode="External"/><Relationship Id="rId286" Type="http://schemas.openxmlformats.org/officeDocument/2006/relationships/hyperlink" Target="https://1drv.ms/b/c/94bd56ed68f00427/IQCf-lwye3pMRYOUij8w7lRsAcyBn9bT8SyP-IuSV6GxCWA?e=gSTNNq" TargetMode="External"/><Relationship Id="rId493" Type="http://schemas.openxmlformats.org/officeDocument/2006/relationships/hyperlink" Target="https://1drv.ms/b/c/94bd56ed68f00427/IQCwIC43VfeIQ5sRjbdENihSATLGvCp-zl2_0nOaw5l1zQQ?e=fs9PuG" TargetMode="External"/><Relationship Id="rId507" Type="http://schemas.openxmlformats.org/officeDocument/2006/relationships/hyperlink" Target="mailto:kchconsumer@gmail.com" TargetMode="External"/><Relationship Id="rId714" Type="http://schemas.openxmlformats.org/officeDocument/2006/relationships/hyperlink" Target="mailto:sefihait.kone@bayer.com" TargetMode="External"/><Relationship Id="rId921" Type="http://schemas.openxmlformats.org/officeDocument/2006/relationships/hyperlink" Target="mailto:abpharma.parenterals@gmail.com" TargetMode="External"/><Relationship Id="rId1137" Type="http://schemas.openxmlformats.org/officeDocument/2006/relationships/hyperlink" Target="https://1drv.ms/b/c/94bd56ed68f00427/IQDF3GWhjT7gTYYniq4vMwvxAblecxAoP-nffyxbaI3dsMo?e=9AbeMf" TargetMode="External"/><Relationship Id="rId1344" Type="http://schemas.openxmlformats.org/officeDocument/2006/relationships/hyperlink" Target="mailto:info@elbepharma.com" TargetMode="External"/><Relationship Id="rId1551" Type="http://schemas.openxmlformats.org/officeDocument/2006/relationships/hyperlink" Target="https://1drv.ms/b/c/94bd56ed68f00427/IQD0tfbcPcLDTZ6TxJAgJxYlASReJ3YmkcJvLt8xpJMkjDU?e=nW891d" TargetMode="External"/><Relationship Id="rId50" Type="http://schemas.openxmlformats.org/officeDocument/2006/relationships/hyperlink" Target="https://1drv.ms/b/c/94bd56ed68f00427/IQCO8SUAjDlYQ7CeBYJUKuQYAY5kHVOiAU0rh5Cm9kd63pM?e=pjE0mT" TargetMode="External"/><Relationship Id="rId146" Type="http://schemas.openxmlformats.org/officeDocument/2006/relationships/hyperlink" Target="https://1drv.ms/b/c/94bd56ed68f00427/IQDLjDMMDNLnTqpwAP5HuQpEAWunz5vKVGNPW_P26b7tp8k?e=g8SWEl" TargetMode="External"/><Relationship Id="rId353" Type="http://schemas.openxmlformats.org/officeDocument/2006/relationships/hyperlink" Target="mailto:toluwasanmi@may-bakerng.com;info@may-bakerng.com" TargetMode="External"/><Relationship Id="rId560" Type="http://schemas.openxmlformats.org/officeDocument/2006/relationships/hyperlink" Target="mailto:taiwo.oteju@beiersdorf.com" TargetMode="External"/><Relationship Id="rId798" Type="http://schemas.openxmlformats.org/officeDocument/2006/relationships/hyperlink" Target="https://1drv.ms/b/c/94bd56ed68f00427/IQC6MhXI0zc8SYs7O8NP--rEAadxeb4VGXsTPaNUL-Fl6to?e=oOnBrU" TargetMode="External"/><Relationship Id="rId1190" Type="http://schemas.openxmlformats.org/officeDocument/2006/relationships/hyperlink" Target="https://1drv.ms/b/c/94bd56ed68f00427/IQD9p5RfcGBTR7OpJVlytRwoAZ_cOyD4QA-krdYIFpFD3mk?e=j3iKpA" TargetMode="External"/><Relationship Id="rId1204" Type="http://schemas.openxmlformats.org/officeDocument/2006/relationships/hyperlink" Target="https://1drv.ms/b/c/94bd56ed68f00427/IQBLL3nlwhCDQrR_z0E4O1IuAR9jBSMFRnD2L1MpjgxlnBo?e=Ts1WvT" TargetMode="External"/><Relationship Id="rId1411" Type="http://schemas.openxmlformats.org/officeDocument/2006/relationships/hyperlink" Target="https://1drv.ms/b/c/94bd56ed68f00427/IQBHIlKIRc_uTr48NNyK2eELAXmyPF8Qxof1OxraJ9yvtdg?e=fd1aYz" TargetMode="External"/><Relationship Id="rId213" Type="http://schemas.openxmlformats.org/officeDocument/2006/relationships/hyperlink" Target="https://1drv.ms/b/c/94bd56ed68f00427/IQAxr0Us6sv1Ta-wVC_cOysIAdGDTpQ9B4PHYd5LzarkqNc?e=z8Zoco" TargetMode="External"/><Relationship Id="rId420" Type="http://schemas.openxmlformats.org/officeDocument/2006/relationships/hyperlink" Target="mailto:customerservice@emzorpharma.com;chinelo@emzorpharma.com;info@emzorpharma.com" TargetMode="External"/><Relationship Id="rId658" Type="http://schemas.openxmlformats.org/officeDocument/2006/relationships/hyperlink" Target="mailto:Rosanna.Iwuala@sunpharma.com" TargetMode="External"/><Relationship Id="rId865" Type="http://schemas.openxmlformats.org/officeDocument/2006/relationships/hyperlink" Target="https://1drv.ms/b/c/94bd56ed68f00427/IQBKyu-JK7DGSJf5K8ineQ4iAT-ScRmhpCWiIHRFNweVb7E?e=KOag8O" TargetMode="External"/><Relationship Id="rId1050" Type="http://schemas.openxmlformats.org/officeDocument/2006/relationships/hyperlink" Target="mailto:swipha@swiphanigeria.com" TargetMode="External"/><Relationship Id="rId1288" Type="http://schemas.openxmlformats.org/officeDocument/2006/relationships/hyperlink" Target="mailto:lyn-edgepharm@yahoo.com" TargetMode="External"/><Relationship Id="rId1495" Type="http://schemas.openxmlformats.org/officeDocument/2006/relationships/hyperlink" Target="https://1drv.ms/b/c/94bd56ed68f00427/IQCGD2B2BZwES5e3Eby7XOmDAYqtZyicrCr6diGeYxG3eM4?e=7rthih" TargetMode="External"/><Relationship Id="rId1509" Type="http://schemas.openxmlformats.org/officeDocument/2006/relationships/hyperlink" Target="https://1drv.ms/b/c/94bd56ed68f00427/IQCMSWyUn13NRaMIaAK_euaIAfNs4iDAhsf7XQ_iRg_R_yM?e=HcUC1x" TargetMode="External"/><Relationship Id="rId297" Type="http://schemas.openxmlformats.org/officeDocument/2006/relationships/hyperlink" Target="https://1drv.ms/b/c/94bd56ed68f00427/IQCn0ZvZWSmDQL-cpOlJip5cAc08Y_fD0N7cRXdiQJ8U_2A?e=XFhVxs" TargetMode="External"/><Relationship Id="rId518" Type="http://schemas.openxmlformats.org/officeDocument/2006/relationships/hyperlink" Target="https://1drv.ms/b/c/94bd56ed68f00427/IQBzAJ1yd6o8QaVqQbPY7J-xASIMm2hN6wssmIi9pQzZNq0?e=EkAsc6" TargetMode="External"/><Relationship Id="rId725" Type="http://schemas.openxmlformats.org/officeDocument/2006/relationships/hyperlink" Target="mailto:blessing_lynedge@yahoo.com" TargetMode="External"/><Relationship Id="rId932" Type="http://schemas.openxmlformats.org/officeDocument/2006/relationships/hyperlink" Target="mailto:mamudacare@mamudagroup.it" TargetMode="External"/><Relationship Id="rId1148" Type="http://schemas.openxmlformats.org/officeDocument/2006/relationships/hyperlink" Target="https://1drv.ms/b/c/94bd56ed68f00427/IQAQikzfrRXPSp_-NTtJAdF0Afj4rBiQJrZ7386o6GR433M?e=FGHCD4" TargetMode="External"/><Relationship Id="rId1355" Type="http://schemas.openxmlformats.org/officeDocument/2006/relationships/hyperlink" Target="https://1drv.ms/b/c/94bd56ed68f00427/IQCyxCfdZnOsSpQWb66UejuXAe4QIUgSwOozHlIP_aBbPhM?e=O9ios3" TargetMode="External"/><Relationship Id="rId1562" Type="http://schemas.openxmlformats.org/officeDocument/2006/relationships/hyperlink" Target="https://1drv.ms/b/c/94bd56ed68f00427/IQBIZLYZiCu7QLxhikexGJPTAb1uI0GnfktGnPjfGwj0P_E?e=6JevwT" TargetMode="External"/><Relationship Id="rId157" Type="http://schemas.openxmlformats.org/officeDocument/2006/relationships/hyperlink" Target="https://1drv.ms/b/c/94bd56ed68f00427/IQAFzbDQEXyeQ6DtrE57BZ72AeW4Q1T6ulpMEXkAvpnYAHA?e=lRMUlK" TargetMode="External"/><Relationship Id="rId364" Type="http://schemas.openxmlformats.org/officeDocument/2006/relationships/hyperlink" Target="mailto:pknpharmaceuticalsltd@gmail.com" TargetMode="External"/><Relationship Id="rId1008" Type="http://schemas.openxmlformats.org/officeDocument/2006/relationships/hyperlink" Target="https://1drv.ms/b/c/94bd56ed68f00427/IQCKJEouukKjQ5rOYXLi_CdiAbXNY-Wtp3MPQsvU62UxWuA?e=VXIlhK" TargetMode="External"/><Relationship Id="rId1215" Type="http://schemas.openxmlformats.org/officeDocument/2006/relationships/hyperlink" Target="mailto:Rosanna.Iwuala@sunpharma.com" TargetMode="External"/><Relationship Id="rId1422" Type="http://schemas.openxmlformats.org/officeDocument/2006/relationships/hyperlink" Target="https://1drv.ms/b/c/94bd56ed68f00427/IQD-xGbSVt3zTKiLYmRxf1CuAQvS0ptuiY_dznQ0c-6udBg?e=r82hgP" TargetMode="External"/><Relationship Id="rId61" Type="http://schemas.openxmlformats.org/officeDocument/2006/relationships/hyperlink" Target="https://1drv.ms/b/c/94bd56ed68f00427/IQA57iNTyTIRQJiaeT0QMlNNAeCGpuTJmkKNTUZeeakK1is?e=Ne8dAb" TargetMode="External"/><Relationship Id="rId571" Type="http://schemas.openxmlformats.org/officeDocument/2006/relationships/hyperlink" Target="mailto:luis.munoz@beiersdorf.com" TargetMode="External"/><Relationship Id="rId669" Type="http://schemas.openxmlformats.org/officeDocument/2006/relationships/hyperlink" Target="mailto:Adenike.ibironke@worldwidehealthcare.com" TargetMode="External"/><Relationship Id="rId876" Type="http://schemas.openxmlformats.org/officeDocument/2006/relationships/hyperlink" Target="https://1drv.ms/b/c/94bd56ed68f00427/IQAFqxBBerrSTqgVEvaoAjmVAT50uNPSWRA3iwyZMajs2qQ?e=vLqyf8" TargetMode="External"/><Relationship Id="rId1299" Type="http://schemas.openxmlformats.org/officeDocument/2006/relationships/hyperlink" Target="https://1drv.ms/b/c/94bd56ed68f00427/IQDof8F9G2EpSZsicUgsdMR_ARF4hO3KZl9h2liiBCo2OzQ?e=4ffK1f" TargetMode="External"/><Relationship Id="rId19" Type="http://schemas.openxmlformats.org/officeDocument/2006/relationships/hyperlink" Target="https://1drv.ms/b/c/94bd56ed68f00427/IQCOmhpkdDLJS6i7FuItMESkAfRbcFMGbBzgVsiBiHMOyO4?e=35GzS2" TargetMode="External"/><Relationship Id="rId224" Type="http://schemas.openxmlformats.org/officeDocument/2006/relationships/hyperlink" Target="https://1drv.ms/b/c/94bd56ed68f00427/IQDbakeRxKRdS7MUACZDayNKAVHfDsTK1Gjko0wzxTyPF5c?e=v3Afaz" TargetMode="External"/><Relationship Id="rId431" Type="http://schemas.openxmlformats.org/officeDocument/2006/relationships/hyperlink" Target="https://1drv.ms/b/c/94bd56ed68f00427/IQDKnPA_edaGTZv_kuxvZisRAXTAKF8-cKCHKJH8nG_bZ1E?e=iAIh3I" TargetMode="External"/><Relationship Id="rId529" Type="http://schemas.openxmlformats.org/officeDocument/2006/relationships/hyperlink" Target="mailto:bioharbglobal@gmail.com" TargetMode="External"/><Relationship Id="rId736" Type="http://schemas.openxmlformats.org/officeDocument/2006/relationships/hyperlink" Target="mailto:info@fidson.com" TargetMode="External"/><Relationship Id="rId1061" Type="http://schemas.openxmlformats.org/officeDocument/2006/relationships/hyperlink" Target="https://1drv.ms/b/c/94bd56ed68f00427/IQBFudoV3nRIRplZ4qx_5KJqAYQoFKcOYxpXKDqAaGUeYcc?e=L0MVRW" TargetMode="External"/><Relationship Id="rId1159" Type="http://schemas.openxmlformats.org/officeDocument/2006/relationships/hyperlink" Target="https://1drv.ms/b/c/94bd56ed68f00427/IQDi2A34Sx3xT4MZgF_rAzARASlp1CxUPjd65_Cn7qZTwkc?e=3wuVuV" TargetMode="External"/><Relationship Id="rId1366" Type="http://schemas.openxmlformats.org/officeDocument/2006/relationships/hyperlink" Target="mailto:osaretin.jaiyeola@fensyl.com" TargetMode="External"/><Relationship Id="rId168" Type="http://schemas.openxmlformats.org/officeDocument/2006/relationships/hyperlink" Target="https://1drv.ms/b/c/94bd56ed68f00427/IQBjsTkAKHqbS57OPcLF3NGEAZTl8s3TwF6mUVIG-2GULnQ?e=OvJ4KC" TargetMode="External"/><Relationship Id="rId943" Type="http://schemas.openxmlformats.org/officeDocument/2006/relationships/hyperlink" Target="mailto:saroagrosciences@saroafrica.com" TargetMode="External"/><Relationship Id="rId1019" Type="http://schemas.openxmlformats.org/officeDocument/2006/relationships/hyperlink" Target="https://1drv.ms/b/c/94bd56ed68f00427/IQDHa0eTVJjyRZv7HM_xkF0BARDsyQAF_TKGSy4FtjBKzac?e=DJjlLX" TargetMode="External"/><Relationship Id="rId1573" Type="http://schemas.openxmlformats.org/officeDocument/2006/relationships/hyperlink" Target="https://1drv.ms/b/c/94bd56ed68f00427/IQCeCpVHGsPoSJ-SoOUIRoQxAUrnxBhx6l6_VzkQngs_cIs?e=vEdoI1" TargetMode="External"/><Relationship Id="rId72" Type="http://schemas.openxmlformats.org/officeDocument/2006/relationships/hyperlink" Target="https://1drv.ms/b/c/94bd56ed68f00427/IQAXq-_AyffxRqnnVmpvSppYAdw7zaD2_pbZH5gwrNBVA34?e=OkqChV" TargetMode="External"/><Relationship Id="rId375" Type="http://schemas.openxmlformats.org/officeDocument/2006/relationships/hyperlink" Target="https://1drv.ms/b/c/94bd56ed68f00427/IQAlnCnUugPeRIGJSVLMFlehAVuiOH91foDgIL86JY12_JY?e=ZqGSyq" TargetMode="External"/><Relationship Id="rId582" Type="http://schemas.openxmlformats.org/officeDocument/2006/relationships/hyperlink" Target="mailto:info@phillipsnigeria.com" TargetMode="External"/><Relationship Id="rId803" Type="http://schemas.openxmlformats.org/officeDocument/2006/relationships/hyperlink" Target="https://1drv.ms/b/c/94bd56ed68f00427/IQAVh4u0ZBdyR6y3EDn4k3r-ATxj0YT5k3UHyWlnln1_qIc?e=UPW3rF" TargetMode="External"/><Relationship Id="rId1226" Type="http://schemas.openxmlformats.org/officeDocument/2006/relationships/hyperlink" Target="https://1drv.ms/b/c/94bd56ed68f00427/IQCRltHZHS5ATKIxcfKGZi1pAWxCLzaEOJ8KbeVsC6M7F0o?e=sKmNI8" TargetMode="External"/><Relationship Id="rId1433" Type="http://schemas.openxmlformats.org/officeDocument/2006/relationships/hyperlink" Target="mailto:hello@franemmindustriesltd.com" TargetMode="External"/><Relationship Id="rId3" Type="http://schemas.openxmlformats.org/officeDocument/2006/relationships/hyperlink" Target="https://1drv.ms/b/c/94bd56ed68f00427/IQCJmAoajH7SQKGGsRZ95xuNAbCtgsaI6P1AAux-QqWf7iU?e=d2RzhC" TargetMode="External"/><Relationship Id="rId235" Type="http://schemas.openxmlformats.org/officeDocument/2006/relationships/hyperlink" Target="https://1drv.ms/b/c/94bd56ed68f00427/IQC5R_nP4IqkTbnN3lxGpYyOAZq00Mp1Wcnm4DsAHvggaCQ?e=53geZ3" TargetMode="External"/><Relationship Id="rId442" Type="http://schemas.openxmlformats.org/officeDocument/2006/relationships/hyperlink" Target="https://1drv.ms/b/c/94bd56ed68f00427/IQD3DXnodZypR6E1wszkXUJVAeWUDv2vqVemE8dP1wtYOko?e=jbUQyt" TargetMode="External"/><Relationship Id="rId887" Type="http://schemas.openxmlformats.org/officeDocument/2006/relationships/hyperlink" Target="mailto:Nivea.Nigeria3@Beiersdorf.com" TargetMode="External"/><Relationship Id="rId1072" Type="http://schemas.openxmlformats.org/officeDocument/2006/relationships/hyperlink" Target="https://1drv.ms/b/c/94bd56ed68f00427/IQBFudoV3nRIRplZ4qx_5KJqAYQoFKcOYxpXKDqAaGUeYcc?e=L0MVRW" TargetMode="External"/><Relationship Id="rId1500" Type="http://schemas.openxmlformats.org/officeDocument/2006/relationships/hyperlink" Target="https://1drv.ms/b/c/94bd56ed68f00427/IQCGD2B2BZwES5e3Eby7XOmDAYqtZyicrCr6diGeYxG3eM4?e=VdsXT0" TargetMode="External"/><Relationship Id="rId302" Type="http://schemas.openxmlformats.org/officeDocument/2006/relationships/hyperlink" Target="https://1drv.ms/b/c/94bd56ed68f00427/IQBQBOEJzCkYQ5K8dzv1HjjMAY8dbMOU1JbQCOPIT50DMF0?e=hnoZNA" TargetMode="External"/><Relationship Id="rId747" Type="http://schemas.openxmlformats.org/officeDocument/2006/relationships/hyperlink" Target="mailto:sefihait.kone@bayer.com" TargetMode="External"/><Relationship Id="rId954" Type="http://schemas.openxmlformats.org/officeDocument/2006/relationships/hyperlink" Target="mailto:osaretin.jaiyeola@fensyl.com" TargetMode="External"/><Relationship Id="rId1377" Type="http://schemas.openxmlformats.org/officeDocument/2006/relationships/hyperlink" Target="https://1drv.ms/b/c/94bd56ed68f00427/IQCqqEXytfWLSr0H0q7mGwMLAcUf0YgibS1fzU12scT0O7w?e=DmJNjP" TargetMode="External"/><Relationship Id="rId1584" Type="http://schemas.openxmlformats.org/officeDocument/2006/relationships/hyperlink" Target="https://1drv.ms/b/c/94bd56ed68f00427/IQCz990Vh3rWT5AS7HTl3o8iAZTX3zGZgp0qUetjt-TLPHM?e=AOGfKP" TargetMode="External"/><Relationship Id="rId83" Type="http://schemas.openxmlformats.org/officeDocument/2006/relationships/hyperlink" Target="https://1drv.ms/b/c/94bd56ed68f00427/IQCVIw4NI65-Q5gZcr7b7XOtAXxRgbDvpxRb-Ly7IP0AMu4?e=6rvaCv" TargetMode="External"/><Relationship Id="rId179" Type="http://schemas.openxmlformats.org/officeDocument/2006/relationships/hyperlink" Target="https://1drv.ms/b/c/94bd56ed68f00427/IQATXLOeXyiUSIYp1F3IupNlATXU6Szm-1Dks_dn5fg103M?e=88psMt" TargetMode="External"/><Relationship Id="rId386" Type="http://schemas.openxmlformats.org/officeDocument/2006/relationships/hyperlink" Target="mailto:info@drugfieldpharma.com;olakunleekundayo@msn.com" TargetMode="External"/><Relationship Id="rId593" Type="http://schemas.openxmlformats.org/officeDocument/2006/relationships/hyperlink" Target="https://1drv.ms/b/c/94bd56ed68f00427/IQDxdlkGuQ34RYxsBsVxbhcZAUeB0g3j8rh3oRkNDwi9QgU?e=La8nnx" TargetMode="External"/><Relationship Id="rId607" Type="http://schemas.openxmlformats.org/officeDocument/2006/relationships/hyperlink" Target="mailto:info@afrabchem.com" TargetMode="External"/><Relationship Id="rId814" Type="http://schemas.openxmlformats.org/officeDocument/2006/relationships/hyperlink" Target="https://1drv.ms/b/c/94bd56ed68f00427/IQDITjeUsUOMQ5F9qRYId7KjARdb7u95kg92hpUrvKt03Bs?e=daPYZO" TargetMode="External"/><Relationship Id="rId1237" Type="http://schemas.openxmlformats.org/officeDocument/2006/relationships/hyperlink" Target="https://1drv.ms/b/c/94bd56ed68f00427/IQD0fivVDSl5RbprmKRExl6MAVNFJcKMlio4x4J1DcqwRK0?e=7kl8NB" TargetMode="External"/><Relationship Id="rId1444" Type="http://schemas.openxmlformats.org/officeDocument/2006/relationships/hyperlink" Target="https://1drv.ms/b/c/94bd56ed68f00427/IQC58oUJfS6sS6P1anU_OeaKAbQXHhRDIr0fTig78_6_Th8?e=J5ugbP" TargetMode="External"/><Relationship Id="rId246" Type="http://schemas.openxmlformats.org/officeDocument/2006/relationships/hyperlink" Target="https://1drv.ms/b/c/94bd56ed68f00427/IQDBQlA6nSwLR655TVgRfA3zAZUt3HFjlU4-4h12UWEdVc0?e=2KovcA" TargetMode="External"/><Relationship Id="rId453" Type="http://schemas.openxmlformats.org/officeDocument/2006/relationships/hyperlink" Target="https://1drv.ms/b/c/94bd56ed68f00427/IQCYMtV0mol3S6586KmOqIj8ASxf7fDY-nV7_c8_VeduM3o?e=IZwpBv" TargetMode="External"/><Relationship Id="rId660" Type="http://schemas.openxmlformats.org/officeDocument/2006/relationships/hyperlink" Target="mailto:Rosanna.Iwuala@sunpharma.com" TargetMode="External"/><Relationship Id="rId898" Type="http://schemas.openxmlformats.org/officeDocument/2006/relationships/hyperlink" Target="mailto:pzindustries@pzcussons.com" TargetMode="External"/><Relationship Id="rId1083" Type="http://schemas.openxmlformats.org/officeDocument/2006/relationships/hyperlink" Target="mailto:osaretin.jaiyeoya@fensyi.com" TargetMode="External"/><Relationship Id="rId1290" Type="http://schemas.openxmlformats.org/officeDocument/2006/relationships/hyperlink" Target="mailto:dare.ojo@esrnl.com" TargetMode="External"/><Relationship Id="rId1304" Type="http://schemas.openxmlformats.org/officeDocument/2006/relationships/hyperlink" Target="mailto:info@shalina.com" TargetMode="External"/><Relationship Id="rId1511" Type="http://schemas.openxmlformats.org/officeDocument/2006/relationships/hyperlink" Target="https://1drv.ms/b/c/94bd56ed68f00427/IQBICrUJ2YMMS4rbhzQmHMzaAUzIAO8V0ElS2E2goD4AEbY?e=MUksAy" TargetMode="External"/><Relationship Id="rId106" Type="http://schemas.openxmlformats.org/officeDocument/2006/relationships/hyperlink" Target="https://1drv.ms/b/c/94bd56ed68f00427/IQBEcCayyX6QQZQO_m81KNjVATyRGpu8wZaB8wlNW4cDp98?e=tDJySd" TargetMode="External"/><Relationship Id="rId313" Type="http://schemas.openxmlformats.org/officeDocument/2006/relationships/hyperlink" Target="https://1drv.ms/b/c/94bd56ed68f00427/IQADeC1kG83CSo5kHLAP71QkAXDhumO5-rLsaywdlBqbTGY?e=OLz8qG" TargetMode="External"/><Relationship Id="rId758" Type="http://schemas.openxmlformats.org/officeDocument/2006/relationships/hyperlink" Target="mailto:info@drugfieldpharma.com" TargetMode="External"/><Relationship Id="rId965" Type="http://schemas.openxmlformats.org/officeDocument/2006/relationships/hyperlink" Target="https://1drv.ms/b/c/94bd56ed68f00427/IQCXJu4gDDRoTZfuK9dqm60iAQsuh9IdVX3_F8Kj5D840sE?e=yqclLq" TargetMode="External"/><Relationship Id="rId1150" Type="http://schemas.openxmlformats.org/officeDocument/2006/relationships/hyperlink" Target="https://1drv.ms/b/c/94bd56ed68f00427/IQDdefHmAwEITaEgXD0OQNVsAdeTkIMhufeUKRtHkbBaHkM?e=QQTfaP" TargetMode="External"/><Relationship Id="rId1388" Type="http://schemas.openxmlformats.org/officeDocument/2006/relationships/hyperlink" Target="https://1drv.ms/b/c/94bd56ed68f00427/IQCH5Xt_fQYQQIotxyXlZ9wbAbGKYP2A1wr_zrv3CViE86c?e=WBPoqR" TargetMode="External"/><Relationship Id="rId1595" Type="http://schemas.openxmlformats.org/officeDocument/2006/relationships/hyperlink" Target="https://1drv.ms/b/c/94bd56ed68f00427/IQC4GmsORxdiTLW6IDuX9g5yAd1xMtYYeivm16AP0AvMJBU?e=EyJHle" TargetMode="External"/><Relationship Id="rId1609" Type="http://schemas.openxmlformats.org/officeDocument/2006/relationships/hyperlink" Target="https://1drv.ms/i/c/94bd56ed68f00427/IQDlhlh80rQrTYkLR89aAr_cAVjp1P344N-TdUoqItkoZls?e=S5p0o4" TargetMode="External"/><Relationship Id="rId10" Type="http://schemas.openxmlformats.org/officeDocument/2006/relationships/hyperlink" Target="https://1drv.ms/b/c/94bd56ed68f00427/IQBz8n2r995BT54YTcdYzJvrAUpN2_xUsyvyp6nK3-p00mU?e=us3Gv5" TargetMode="External"/><Relationship Id="rId94" Type="http://schemas.openxmlformats.org/officeDocument/2006/relationships/hyperlink" Target="https://1drv.ms/b/c/94bd56ed68f00427/IQDedYnHZyfHQp-Yag_Y-MEwAauAWa1Ejfk_0ESk_-E9JaU?e=Ah6qi5" TargetMode="External"/><Relationship Id="rId397" Type="http://schemas.openxmlformats.org/officeDocument/2006/relationships/hyperlink" Target="https://1drv.ms/b/c/94bd56ed68f00427/IQDxBcuKpKxJTpXjdDNH7fszAYWqWa7gGja3mxVmVIsvEUY?e=eosGsq" TargetMode="External"/><Relationship Id="rId520" Type="http://schemas.openxmlformats.org/officeDocument/2006/relationships/hyperlink" Target="https://1drv.ms/b/c/94bd56ed68f00427/IQDCG1PupMr6TZDUD-k-rVqzAY8Oc-Hy-D5hFD8I47m71gA?e=2bD3q9" TargetMode="External"/><Relationship Id="rId618" Type="http://schemas.openxmlformats.org/officeDocument/2006/relationships/hyperlink" Target="mailto:osaretin.jaiyeola@fensyl.com" TargetMode="External"/><Relationship Id="rId825" Type="http://schemas.openxmlformats.org/officeDocument/2006/relationships/hyperlink" Target="https://1drv.ms/b/c/94bd56ed68f00427/IQBXWaNBaHMnRrFG9BtkMlvZAfnUgp1s8VKmb_L7vbCDxDk?e=EYfMlN" TargetMode="External"/><Relationship Id="rId1248" Type="http://schemas.openxmlformats.org/officeDocument/2006/relationships/hyperlink" Target="mailto:phppharma@yahoo.com" TargetMode="External"/><Relationship Id="rId1455" Type="http://schemas.openxmlformats.org/officeDocument/2006/relationships/hyperlink" Target="https://1drv.ms/b/c/94bd56ed68f00427/IQCcPoklni9uS6qLxd8eJbgdAYPrxEUXOG7oePT6Dtoh394?e=J5ZjMi" TargetMode="External"/><Relationship Id="rId257" Type="http://schemas.openxmlformats.org/officeDocument/2006/relationships/hyperlink" Target="https://1drv.ms/b/c/94bd56ed68f00427/IQAF6jfOTcACRYuC2Sd1B6LgAWKMwYIgDraBjDWbB7rx7QM?e=8gwTsZ" TargetMode="External"/><Relationship Id="rId464" Type="http://schemas.openxmlformats.org/officeDocument/2006/relationships/hyperlink" Target="mailto:taiwo.oteju@beiersdorf.com" TargetMode="External"/><Relationship Id="rId1010" Type="http://schemas.openxmlformats.org/officeDocument/2006/relationships/hyperlink" Target="mailto:info@drugfieldpharma.com" TargetMode="External"/><Relationship Id="rId1094" Type="http://schemas.openxmlformats.org/officeDocument/2006/relationships/hyperlink" Target="https://1drv.ms/b/c/94bd56ed68f00427/IQAyQwrpyYr2TKwDyd1IVhlHAXqdckKQnwC34-d1iBzGRsk?e=eGTxZE" TargetMode="External"/><Relationship Id="rId1108" Type="http://schemas.openxmlformats.org/officeDocument/2006/relationships/hyperlink" Target="mailto:victoria.ezeala@viatris.com;abisola.ayodele@pfizer.com" TargetMode="External"/><Relationship Id="rId1315" Type="http://schemas.openxmlformats.org/officeDocument/2006/relationships/hyperlink" Target="mailto:dare.ojo@esrnl.com" TargetMode="External"/><Relationship Id="rId117" Type="http://schemas.openxmlformats.org/officeDocument/2006/relationships/hyperlink" Target="https://1drv.ms/b/c/94bd56ed68f00427/IQBkTHuP0YoES6oq7SdzleFeAYoc7AiJN95wDUFDp6aewis?e=ToGz1y" TargetMode="External"/><Relationship Id="rId671" Type="http://schemas.openxmlformats.org/officeDocument/2006/relationships/hyperlink" Target="mailto:ayanlami.ronke@wwcvl.com" TargetMode="External"/><Relationship Id="rId769" Type="http://schemas.openxmlformats.org/officeDocument/2006/relationships/hyperlink" Target="https://1drv.ms/b/c/94bd56ed68f00427/IQB7lOMWkFc3S5G-mt98YaS2AZZ-pb1e7Gyeq5fDTJ_GXk0?e=AL3aAs" TargetMode="External"/><Relationship Id="rId976" Type="http://schemas.openxmlformats.org/officeDocument/2006/relationships/hyperlink" Target="mailto:info@pharmadekoplc.com" TargetMode="External"/><Relationship Id="rId1399" Type="http://schemas.openxmlformats.org/officeDocument/2006/relationships/hyperlink" Target="mailto:customerservice@emzorpharma.com;chinelo@emzorpharma.com;info@emzorpharma.com" TargetMode="External"/><Relationship Id="rId324" Type="http://schemas.openxmlformats.org/officeDocument/2006/relationships/hyperlink" Target="https://1drv.ms/b/c/94bd56ed68f00427/IQADs1yJwb1bSpWASaXtYzflAavJmhcCLD0JSly3TtvZBOE?e=i7mCuE" TargetMode="External"/><Relationship Id="rId531" Type="http://schemas.openxmlformats.org/officeDocument/2006/relationships/hyperlink" Target="mailto:bolanle.aladegbola@rb.com;uzo.amatokwu@reckitt.com" TargetMode="External"/><Relationship Id="rId629" Type="http://schemas.openxmlformats.org/officeDocument/2006/relationships/hyperlink" Target="mailto:osaretin.jaiyeola@fensyl.com" TargetMode="External"/><Relationship Id="rId1161" Type="http://schemas.openxmlformats.org/officeDocument/2006/relationships/hyperlink" Target="https://1drv.ms/b/c/94bd56ed68f00427/IQBlmbYf7yn3RJxnLiRuJmIPAfrkbsV5uo23oVwIj2ELoXk?e=wKCS34" TargetMode="External"/><Relationship Id="rId1259" Type="http://schemas.openxmlformats.org/officeDocument/2006/relationships/hyperlink" Target="mailto:chipharma@clicktgi.net" TargetMode="External"/><Relationship Id="rId1466" Type="http://schemas.openxmlformats.org/officeDocument/2006/relationships/hyperlink" Target="mailto:oscarmacaulay@yahoo.com" TargetMode="External"/><Relationship Id="rId836" Type="http://schemas.openxmlformats.org/officeDocument/2006/relationships/hyperlink" Target="https://1drv.ms/b/c/94bd56ed68f00427/IQCVpF6p6yYcQptp2thQfZKsAe5RWh9CUUIwsvWcJrHMYLM?e=MgL9m8" TargetMode="External"/><Relationship Id="rId1021" Type="http://schemas.openxmlformats.org/officeDocument/2006/relationships/hyperlink" Target="mailto:momohoge@yahoo.com" TargetMode="External"/><Relationship Id="rId1119" Type="http://schemas.openxmlformats.org/officeDocument/2006/relationships/hyperlink" Target="https://1drv.ms/b/c/94bd56ed68f00427/IQA0oyO0WjnyRJZEcXYZMbCYAfeqVRfHF-EqCdCP1WcFWuo?e=Tgek29" TargetMode="External"/><Relationship Id="rId903" Type="http://schemas.openxmlformats.org/officeDocument/2006/relationships/hyperlink" Target="mailto:chipharma@clicktgi.net" TargetMode="External"/><Relationship Id="rId1326" Type="http://schemas.openxmlformats.org/officeDocument/2006/relationships/hyperlink" Target="mailto:phppharma@yahoo.com" TargetMode="External"/><Relationship Id="rId1533" Type="http://schemas.openxmlformats.org/officeDocument/2006/relationships/hyperlink" Target="https://1drv.ms/b/c/94bd56ed68f00427/IQCNoKlm1QDOQbTeTgdrnReIAVPjQaHBHzpdWZd_eWjkTY0?e=B4VB70" TargetMode="External"/><Relationship Id="rId32" Type="http://schemas.openxmlformats.org/officeDocument/2006/relationships/hyperlink" Target="https://1drv.ms/b/c/94bd56ed68f00427/IQCrCS-tPhmRQKNrf5-O3e49AXtznyGsgTPC-jvJx5fGNCE?e=PU89aK" TargetMode="External"/><Relationship Id="rId1600" Type="http://schemas.openxmlformats.org/officeDocument/2006/relationships/hyperlink" Target="https://1drv.ms/b/c/94bd56ed68f00427/IQBTmutwGpP4SaacksEhwd5NAYR5K86aAkE1KcnoLRz3IOM?e=wuI1GU" TargetMode="External"/><Relationship Id="rId181" Type="http://schemas.openxmlformats.org/officeDocument/2006/relationships/hyperlink" Target="https://1drv.ms/b/c/94bd56ed68f00427/IQDswef1kxnuTZWPEnXQQ7pFAeb-dO7K49c5aGSI49SMkdo?e=ILwGGf" TargetMode="External"/><Relationship Id="rId279" Type="http://schemas.openxmlformats.org/officeDocument/2006/relationships/hyperlink" Target="https://1drv.ms/b/c/94bd56ed68f00427/IQDNEkJOiVk9SZcygcZp2zQVAe-u4EfaXHsxQ5omRptS9SQ?e=qedxWv" TargetMode="External"/><Relationship Id="rId486" Type="http://schemas.openxmlformats.org/officeDocument/2006/relationships/hyperlink" Target="https://1drv.ms/b/c/94bd56ed68f00427/IQB0am11uNylSqQtez0oHukzAVndV0VOHzskIOR84D4F1Nc?e=YRrYTq" TargetMode="External"/><Relationship Id="rId693" Type="http://schemas.openxmlformats.org/officeDocument/2006/relationships/hyperlink" Target="mailto:customercare@kedihealth.com" TargetMode="External"/><Relationship Id="rId139" Type="http://schemas.openxmlformats.org/officeDocument/2006/relationships/hyperlink" Target="https://1drv.ms/b/c/94bd56ed68f00427/IQCEPMumDDt5SppS-WN8JJQ4AQMY2V7nFhBESduY22S7Yvs?e=xNQjcf" TargetMode="External"/><Relationship Id="rId346" Type="http://schemas.openxmlformats.org/officeDocument/2006/relationships/hyperlink" Target="mailto:toluwasanmi@may-bakerng.com;info@may-bakerng.com" TargetMode="External"/><Relationship Id="rId553" Type="http://schemas.openxmlformats.org/officeDocument/2006/relationships/hyperlink" Target="mailto:aspira.cosmetics@aspirang.com" TargetMode="External"/><Relationship Id="rId760" Type="http://schemas.openxmlformats.org/officeDocument/2006/relationships/hyperlink" Target="mailto:info@drugfieldpharma.com" TargetMode="External"/><Relationship Id="rId998" Type="http://schemas.openxmlformats.org/officeDocument/2006/relationships/hyperlink" Target="mailto:PZindustries@pzcussons.com" TargetMode="External"/><Relationship Id="rId1183" Type="http://schemas.openxmlformats.org/officeDocument/2006/relationships/hyperlink" Target="mailto:phppharma@yahoo.com" TargetMode="External"/><Relationship Id="rId1390" Type="http://schemas.openxmlformats.org/officeDocument/2006/relationships/hyperlink" Target="https://1drv.ms/b/c/94bd56ed68f00427/IQCH5Xt_fQYQQIotxyXlZ9wbAbGKYP2A1wr_zrv3CViE86c?e=WBPoqR" TargetMode="External"/><Relationship Id="rId206" Type="http://schemas.openxmlformats.org/officeDocument/2006/relationships/hyperlink" Target="https://1drv.ms/b/c/94bd56ed68f00427/IQA_wq1iID_DQoO1_mnzv1zqAQj_WfE_Tzmrf3oGbKcPTiE?e=4lUgxI" TargetMode="External"/><Relationship Id="rId413" Type="http://schemas.openxmlformats.org/officeDocument/2006/relationships/hyperlink" Target="https://1drv.ms/b/c/94bd56ed68f00427/IQA86RnAinhuRIB6XekfY-U_AWkqPmE0mPe1dVDUv-fhAU0?e=YHmUuu" TargetMode="External"/><Relationship Id="rId858" Type="http://schemas.openxmlformats.org/officeDocument/2006/relationships/hyperlink" Target="mailto:osworthnigeria@yahoo.com" TargetMode="External"/><Relationship Id="rId1043" Type="http://schemas.openxmlformats.org/officeDocument/2006/relationships/hyperlink" Target="mailto:swipha@swiphanigeria.com" TargetMode="External"/><Relationship Id="rId1488" Type="http://schemas.openxmlformats.org/officeDocument/2006/relationships/hyperlink" Target="https://1drv.ms/b/c/94bd56ed68f00427/IQCGD2B2BZwES5e3Eby7XOmDAYqtZyicrCr6diGeYxG3eM4?e=7rthih" TargetMode="External"/><Relationship Id="rId620" Type="http://schemas.openxmlformats.org/officeDocument/2006/relationships/hyperlink" Target="https://1drv.ms/b/c/94bd56ed68f00427/IQAfpiZPzYO3RYI0GqeXY7CEAYxc2z1xzrnDihnZNTeL0xg?e=9TscGI" TargetMode="External"/><Relationship Id="rId718" Type="http://schemas.openxmlformats.org/officeDocument/2006/relationships/hyperlink" Target="mailto:sefihait.kone@bayer.com" TargetMode="External"/><Relationship Id="rId925" Type="http://schemas.openxmlformats.org/officeDocument/2006/relationships/hyperlink" Target="mailto:uugwulek@its.jnj.com" TargetMode="External"/><Relationship Id="rId1250" Type="http://schemas.openxmlformats.org/officeDocument/2006/relationships/hyperlink" Target="mailto:phppharma@yahoo.com" TargetMode="External"/><Relationship Id="rId1348" Type="http://schemas.openxmlformats.org/officeDocument/2006/relationships/hyperlink" Target="mailto:bolanle.aladegbola@rb.com;uzo.amatokwu@reckitt.com" TargetMode="External"/><Relationship Id="rId1555" Type="http://schemas.openxmlformats.org/officeDocument/2006/relationships/hyperlink" Target="https://1drv.ms/b/c/94bd56ed68f00427/IQAbX2ozH6ruRYLvsUvqHww_AZ4Jpc7pkVpMui3vEvhreuI?e=gYZCmb" TargetMode="External"/><Relationship Id="rId1110" Type="http://schemas.openxmlformats.org/officeDocument/2006/relationships/hyperlink" Target="mailto:osaretin.jaiyeola@fensyl.com" TargetMode="External"/><Relationship Id="rId1208" Type="http://schemas.openxmlformats.org/officeDocument/2006/relationships/hyperlink" Target="mailto:sepatpharmaceutical@gmail.com" TargetMode="External"/><Relationship Id="rId1415" Type="http://schemas.openxmlformats.org/officeDocument/2006/relationships/hyperlink" Target="https://1drv.ms/b/c/94bd56ed68f00427/IQA7lwrVzQEuSIoqWfjgtCgWASU6uSM4l0Z997-6sXR_bac?e=GC99aj" TargetMode="External"/><Relationship Id="rId54" Type="http://schemas.openxmlformats.org/officeDocument/2006/relationships/hyperlink" Target="https://1drv.ms/b/c/94bd56ed68f00427/IQD1OZHwqyxtR6iyKmOnzGK1ASHb9QTorV-ZVJY1dANK8YY?e=AAGpny" TargetMode="External"/><Relationship Id="rId270" Type="http://schemas.openxmlformats.org/officeDocument/2006/relationships/hyperlink" Target="https://1drv.ms/b/c/94bd56ed68f00427/IQBQBOEJzCkYQ5K8dzv1HjjMAY8dbMOU1JbQCOPIT50DMF0?e=4P4bCy" TargetMode="External"/><Relationship Id="rId130" Type="http://schemas.openxmlformats.org/officeDocument/2006/relationships/hyperlink" Target="https://1drv.ms/b/c/94bd56ed68f00427/IQBap-wfJFSpQ4GTvIFaiL9FAZ_2RI90Xhg1Gd2v0aHUxyE?e=HP7xLh" TargetMode="External"/><Relationship Id="rId368" Type="http://schemas.openxmlformats.org/officeDocument/2006/relationships/hyperlink" Target="https://1drv.ms/b/c/94bd56ed68f00427/IQAIwkh4mh7mRplWUoL_b4M4ATQfi6lSzh0JdNv49Y24tXk?e=72395i" TargetMode="External"/><Relationship Id="rId575" Type="http://schemas.openxmlformats.org/officeDocument/2006/relationships/hyperlink" Target="mailto:taiwo.oteju@beiersdorf.com" TargetMode="External"/><Relationship Id="rId782" Type="http://schemas.openxmlformats.org/officeDocument/2006/relationships/hyperlink" Target="https://1drv.ms/b/c/94bd56ed68f00427/IQDsVy0RvyckQ6EbwHrIBAAsAXx7WgfCgY80qo4nVEe9_cQ?e=H3jafk" TargetMode="External"/><Relationship Id="rId228" Type="http://schemas.openxmlformats.org/officeDocument/2006/relationships/hyperlink" Target="https://1drv.ms/b/c/94bd56ed68f00427/IQDIOCb9N2FPQJaNB6nJZRqyAftar87ehhKsvgaVBzx69JU?e=KQaUNC" TargetMode="External"/><Relationship Id="rId435" Type="http://schemas.openxmlformats.org/officeDocument/2006/relationships/hyperlink" Target="https://1drv.ms/b/c/94bd56ed68f00427/IQBEZ3ea8H7VSrH7EuRiTcKlAfGRttciKVvfUZbXnu8ShKA?e=2TtaNl" TargetMode="External"/><Relationship Id="rId642" Type="http://schemas.openxmlformats.org/officeDocument/2006/relationships/hyperlink" Target="mailto:pharmatex@gmail.com" TargetMode="External"/><Relationship Id="rId1065" Type="http://schemas.openxmlformats.org/officeDocument/2006/relationships/hyperlink" Target="mailto:swipha@swiphanigeria.com" TargetMode="External"/><Relationship Id="rId1272" Type="http://schemas.openxmlformats.org/officeDocument/2006/relationships/hyperlink" Target="mailto:info@phillipsnigeria.com" TargetMode="External"/><Relationship Id="rId502" Type="http://schemas.openxmlformats.org/officeDocument/2006/relationships/hyperlink" Target="https://1drv.ms/b/c/94bd56ed68f00427/IQBYHNn3ecigRI-xS3hZ65HaAcdJJ3tRRwHk6Pu_xA4M4p0?e=5gkKdV" TargetMode="External"/><Relationship Id="rId947" Type="http://schemas.openxmlformats.org/officeDocument/2006/relationships/hyperlink" Target="mailto:purnanigeria@purnanigeria.com" TargetMode="External"/><Relationship Id="rId1132" Type="http://schemas.openxmlformats.org/officeDocument/2006/relationships/hyperlink" Target="https://1drv.ms/b/c/94bd56ed68f00427/IQBu9m86Zca-QZ4WWlkWZ8yzAfpUCgROXOqJnbw--DRJp3E?e=7vYKuc" TargetMode="External"/><Relationship Id="rId1577" Type="http://schemas.openxmlformats.org/officeDocument/2006/relationships/hyperlink" Target="https://1drv.ms/b/c/94bd56ed68f00427/IQDDGli24ugfRJ4aKYYogK1cAdw3ybbgM4Td329bsl5xVH0?e=avk5AD" TargetMode="External"/><Relationship Id="rId76" Type="http://schemas.openxmlformats.org/officeDocument/2006/relationships/hyperlink" Target="https://1drv.ms/b/c/94bd56ed68f00427/IQCefuekj75AQodsvtJ4qzZ3AbJdPugZQ0XKD23yz8Ag138?e=XVy7Je" TargetMode="External"/><Relationship Id="rId807" Type="http://schemas.openxmlformats.org/officeDocument/2006/relationships/hyperlink" Target="https://1drv.ms/b/c/94bd56ed68f00427/IQBPm32zmvAqRZ1ejH_d87AOARC-e3TcEXaV88qdfW7mL0s?e=I7IHzM" TargetMode="External"/><Relationship Id="rId1437" Type="http://schemas.openxmlformats.org/officeDocument/2006/relationships/hyperlink" Target="mailto:henry.duruike@beiersdorf.com" TargetMode="External"/><Relationship Id="rId1504" Type="http://schemas.openxmlformats.org/officeDocument/2006/relationships/hyperlink" Target="https://1drv.ms/b/c/94bd56ed68f00427/IQAJBRk6BeCxR463_LhU41JGAb-3-alkVKxuS5wEe_-kxhg?e=jE6cxQ" TargetMode="External"/><Relationship Id="rId292" Type="http://schemas.openxmlformats.org/officeDocument/2006/relationships/hyperlink" Target="https://1drv.ms/b/c/94bd56ed68f00427/IQCiCt0fv_9ATpJUURnrrNgCAbvXgxpySN2EwtTaGyHz088?e=OHlVX6" TargetMode="External"/><Relationship Id="rId597" Type="http://schemas.openxmlformats.org/officeDocument/2006/relationships/hyperlink" Target="https://1drv.ms/b/c/94bd56ed68f00427/IQCi3iI_XGrUS6fMXErw4t6YASlqxbaDa4XQ3SIQqAfE1XE?e=jB33Qb" TargetMode="External"/><Relationship Id="rId152" Type="http://schemas.openxmlformats.org/officeDocument/2006/relationships/hyperlink" Target="https://1drv.ms/b/c/94bd56ed68f00427/IQDbTEISmiKzQ5DyZkBOZVMEAbvxX1nHqoPU_2DslfnMcB4?e=7IrGsA" TargetMode="External"/><Relationship Id="rId457" Type="http://schemas.openxmlformats.org/officeDocument/2006/relationships/hyperlink" Target="mailto:grace.iyiola@godrejcp.com" TargetMode="External"/><Relationship Id="rId1087" Type="http://schemas.openxmlformats.org/officeDocument/2006/relationships/hyperlink" Target="https://1drv.ms/b/c/94bd56ed68f00427/IQD8lruqhSH0S76r3Kx5uQElAbQalLY-mHM5H5XyAkayIgw?e=j1LBpH" TargetMode="External"/><Relationship Id="rId1294" Type="http://schemas.openxmlformats.org/officeDocument/2006/relationships/hyperlink" Target="mailto:info@elbepharma.com" TargetMode="External"/><Relationship Id="rId664" Type="http://schemas.openxmlformats.org/officeDocument/2006/relationships/hyperlink" Target="mailto:chipharma@clicktgi.net" TargetMode="External"/><Relationship Id="rId871" Type="http://schemas.openxmlformats.org/officeDocument/2006/relationships/hyperlink" Target="https://1drv.ms/b/c/94bd56ed68f00427/IQCq0AhGPDp9RIIIyrB5wqpoAReKUTqyYUUc2s_odfee258?e=qVq1Vl" TargetMode="External"/><Relationship Id="rId969" Type="http://schemas.openxmlformats.org/officeDocument/2006/relationships/hyperlink" Target="https://1drv.ms/b/c/94bd56ed68f00427/IQCBal-DFFEzTpasGFZNYJvyAd2J-SL8Op38KRntCeaypkI?e=fo9omi" TargetMode="External"/><Relationship Id="rId1599" Type="http://schemas.openxmlformats.org/officeDocument/2006/relationships/hyperlink" Target="https://1drv.ms/b/c/94bd56ed68f00427/IQBTmutwGpP4SaacksEhwd5NAYR5K86aAkE1KcnoLRz3IOM?e=wuI1GU" TargetMode="External"/><Relationship Id="rId317" Type="http://schemas.openxmlformats.org/officeDocument/2006/relationships/hyperlink" Target="https://1drv.ms/b/c/94bd56ed68f00427/IQAqShRvbcW8S7WcUV16oUlrAW_Wps3OQXv4369UozgnZSo?e=3HdMKa" TargetMode="External"/><Relationship Id="rId524" Type="http://schemas.openxmlformats.org/officeDocument/2006/relationships/hyperlink" Target="mailto:info@may-baker.com" TargetMode="External"/><Relationship Id="rId731" Type="http://schemas.openxmlformats.org/officeDocument/2006/relationships/hyperlink" Target="mailto:destmawellness1234@gmail.com" TargetMode="External"/><Relationship Id="rId1154" Type="http://schemas.openxmlformats.org/officeDocument/2006/relationships/hyperlink" Target="https://1drv.ms/b/c/94bd56ed68f00427/IQBE9absas0pSayw-LMVX2bHAQ6EmVks_cdzfh75BK_b4c8?e=nNOXAh" TargetMode="External"/><Relationship Id="rId1361" Type="http://schemas.openxmlformats.org/officeDocument/2006/relationships/hyperlink" Target="mailto:info@elbepharma.com" TargetMode="External"/><Relationship Id="rId1459" Type="http://schemas.openxmlformats.org/officeDocument/2006/relationships/hyperlink" Target="mailto:oscarmacaulay@yahoo.com" TargetMode="External"/><Relationship Id="rId98" Type="http://schemas.openxmlformats.org/officeDocument/2006/relationships/hyperlink" Target="https://1drv.ms/b/c/94bd56ed68f00427/IQBtmMiLcA9KSaBzcquYA20RAa8WSUA7nJ5UJXAk1M35Wmk?e=m2ifNS" TargetMode="External"/><Relationship Id="rId829" Type="http://schemas.openxmlformats.org/officeDocument/2006/relationships/hyperlink" Target="https://1drv.ms/b/c/94bd56ed68f00427/IQCVpF6p6yYcQptp2thQfZKsAe5RWh9CUUIwsvWcJrHMYLM?e=MgL9m8" TargetMode="External"/><Relationship Id="rId1014" Type="http://schemas.openxmlformats.org/officeDocument/2006/relationships/hyperlink" Target="https://1drv.ms/b/c/94bd56ed68f00427/IQCnnEtfyXA-TYe8pfSAUGesASdE1-DVf9ssOlgbS7rhE5E?e=ogLD00" TargetMode="External"/><Relationship Id="rId1221" Type="http://schemas.openxmlformats.org/officeDocument/2006/relationships/hyperlink" Target="mailto:phppharma@yahoo.com" TargetMode="External"/><Relationship Id="rId1319" Type="http://schemas.openxmlformats.org/officeDocument/2006/relationships/hyperlink" Target="https://1drv.ms/b/c/94bd56ed68f00427/IQB1e0bU-jFpRaCQHNmzJXF9AbUhqnSNKxF3O34IETtidEc?e=o58l0L" TargetMode="External"/><Relationship Id="rId1526" Type="http://schemas.openxmlformats.org/officeDocument/2006/relationships/hyperlink" Target="https://1drv.ms/b/c/94bd56ed68f00427/IQAAj-uvovMBSY_8i2QlaqY3AZU5cMGDD7cKyjbXRIaeDU4?e=7NTilf" TargetMode="External"/><Relationship Id="rId25" Type="http://schemas.openxmlformats.org/officeDocument/2006/relationships/hyperlink" Target="https://1drv.ms/b/c/94bd56ed68f00427/IQB5z56rhq91SoEkWjh-rhiiAUqT2MILakeSz_UHG5OPfg8?e=NVQLSz" TargetMode="External"/><Relationship Id="rId174" Type="http://schemas.openxmlformats.org/officeDocument/2006/relationships/hyperlink" Target="https://1drv.ms/b/c/94bd56ed68f00427/IQAsptpUL_B2T5e2x95amf8iAYaFiFfDhrHYw2sxisyhIGA?e=vWULM0" TargetMode="External"/><Relationship Id="rId381" Type="http://schemas.openxmlformats.org/officeDocument/2006/relationships/hyperlink" Target="https://1drv.ms/b/c/94bd56ed68f00427/IQCwBBDJdzwRSZ_tIXkBNRzjATZTFkkmndXeIz5PNmw5ZnE?e=HTegT7" TargetMode="External"/><Relationship Id="rId241" Type="http://schemas.openxmlformats.org/officeDocument/2006/relationships/hyperlink" Target="https://1drv.ms/b/c/94bd56ed68f00427/IQAlF8es7rC6QJBExKBuBYL2AaYMFI52yKHRC78TNC63N2Q?e=J4OJIK" TargetMode="External"/><Relationship Id="rId479" Type="http://schemas.openxmlformats.org/officeDocument/2006/relationships/hyperlink" Target="https://1drv.ms/b/c/94bd56ed68f00427/IQCd8XRREfr7Sp8pOfXfazLnAQuFxS7KC-xqLtOyxF5E6pA?e=D9YP1K" TargetMode="External"/><Relationship Id="rId686" Type="http://schemas.openxmlformats.org/officeDocument/2006/relationships/hyperlink" Target="mailto:order@vastovers.com" TargetMode="External"/><Relationship Id="rId893" Type="http://schemas.openxmlformats.org/officeDocument/2006/relationships/hyperlink" Target="mailto:mamaudacare@mamudagroup.it" TargetMode="External"/><Relationship Id="rId339" Type="http://schemas.openxmlformats.org/officeDocument/2006/relationships/hyperlink" Target="https://1drv.ms/b/c/94bd56ed68f00427/IQCnsCzBN4rgSZNwRg9_jCvmAc-g4KCbc74GJiqtINIAGis?e=wsdtzB" TargetMode="External"/><Relationship Id="rId546" Type="http://schemas.openxmlformats.org/officeDocument/2006/relationships/hyperlink" Target="mailto:kesster.chimyenum@unilever.com" TargetMode="External"/><Relationship Id="rId753" Type="http://schemas.openxmlformats.org/officeDocument/2006/relationships/hyperlink" Target="mailto:info@imperiocosmetics.com" TargetMode="External"/><Relationship Id="rId1176" Type="http://schemas.openxmlformats.org/officeDocument/2006/relationships/hyperlink" Target="https://1drv.ms/b/c/94bd56ed68f00427/IQCCSsQYLQD-T5nBo7Pf-pQoAU3yB_l0LNEcjHJhnGs6uFg?e=NSxwWB" TargetMode="External"/><Relationship Id="rId1383" Type="http://schemas.openxmlformats.org/officeDocument/2006/relationships/hyperlink" Target="mailto:customerservice@emzorpharma.com;chinelo@emzorpharma.com;info@emzorpharma.com" TargetMode="External"/><Relationship Id="rId101" Type="http://schemas.openxmlformats.org/officeDocument/2006/relationships/hyperlink" Target="https://1drv.ms/b/c/94bd56ed68f00427/IQC87RBCo_AMTpDn094d0tQeAbr9mT6WmQEGiV8j4Tf6-uk?e=Z80oxI" TargetMode="External"/><Relationship Id="rId406" Type="http://schemas.openxmlformats.org/officeDocument/2006/relationships/hyperlink" Target="mailto:toluwasanmi@may-bakerng.com;info@may-bakerng.com" TargetMode="External"/><Relationship Id="rId960" Type="http://schemas.openxmlformats.org/officeDocument/2006/relationships/hyperlink" Target="https://1drv.ms/b/c/94bd56ed68f00427/IQDFBoG2Q7FoQ5y8_ibA_3O9AQwVEbdRnlZXnvxkLdj2Gwo?e=VbfAlU" TargetMode="External"/><Relationship Id="rId1036" Type="http://schemas.openxmlformats.org/officeDocument/2006/relationships/hyperlink" Target="mailto:swipha@swiphanigeria.com" TargetMode="External"/><Relationship Id="rId1243" Type="http://schemas.openxmlformats.org/officeDocument/2006/relationships/hyperlink" Target="https://1drv.ms/b/c/94bd56ed68f00427/IQA2-YeN4FpYT7FHASvHCoFdAfLSOmpvfdSAOBCiDulX6D0?e=EZ8RM3" TargetMode="External"/><Relationship Id="rId1590" Type="http://schemas.openxmlformats.org/officeDocument/2006/relationships/hyperlink" Target="https://1drv.ms/i/c/94bd56ed68f00427/IQBwh2Nfq0BXQrIZgeCWQPdjAWMxMiaolR0bB_IVzufX6-I?e=zd0Azg" TargetMode="External"/><Relationship Id="rId613" Type="http://schemas.openxmlformats.org/officeDocument/2006/relationships/hyperlink" Target="mailto:customerservice@emzorpharma.com" TargetMode="External"/><Relationship Id="rId820" Type="http://schemas.openxmlformats.org/officeDocument/2006/relationships/hyperlink" Target="mailto:aspira.cosmetics@aspirang.com" TargetMode="External"/><Relationship Id="rId918" Type="http://schemas.openxmlformats.org/officeDocument/2006/relationships/hyperlink" Target="mailto:almondethicalsltd@gmail.com" TargetMode="External"/><Relationship Id="rId1450" Type="http://schemas.openxmlformats.org/officeDocument/2006/relationships/hyperlink" Target="mailto:asgrowpharma@kunech.com" TargetMode="External"/><Relationship Id="rId1548" Type="http://schemas.openxmlformats.org/officeDocument/2006/relationships/hyperlink" Target="https://1drv.ms/b/c/94bd56ed68f00427/IQD0tfbcPcLDTZ6TxJAgJxYlASReJ3YmkcJvLt8xpJMkjDU?e=nW891d" TargetMode="External"/><Relationship Id="rId1103" Type="http://schemas.openxmlformats.org/officeDocument/2006/relationships/hyperlink" Target="mailto:victoria.ezeala@viatris.com;abisola.ayodele@pfizer.com" TargetMode="External"/><Relationship Id="rId1310" Type="http://schemas.openxmlformats.org/officeDocument/2006/relationships/hyperlink" Target="https://1drv.ms/b/c/94bd56ed68f00427/IQBWm1_E2txQQq5vABWnL9ybAZ-PZLoYJQ-ysE7EgNuKmVk?e=gZ0fiU" TargetMode="External"/><Relationship Id="rId1408" Type="http://schemas.openxmlformats.org/officeDocument/2006/relationships/hyperlink" Target="mailto:osaretin.jaiyeola@fensyl.com" TargetMode="External"/><Relationship Id="rId47" Type="http://schemas.openxmlformats.org/officeDocument/2006/relationships/hyperlink" Target="https://1drv.ms/b/c/94bd56ed68f00427/IQAxyEkKzwZISKeT4XlOzg8JAQSJNP-hR7JF3WKuTNEoadI?e=k1jdG1" TargetMode="External"/><Relationship Id="rId196" Type="http://schemas.openxmlformats.org/officeDocument/2006/relationships/hyperlink" Target="https://1drv.ms/b/c/94bd56ed68f00427/IQBXifXaKZd4QK5DShqEvZEUAayerTq8NPVJpQ7QRNCqmUM?e=WxPKYI" TargetMode="External"/><Relationship Id="rId263" Type="http://schemas.openxmlformats.org/officeDocument/2006/relationships/hyperlink" Target="https://1drv.ms/b/c/94bd56ed68f00427/IQCtC4moyi9ZSb7oqfSEj2shAUhopr_yl9iTCYTrJLyJxJU?e=P4ZwuB" TargetMode="External"/><Relationship Id="rId470" Type="http://schemas.openxmlformats.org/officeDocument/2006/relationships/hyperlink" Target="mailto:info@nobleafrica.com" TargetMode="External"/><Relationship Id="rId123" Type="http://schemas.openxmlformats.org/officeDocument/2006/relationships/hyperlink" Target="https://1drv.ms/b/c/94bd56ed68f00427/IQBcczmzE8EPR5Q4fNIHTDGOAZCZAHalv-tIYJR9XZYLQYc?e=WS7950" TargetMode="External"/><Relationship Id="rId330" Type="http://schemas.openxmlformats.org/officeDocument/2006/relationships/hyperlink" Target="https://1drv.ms/b/c/94bd56ed68f00427/IQATZ1Du5PmqRqeFkjdMn4ugAQn0-kncF_vp4W-jG7EXEZ4?e=d7kPaM" TargetMode="External"/><Relationship Id="rId568" Type="http://schemas.openxmlformats.org/officeDocument/2006/relationships/hyperlink" Target="mailto:Luis.munoz@beiersdorf.comv" TargetMode="External"/><Relationship Id="rId775" Type="http://schemas.openxmlformats.org/officeDocument/2006/relationships/hyperlink" Target="https://1drv.ms/b/c/94bd56ed68f00427/IQB8mSk1bkokSIv0R1PJSTSbAUDqVoMgAPSCMCh-0dN3oAo?e=R8WVha" TargetMode="External"/><Relationship Id="rId982" Type="http://schemas.openxmlformats.org/officeDocument/2006/relationships/hyperlink" Target="mailto:bolanle.aladegbola@rb.com;uzo.amatokwu@reckitt.com" TargetMode="External"/><Relationship Id="rId1198" Type="http://schemas.openxmlformats.org/officeDocument/2006/relationships/hyperlink" Target="https://1drv.ms/b/c/94bd56ed68f00427/IQBULrvPlH1uSrwXuoiEtqbZAVaCYnCjOm2h-qLFSj38HW0?e=45kf8u" TargetMode="External"/><Relationship Id="rId428" Type="http://schemas.openxmlformats.org/officeDocument/2006/relationships/hyperlink" Target="mailto:customerservice@emzorpharma.com;chinelo@emzorpharma.com;info@emzorpharma.com" TargetMode="External"/><Relationship Id="rId635" Type="http://schemas.openxmlformats.org/officeDocument/2006/relationships/hyperlink" Target="mailto:destmawellness@gmail.com" TargetMode="External"/><Relationship Id="rId842" Type="http://schemas.openxmlformats.org/officeDocument/2006/relationships/hyperlink" Target="https://1drv.ms/b/c/94bd56ed68f00427/IQBXwy7Tk51iTIugk9ewDg7IAXcG_XUHQiEVkc0HbK5us3o?e=Bc9ez6" TargetMode="External"/><Relationship Id="rId1058" Type="http://schemas.openxmlformats.org/officeDocument/2006/relationships/hyperlink" Target="https://1drv.ms/b/c/94bd56ed68f00427/IQBFudoV3nRIRplZ4qx_5KJqAYQoFKcOYxpXKDqAaGUeYcc?e=L0MVRW" TargetMode="External"/><Relationship Id="rId1265" Type="http://schemas.openxmlformats.org/officeDocument/2006/relationships/hyperlink" Target="https://1drv.ms/b/c/94bd56ed68f00427/IQB9ttyVFbKNQpY5oZyd0vqLAcT_nw8DRv1BM32pW0RtEmk?e=VzUaEl" TargetMode="External"/><Relationship Id="rId1472" Type="http://schemas.openxmlformats.org/officeDocument/2006/relationships/hyperlink" Target="mailto:swipha@swiphanigeria.com" TargetMode="External"/><Relationship Id="rId702" Type="http://schemas.openxmlformats.org/officeDocument/2006/relationships/hyperlink" Target="mailto:osaretin.jaiyeola@fensyl.com" TargetMode="External"/><Relationship Id="rId1125" Type="http://schemas.openxmlformats.org/officeDocument/2006/relationships/hyperlink" Target="https://1drv.ms/b/c/94bd56ed68f00427/IQA70sE7Re5VTo8qKS8eafCgAbQ9OeXEJpMC9ksBBa2wfLQ?e=DlDLPO" TargetMode="External"/><Relationship Id="rId1332" Type="http://schemas.openxmlformats.org/officeDocument/2006/relationships/hyperlink" Target="https://1drv.ms/b/c/94bd56ed68f00427/IQDKIK5OVXliRIGG_P5rlr3kAcJlKddnBIgkpz20aWKBbzc?e=CUO5yx" TargetMode="External"/><Relationship Id="rId69" Type="http://schemas.openxmlformats.org/officeDocument/2006/relationships/hyperlink" Target="https://1drv.ms/b/c/94bd56ed68f00427/IQCoET7z_9t4Sb2iAQVkx2bxAYjjeIhNPSAO9fFXuUCr7tg?e=3aggyV" TargetMode="External"/><Relationship Id="rId285" Type="http://schemas.openxmlformats.org/officeDocument/2006/relationships/hyperlink" Target="https://1drv.ms/b/c/94bd56ed68f00427/IQCf-lwye3pMRYOUij8w7lRsAcyBn9bT8SyP-IuSV6GxCWA?e=gSTNNq" TargetMode="External"/><Relationship Id="rId492" Type="http://schemas.openxmlformats.org/officeDocument/2006/relationships/hyperlink" Target="https://1drv.ms/b/c/94bd56ed68f00427/IQCwIC43VfeIQ5sRjbdENihSATLGvCp-zl2_0nOaw5l1zQQ?e=fs9PuG" TargetMode="External"/><Relationship Id="rId797" Type="http://schemas.openxmlformats.org/officeDocument/2006/relationships/hyperlink" Target="https://1drv.ms/b/c/94bd56ed68f00427/IQAvTNELKpBPTKHlYPYDwXMWAalpl622UKgAEQzzq2h_1iY?e=4ptYFa" TargetMode="External"/><Relationship Id="rId145" Type="http://schemas.openxmlformats.org/officeDocument/2006/relationships/hyperlink" Target="https://1drv.ms/b/c/94bd56ed68f00427/IQDLjDMMDNLnTqpwAP5HuQpEAWunz5vKVGNPW_P26b7tp8k?e=g8SWEl" TargetMode="External"/><Relationship Id="rId352" Type="http://schemas.openxmlformats.org/officeDocument/2006/relationships/hyperlink" Target="mailto:toluwasanmi@may-bakerng.com;info@may-bakerng.com" TargetMode="External"/><Relationship Id="rId1287" Type="http://schemas.openxmlformats.org/officeDocument/2006/relationships/hyperlink" Target="https://1drv.ms/b/c/94bd56ed68f00427/IQDUIrQz66GkTL6XQYc23FbXAXFuYMiwHSh5ZtJNYq26xpI?e=MhbCEW" TargetMode="External"/><Relationship Id="rId212" Type="http://schemas.openxmlformats.org/officeDocument/2006/relationships/hyperlink" Target="https://1drv.ms/b/c/94bd56ed68f00427/IQALky2Cxmr8S6uPM1_iBctIAZDhLLGBA95YatfEZULTs6Q?e=bu5Q2c" TargetMode="External"/><Relationship Id="rId657" Type="http://schemas.openxmlformats.org/officeDocument/2006/relationships/hyperlink" Target="mailto:Rosanna.Iwuala@sunpharma.com" TargetMode="External"/><Relationship Id="rId864" Type="http://schemas.openxmlformats.org/officeDocument/2006/relationships/hyperlink" Target="https://1drv.ms/b/c/94bd56ed68f00427/IQBKyu-JK7DGSJf5K8ineQ4iAT-ScRmhpCWiIHRFNweVb7E?e=KOag8O" TargetMode="External"/><Relationship Id="rId1494" Type="http://schemas.openxmlformats.org/officeDocument/2006/relationships/hyperlink" Target="https://1drv.ms/b/c/94bd56ed68f00427/IQCGD2B2BZwES5e3Eby7XOmDAYqtZyicrCr6diGeYxG3eM4?e=7rthih" TargetMode="External"/><Relationship Id="rId517" Type="http://schemas.openxmlformats.org/officeDocument/2006/relationships/hyperlink" Target="mailto:info@drugfieldpharma.com;olakunleekundayo@msn.com" TargetMode="External"/><Relationship Id="rId724" Type="http://schemas.openxmlformats.org/officeDocument/2006/relationships/hyperlink" Target="mailto:blessing_lynedge@yahoo.com" TargetMode="External"/><Relationship Id="rId931" Type="http://schemas.openxmlformats.org/officeDocument/2006/relationships/hyperlink" Target="mailto:mamudacare@mamudagroup.it" TargetMode="External"/><Relationship Id="rId1147" Type="http://schemas.openxmlformats.org/officeDocument/2006/relationships/hyperlink" Target="https://1drv.ms/b/c/94bd56ed68f00427/IQB5z56rhq91SoEkWjh-rhiiAUqT2MILakeSz_UHG5OPfg8?e=99s0cE" TargetMode="External"/><Relationship Id="rId1354" Type="http://schemas.openxmlformats.org/officeDocument/2006/relationships/hyperlink" Target="https://1drv.ms/b/c/94bd56ed68f00427/IQCSyJADj5a-QpSGYZWoCJoJASHf7TtNPQGNqkO2BRxvOik?e=RmC6Ar" TargetMode="External"/><Relationship Id="rId1561" Type="http://schemas.openxmlformats.org/officeDocument/2006/relationships/hyperlink" Target="https://1drv.ms/b/c/94bd56ed68f00427/IQBIZLYZiCu7QLxhikexGJPTAb1uI0GnfktGnPjfGwj0P_E?e=6JevwT" TargetMode="External"/><Relationship Id="rId60" Type="http://schemas.openxmlformats.org/officeDocument/2006/relationships/hyperlink" Target="https://1drv.ms/b/c/94bd56ed68f00427/IQCU77ss5fruR7_xwh85SSGkAXpOhHeyzoL6v2SIzjglTZM?e=3xRCOO" TargetMode="External"/><Relationship Id="rId1007" Type="http://schemas.openxmlformats.org/officeDocument/2006/relationships/hyperlink" Target="mailto:customerservice@emzorpharmana.com" TargetMode="External"/><Relationship Id="rId1214" Type="http://schemas.openxmlformats.org/officeDocument/2006/relationships/hyperlink" Target="mailto:Rosanna.Iwuala@sunpharma.com" TargetMode="External"/><Relationship Id="rId1421" Type="http://schemas.openxmlformats.org/officeDocument/2006/relationships/hyperlink" Target="mailto:abisola.ayodele@pfizer.com" TargetMode="External"/><Relationship Id="rId1519" Type="http://schemas.openxmlformats.org/officeDocument/2006/relationships/hyperlink" Target="https://1drv.ms/b/c/94bd56ed68f00427/IQBMMepDvlDgRpjXFCk-nk-cAR22XixYU0E9bfsxr6zjdzI?e=Yo41Qy" TargetMode="External"/><Relationship Id="rId18" Type="http://schemas.openxmlformats.org/officeDocument/2006/relationships/hyperlink" Target="https://1drv.ms/b/c/94bd56ed68f00427/IQCOmhpkdDLJS6i7FuItMESkAfRbcFMGbBzgVsiBiHMOyO4?e=35GzS2" TargetMode="External"/><Relationship Id="rId167" Type="http://schemas.openxmlformats.org/officeDocument/2006/relationships/hyperlink" Target="https://1drv.ms/b/c/94bd56ed68f00427/IQDYiT8zi3EtRaNmp-kb4wftASAuWu0IzCmLQbVUVgWIqNs?e=rVAfKg" TargetMode="External"/><Relationship Id="rId374" Type="http://schemas.openxmlformats.org/officeDocument/2006/relationships/hyperlink" Target="https://1drv.ms/b/c/94bd56ed68f00427/IQAlnCnUugPeRIGJSVLMFlehAVuiOH91foDgIL86JY12_JY?e=ZqGSyq" TargetMode="External"/><Relationship Id="rId581" Type="http://schemas.openxmlformats.org/officeDocument/2006/relationships/hyperlink" Target="https://1drv.ms/b/c/94bd56ed68f00427/IQBzSRhgIwWNS4nPLZ3Mba4bAbcTG_TUgqkFihVVO-8_zw8?e=MuiB2h" TargetMode="External"/><Relationship Id="rId234" Type="http://schemas.openxmlformats.org/officeDocument/2006/relationships/hyperlink" Target="https://1drv.ms/b/c/94bd56ed68f00427/IQC5R_nP4IqkTbnN3lxGpYyOAZq00Mp1Wcnm4DsAHvggaCQ?e=53geZ3" TargetMode="External"/><Relationship Id="rId679" Type="http://schemas.openxmlformats.org/officeDocument/2006/relationships/hyperlink" Target="mailto:uzo.amatokwu@reckitt.com" TargetMode="External"/><Relationship Id="rId886" Type="http://schemas.openxmlformats.org/officeDocument/2006/relationships/hyperlink" Target="mailto:Nivea.Nigeria3@Beiersdorf.com" TargetMode="External"/><Relationship Id="rId2" Type="http://schemas.openxmlformats.org/officeDocument/2006/relationships/hyperlink" Target="https://1drv.ms/b/c/94bd56ed68f00427/IQCt4N86U8muSpSKhzXCCGUUAQMeSNFOvLxxiMOkqjUnm-c?e=YVAsaB" TargetMode="External"/><Relationship Id="rId441" Type="http://schemas.openxmlformats.org/officeDocument/2006/relationships/hyperlink" Target="https://1drv.ms/b/c/94bd56ed68f00427/IQC0WHbZsn5zT7GSOzyn86FXAXOK2OwZCTA302DVwCYku-U?e=rfKGBg" TargetMode="External"/><Relationship Id="rId539" Type="http://schemas.openxmlformats.org/officeDocument/2006/relationships/hyperlink" Target="mailto:skyvillemulticare@yahoo.com" TargetMode="External"/><Relationship Id="rId746" Type="http://schemas.openxmlformats.org/officeDocument/2006/relationships/hyperlink" Target="mailto:kesster.chimyenum@unilever.com" TargetMode="External"/><Relationship Id="rId1071" Type="http://schemas.openxmlformats.org/officeDocument/2006/relationships/hyperlink" Target="https://1drv.ms/b/c/94bd56ed68f00427/IQBFudoV3nRIRplZ4qx_5KJqAYQoFKcOYxpXKDqAaGUeYcc?e=L0MVRW" TargetMode="External"/><Relationship Id="rId1169" Type="http://schemas.openxmlformats.org/officeDocument/2006/relationships/hyperlink" Target="mailto:Rosanna.Iwuala@sunpharma.com" TargetMode="External"/><Relationship Id="rId1376" Type="http://schemas.openxmlformats.org/officeDocument/2006/relationships/hyperlink" Target="mailto:phppharma@yahoo.com" TargetMode="External"/><Relationship Id="rId1583" Type="http://schemas.openxmlformats.org/officeDocument/2006/relationships/hyperlink" Target="https://1drv.ms/b/c/94bd56ed68f00427/IQCz990Vh3rWT5AS7HTl3o8iAZTX3zGZgp0qUetjt-TLPHM?e=AOGfKP" TargetMode="External"/><Relationship Id="rId301" Type="http://schemas.openxmlformats.org/officeDocument/2006/relationships/hyperlink" Target="https://1drv.ms/b/c/94bd56ed68f00427/IQDfIbdEFX5zT6SkcarzbhZnAf5aplRtLq0tyvsZ_gbG5SY?e=LD0P5p" TargetMode="External"/><Relationship Id="rId953" Type="http://schemas.openxmlformats.org/officeDocument/2006/relationships/hyperlink" Target="mailto:osaretin.jaiyeola@fensyl.com" TargetMode="External"/><Relationship Id="rId1029" Type="http://schemas.openxmlformats.org/officeDocument/2006/relationships/hyperlink" Target="https://1drv.ms/b/c/94bd56ed68f00427/IQBFudoV3nRIRplZ4qx_5KJqAYQoFKcOYxpXKDqAaGUeYcc?e=L0MVRW" TargetMode="External"/><Relationship Id="rId1236" Type="http://schemas.openxmlformats.org/officeDocument/2006/relationships/hyperlink" Target="mailto:phppharma@yahoo.com" TargetMode="External"/><Relationship Id="rId82" Type="http://schemas.openxmlformats.org/officeDocument/2006/relationships/hyperlink" Target="https://1drv.ms/b/c/94bd56ed68f00427/IQD2p3pXr82rTJ_yUF2b2uouAa3x815_8n_l-je1a7Xw3GQ?e=r4hcZj" TargetMode="External"/><Relationship Id="rId606" Type="http://schemas.openxmlformats.org/officeDocument/2006/relationships/hyperlink" Target="mailto:info@afrabchem.com" TargetMode="External"/><Relationship Id="rId813" Type="http://schemas.openxmlformats.org/officeDocument/2006/relationships/hyperlink" Target="https://1drv.ms/b/c/94bd56ed68f00427/IQA_gZa3F_wWRIW76LiK_fRPAQ64r7EgC45WsFcTH7od5WQ?e=PpekoV" TargetMode="External"/><Relationship Id="rId1443" Type="http://schemas.openxmlformats.org/officeDocument/2006/relationships/hyperlink" Target="https://1drv.ms/b/c/94bd56ed68f00427/IQC58oUJfS6sS6P1anU_OeaKAbQXHhRDIr0fTig78_6_Th8?e=J5ugbP" TargetMode="External"/><Relationship Id="rId1303" Type="http://schemas.openxmlformats.org/officeDocument/2006/relationships/hyperlink" Target="mailto:info@shalina.com" TargetMode="External"/><Relationship Id="rId1510" Type="http://schemas.openxmlformats.org/officeDocument/2006/relationships/hyperlink" Target="https://1drv.ms/b/c/94bd56ed68f00427/IQBICrUJ2YMMS4rbhzQmHMzaAUzIAO8V0ElS2E2goD4AEbY?e=MUksAy" TargetMode="External"/><Relationship Id="rId1608" Type="http://schemas.openxmlformats.org/officeDocument/2006/relationships/hyperlink" Target="https://1drv.ms/i/c/94bd56ed68f00427/IQCyqQ5VE7mPRqFOazhx-E6iAT4aldK9dz0ngyVnmtF3L1Q?e=ewtjmO" TargetMode="External"/><Relationship Id="rId189" Type="http://schemas.openxmlformats.org/officeDocument/2006/relationships/hyperlink" Target="https://1drv.ms/b/c/94bd56ed68f00427/IQBI2VX3A6h_Tp66RMx0EcIrAWmVC3j-BG1CqqKt1Z3Ub8A?e=EJLFR7" TargetMode="External"/><Relationship Id="rId396" Type="http://schemas.openxmlformats.org/officeDocument/2006/relationships/hyperlink" Target="mailto:info@drugfieldpharma.com;olakunleekundayo@msn.com" TargetMode="External"/><Relationship Id="rId256" Type="http://schemas.openxmlformats.org/officeDocument/2006/relationships/hyperlink" Target="https://1drv.ms/b/c/94bd56ed68f00427/IQAQN9sYa1iLSa8_TpEnL9HnAa_enPOek6N7P6wd0fUuJ0M?e=vVffLa" TargetMode="External"/><Relationship Id="rId463" Type="http://schemas.openxmlformats.org/officeDocument/2006/relationships/hyperlink" Target="mailto:orangekalbenigeria@gmail.com" TargetMode="External"/><Relationship Id="rId670" Type="http://schemas.openxmlformats.org/officeDocument/2006/relationships/hyperlink" Target="mailto:ayanlami.ronke@wwcvl.com" TargetMode="External"/><Relationship Id="rId1093" Type="http://schemas.openxmlformats.org/officeDocument/2006/relationships/hyperlink" Target="mailto:janisnutrition@gmail.com" TargetMode="External"/><Relationship Id="rId116" Type="http://schemas.openxmlformats.org/officeDocument/2006/relationships/hyperlink" Target="https://1drv.ms/b/c/94bd56ed68f00427/IQBkTHuP0YoES6oq7SdzleFeAYoc7AiJN95wDUFDp6aewis?e=ToGz1y" TargetMode="External"/><Relationship Id="rId323" Type="http://schemas.openxmlformats.org/officeDocument/2006/relationships/hyperlink" Target="https://1drv.ms/b/c/94bd56ed68f00427/IQADs1yJwb1bSpWASaXtYzflAavJmhcCLD0JSly3TtvZBOE?e=i7mCuE" TargetMode="External"/><Relationship Id="rId530" Type="http://schemas.openxmlformats.org/officeDocument/2006/relationships/hyperlink" Target="https://1drv.ms/b/c/94bd56ed68f00427/IQB6g5Z72t8AS4TlLQ293gxHAfYHmArpeSiKBNINsGrTpvw?e=VIXpCW" TargetMode="External"/><Relationship Id="rId768" Type="http://schemas.openxmlformats.org/officeDocument/2006/relationships/hyperlink" Target="https://1drv.ms/b/c/94bd56ed68f00427/IQDRP790BbAxS5ZY1-mPir6EAaJwfEHUUVj2YUZLULRK2Gw?e=bG1Nau" TargetMode="External"/><Relationship Id="rId975" Type="http://schemas.openxmlformats.org/officeDocument/2006/relationships/hyperlink" Target="mailto:info@pharmadekoplc.com" TargetMode="External"/><Relationship Id="rId1160" Type="http://schemas.openxmlformats.org/officeDocument/2006/relationships/hyperlink" Target="https://1drv.ms/b/c/94bd56ed68f00427/IQCIQpVgcDUJSpin_At66YeZAReUhsxpYAdzAcq0MwSTEDQ?e=oLd4uL" TargetMode="External"/><Relationship Id="rId1398" Type="http://schemas.openxmlformats.org/officeDocument/2006/relationships/hyperlink" Target="https://1drv.ms/b/c/94bd56ed68f00427/IQCcI78pTTpdTbwFnZVcyaKkAf0nZ_GAiXvvOPz3ZViBmWc?e=Agxgir" TargetMode="External"/><Relationship Id="rId628" Type="http://schemas.openxmlformats.org/officeDocument/2006/relationships/hyperlink" Target="mailto:osaretin.jaiyeola@fensyl.com" TargetMode="External"/><Relationship Id="rId835" Type="http://schemas.openxmlformats.org/officeDocument/2006/relationships/hyperlink" Target="https://1drv.ms/b/c/94bd56ed68f00427/IQCVpF6p6yYcQptp2thQfZKsAe5RWh9CUUIwsvWcJrHMYLM?e=MgL9m8" TargetMode="External"/><Relationship Id="rId1258" Type="http://schemas.openxmlformats.org/officeDocument/2006/relationships/hyperlink" Target="mailto:phppharma@yahoo.com" TargetMode="External"/><Relationship Id="rId1465" Type="http://schemas.openxmlformats.org/officeDocument/2006/relationships/hyperlink" Target="mailto:oscarmacaulay@yahoo.com" TargetMode="External"/><Relationship Id="rId1020" Type="http://schemas.openxmlformats.org/officeDocument/2006/relationships/hyperlink" Target="mailto:momohoge@yahoo.com" TargetMode="External"/><Relationship Id="rId1118" Type="http://schemas.openxmlformats.org/officeDocument/2006/relationships/hyperlink" Target="https://1drv.ms/b/c/94bd56ed68f00427/IQAT7Q_P1LnqSKgJL3HV04XEAd4lRWqIK1pvyLTRDQKTxCs?e=bfdS10" TargetMode="External"/><Relationship Id="rId1325" Type="http://schemas.openxmlformats.org/officeDocument/2006/relationships/hyperlink" Target="mailto:shalina.regulatory@yahoo.com" TargetMode="External"/><Relationship Id="rId1532" Type="http://schemas.openxmlformats.org/officeDocument/2006/relationships/hyperlink" Target="https://1drv.ms/b/c/94bd56ed68f00427/IQCNoKlm1QDOQbTeTgdrnReIAVPjQaHBHzpdWZd_eWjkTY0?e=B4VB70" TargetMode="External"/><Relationship Id="rId902" Type="http://schemas.openxmlformats.org/officeDocument/2006/relationships/hyperlink" Target="mailto:Nivea.Nigeria3@beiersdorf.com" TargetMode="External"/><Relationship Id="rId31" Type="http://schemas.openxmlformats.org/officeDocument/2006/relationships/hyperlink" Target="https://1drv.ms/b/c/94bd56ed68f00427/IQCrCS-tPhmRQKNrf5-O3e49AXtznyGsgTPC-jvJx5fGNCE?e=PU89aK" TargetMode="External"/><Relationship Id="rId180" Type="http://schemas.openxmlformats.org/officeDocument/2006/relationships/hyperlink" Target="https://1drv.ms/b/c/94bd56ed68f00427/IQATXLOeXyiUSIYp1F3IupNlATXU6Szm-1Dks_dn5fg103M?e=88psMt" TargetMode="External"/><Relationship Id="rId278" Type="http://schemas.openxmlformats.org/officeDocument/2006/relationships/hyperlink" Target="https://1drv.ms/b/c/94bd56ed68f00427/IQDNEkJOiVk9SZcygcZp2zQVAe-u4EfaXHsxQ5omRptS9SQ?e=qedxWv" TargetMode="External"/><Relationship Id="rId485" Type="http://schemas.openxmlformats.org/officeDocument/2006/relationships/hyperlink" Target="mailto:kchconsumer@gmail.com" TargetMode="External"/><Relationship Id="rId692" Type="http://schemas.openxmlformats.org/officeDocument/2006/relationships/hyperlink" Target="mailto:customercare@kedihealth.com" TargetMode="External"/><Relationship Id="rId138" Type="http://schemas.openxmlformats.org/officeDocument/2006/relationships/hyperlink" Target="https://1drv.ms/b/c/94bd56ed68f00427/IQC9LXUzy-7qQ6M15B1_QhtzAcb9MfkDBj_EV6xtnh5tS8o?e=XdAfSb" TargetMode="External"/><Relationship Id="rId345" Type="http://schemas.openxmlformats.org/officeDocument/2006/relationships/hyperlink" Target="https://1drv.ms/b/c/94bd56ed68f00427/IQDsPkXx2NQ0Q7KwqGrUCp_3ATtfzxYApJ6gRFo4rjw0r7M?e=piuvCB" TargetMode="External"/><Relationship Id="rId552" Type="http://schemas.openxmlformats.org/officeDocument/2006/relationships/hyperlink" Target="mailto:aspira.cosmetics@aspirang.com" TargetMode="External"/><Relationship Id="rId997" Type="http://schemas.openxmlformats.org/officeDocument/2006/relationships/hyperlink" Target="https://1drv.ms/b/c/94bd56ed68f00427/IQC8QrTO2V-1T4Iynud-kRzqAZpUpEAdwnipUbIpTNzWsmg?e=PSDxV1" TargetMode="External"/><Relationship Id="rId1182" Type="http://schemas.openxmlformats.org/officeDocument/2006/relationships/hyperlink" Target="mailto:phppharma@yahoo.com" TargetMode="External"/><Relationship Id="rId205" Type="http://schemas.openxmlformats.org/officeDocument/2006/relationships/hyperlink" Target="https://1drv.ms/b/c/94bd56ed68f00427/IQDcs-tOReWsRLohQTc_haOfAVTgDsfrcsjFTkVO_OfTqMI?e=GltGub" TargetMode="External"/><Relationship Id="rId412" Type="http://schemas.openxmlformats.org/officeDocument/2006/relationships/hyperlink" Target="https://1drv.ms/b/c/94bd56ed68f00427/IQA86RnAinhuRIB6XekfY-U_AWkqPmE0mPe1dVDUv-fhAU0?e=YHmUuu" TargetMode="External"/><Relationship Id="rId857" Type="http://schemas.openxmlformats.org/officeDocument/2006/relationships/hyperlink" Target="mailto:osworthnigeria@yahoo.com" TargetMode="External"/><Relationship Id="rId1042" Type="http://schemas.openxmlformats.org/officeDocument/2006/relationships/hyperlink" Target="mailto:swipha@swiphanigeria.com" TargetMode="External"/><Relationship Id="rId1487" Type="http://schemas.openxmlformats.org/officeDocument/2006/relationships/hyperlink" Target="https://1drv.ms/b/c/94bd56ed68f00427/IQCGD2B2BZwES5e3Eby7XOmDAYqtZyicrCr6diGeYxG3eM4?e=7rthih" TargetMode="External"/><Relationship Id="rId717" Type="http://schemas.openxmlformats.org/officeDocument/2006/relationships/hyperlink" Target="mailto:sefihait.kone@bayer.com" TargetMode="External"/><Relationship Id="rId924" Type="http://schemas.openxmlformats.org/officeDocument/2006/relationships/hyperlink" Target="mailto:abpharma.parenterals@gmail.com" TargetMode="External"/><Relationship Id="rId1347" Type="http://schemas.openxmlformats.org/officeDocument/2006/relationships/hyperlink" Target="mailto:info@ng.pvmgrp.com" TargetMode="External"/><Relationship Id="rId1554" Type="http://schemas.openxmlformats.org/officeDocument/2006/relationships/hyperlink" Target="https://1drv.ms/b/c/94bd56ed68f00427/IQAbX2ozH6ruRYLvsUvqHww_AZ4Jpc7pkVpMui3vEvhreuI?e=gYZCmb" TargetMode="External"/><Relationship Id="rId53" Type="http://schemas.openxmlformats.org/officeDocument/2006/relationships/hyperlink" Target="https://1drv.ms/b/c/94bd56ed68f00427/IQDYzQ063ZeEQq4hcDyBkhTUAZoRzReaVyO3RRlaPYhgQF4?e=uMSzsm" TargetMode="External"/><Relationship Id="rId1207" Type="http://schemas.openxmlformats.org/officeDocument/2006/relationships/hyperlink" Target="mailto:info.nigeria@sunpharma.com;rosanna.iwuala@sunpharma.com" TargetMode="External"/><Relationship Id="rId1414" Type="http://schemas.openxmlformats.org/officeDocument/2006/relationships/hyperlink" Target="mailto:customerservice@emzorpharma.com;chinelo@emzorpharma.com;info@emzorpharma.com" TargetMode="External"/><Relationship Id="rId367" Type="http://schemas.openxmlformats.org/officeDocument/2006/relationships/hyperlink" Target="https://1drv.ms/b/c/94bd56ed68f00427/IQAIwkh4mh7mRplWUoL_b4M4ATQfi6lSzh0JdNv49Y24tXk?e=72395i" TargetMode="External"/><Relationship Id="rId574" Type="http://schemas.openxmlformats.org/officeDocument/2006/relationships/hyperlink" Target="mailto:taiwo.oteju@beiersdorf.com" TargetMode="External"/><Relationship Id="rId227" Type="http://schemas.openxmlformats.org/officeDocument/2006/relationships/hyperlink" Target="https://1drv.ms/b/c/94bd56ed68f00427/IQCD8Y9iacdQS6DNt-wm6axsAYHqvcEvpPXPRx7Vd4rZUPo?e=x91B89" TargetMode="External"/><Relationship Id="rId781" Type="http://schemas.openxmlformats.org/officeDocument/2006/relationships/hyperlink" Target="https://1drv.ms/b/c/94bd56ed68f00427/IQAqCKyDAqmVR5IP6ll2JHXSAeQPctyiYYhjkBpXlITtBco?e=7xlJpj" TargetMode="External"/><Relationship Id="rId879" Type="http://schemas.openxmlformats.org/officeDocument/2006/relationships/hyperlink" Target="mailto:Nivea.Nigeria3@Beiersdorf.com" TargetMode="External"/><Relationship Id="rId434" Type="http://schemas.openxmlformats.org/officeDocument/2006/relationships/hyperlink" Target="mailto:adehina@rxevolution.com" TargetMode="External"/><Relationship Id="rId641" Type="http://schemas.openxmlformats.org/officeDocument/2006/relationships/hyperlink" Target="https://1drv.ms/b/c/94bd56ed68f00427/IQA682HahNTcSZVCTx_UIuS0AYOvTdRG8v6jW-nUF3-9YLE?e=l6H9Ab" TargetMode="External"/><Relationship Id="rId739" Type="http://schemas.openxmlformats.org/officeDocument/2006/relationships/hyperlink" Target="mailto:info@fidson.com" TargetMode="External"/><Relationship Id="rId1064" Type="http://schemas.openxmlformats.org/officeDocument/2006/relationships/hyperlink" Target="mailto:swipha@swiphanigeria.com" TargetMode="External"/><Relationship Id="rId1271" Type="http://schemas.openxmlformats.org/officeDocument/2006/relationships/hyperlink" Target="https://1drv.ms/b/c/94bd56ed68f00427/IQD6ebX3YJfrRIuG2TIvnmPlAfj6dJPAfrZtcYrCofJ8zLs?e=BjNafA" TargetMode="External"/><Relationship Id="rId1369" Type="http://schemas.openxmlformats.org/officeDocument/2006/relationships/hyperlink" Target="mailto:phppharma@yahoo.com" TargetMode="External"/><Relationship Id="rId1576" Type="http://schemas.openxmlformats.org/officeDocument/2006/relationships/hyperlink" Target="https://1drv.ms/b/c/94bd56ed68f00427/IQDDGli24ugfRJ4aKYYogK1cAdw3ybbgM4Td329bsl5xVH0?e=avk5AD" TargetMode="External"/><Relationship Id="rId501" Type="http://schemas.openxmlformats.org/officeDocument/2006/relationships/hyperlink" Target="https://1drv.ms/b/c/94bd56ed68f00427/IQBYHNn3ecigRI-xS3hZ65HaAcdJJ3tRRwHk6Pu_xA4M4p0?e=5gkKdV" TargetMode="External"/><Relationship Id="rId946" Type="http://schemas.openxmlformats.org/officeDocument/2006/relationships/hyperlink" Target="mailto:reals@realsgroup.com%20;%20realsspecialties@yahoo.com" TargetMode="External"/><Relationship Id="rId1131" Type="http://schemas.openxmlformats.org/officeDocument/2006/relationships/hyperlink" Target="https://1drv.ms/b/c/94bd56ed68f00427/IQDJ0kmOGvpoTIijd7CuX0_LAWxy5UDvXLCdERbJ9zMnkSw?e=EncSqH" TargetMode="External"/><Relationship Id="rId1229" Type="http://schemas.openxmlformats.org/officeDocument/2006/relationships/hyperlink" Target="https://1drv.ms/b/c/94bd56ed68f00427/IQCRltHZHS5ATKIxcfKGZi1pAWxCLzaEOJ8KbeVsC6M7F0o?e=sKmNI8" TargetMode="External"/><Relationship Id="rId75" Type="http://schemas.openxmlformats.org/officeDocument/2006/relationships/hyperlink" Target="https://1drv.ms/b/c/94bd56ed68f00427/IQDy2fuhI-qvR5OvDWSBJM96ASYvRrSR3fjEegP483LxP88?e=wO4K7w" TargetMode="External"/><Relationship Id="rId806" Type="http://schemas.openxmlformats.org/officeDocument/2006/relationships/hyperlink" Target="https://1drv.ms/b/c/94bd56ed68f00427/IQC1-LK15eSbRZteIYsdV6krAZ_5FJjp5UrDZKairTKb88M?e=9C5UHp" TargetMode="External"/><Relationship Id="rId1436" Type="http://schemas.openxmlformats.org/officeDocument/2006/relationships/hyperlink" Target="mailto:hello@franemmindustriesltd.com" TargetMode="External"/><Relationship Id="rId1503" Type="http://schemas.openxmlformats.org/officeDocument/2006/relationships/hyperlink" Target="https://1drv.ms/b/c/94bd56ed68f00427/IQAJBRk6BeCxR463_LhU41JGAb-3-alkVKxuS5wEe_-kxhg?e=jE6cxQ" TargetMode="External"/><Relationship Id="rId291" Type="http://schemas.openxmlformats.org/officeDocument/2006/relationships/hyperlink" Target="https://1drv.ms/b/c/94bd56ed68f00427/IQCiCt0fv_9ATpJUURnrrNgCAbvXgxpySN2EwtTaGyHz088?e=OHlVX6" TargetMode="External"/><Relationship Id="rId151" Type="http://schemas.openxmlformats.org/officeDocument/2006/relationships/hyperlink" Target="https://1drv.ms/b/c/94bd56ed68f00427/IQDbTEISmiKzQ5DyZkBOZVMEAbvxX1nHqoPU_2DslfnMcB4?e=7IrGsA" TargetMode="External"/><Relationship Id="rId389" Type="http://schemas.openxmlformats.org/officeDocument/2006/relationships/hyperlink" Target="https://1drv.ms/b/c/94bd56ed68f00427/IQBwMDNP79e0TLdThgLDYc4ZAV3XXuwR4Uj_bQ2EB9yBXb4?e=MXaf9t" TargetMode="External"/><Relationship Id="rId596" Type="http://schemas.openxmlformats.org/officeDocument/2006/relationships/hyperlink" Target="mailto:customerservice@emzorpharma.com" TargetMode="External"/><Relationship Id="rId249" Type="http://schemas.openxmlformats.org/officeDocument/2006/relationships/hyperlink" Target="https://1drv.ms/b/c/94bd56ed68f00427/IQDOoQHjbhAVRL68ARhcg2d4AenS7dYizp3CYff6efHd9Bw?e=VXWIZ8" TargetMode="External"/><Relationship Id="rId456" Type="http://schemas.openxmlformats.org/officeDocument/2006/relationships/hyperlink" Target="mailto:grace.iyiola@godrejcp.com" TargetMode="External"/><Relationship Id="rId663" Type="http://schemas.openxmlformats.org/officeDocument/2006/relationships/hyperlink" Target="mailto:info@ng.pvmgrp.com" TargetMode="External"/><Relationship Id="rId870" Type="http://schemas.openxmlformats.org/officeDocument/2006/relationships/hyperlink" Target="mailto:osworthnigeria@yahoo.com" TargetMode="External"/><Relationship Id="rId1086" Type="http://schemas.openxmlformats.org/officeDocument/2006/relationships/hyperlink" Target="https://1drv.ms/b/c/94bd56ed68f00427/IQBnS_2mzKAeRIsT3JqcDp2iAStq4F8vZ7ip4RoKlTCDsL4?e=WYjU5h" TargetMode="External"/><Relationship Id="rId1293" Type="http://schemas.openxmlformats.org/officeDocument/2006/relationships/hyperlink" Target="https://1drv.ms/b/c/94bd56ed68f00427/IQAVMr2w9uPeRKf_x4NuP-7vAfkum5EIPifb9wO5i0XsD0g?e=Q4zcg2" TargetMode="External"/><Relationship Id="rId109" Type="http://schemas.openxmlformats.org/officeDocument/2006/relationships/hyperlink" Target="https://1drv.ms/b/c/94bd56ed68f00427/IQAWATI2BQrdSrAnYIIBjrHyAWbVWJnefcpDefv0kSamyZ0?e=gwC0ah" TargetMode="External"/><Relationship Id="rId316" Type="http://schemas.openxmlformats.org/officeDocument/2006/relationships/hyperlink" Target="https://1drv.ms/b/c/94bd56ed68f00427/IQBgRkwALB7cSaneu5xaf2HNAXcZVv6iU6SbZUoUTQOBdN4?e=ewppYe" TargetMode="External"/><Relationship Id="rId523" Type="http://schemas.openxmlformats.org/officeDocument/2006/relationships/hyperlink" Target="mailto:info@may-baker.com" TargetMode="External"/><Relationship Id="rId968" Type="http://schemas.openxmlformats.org/officeDocument/2006/relationships/hyperlink" Target="https://1drv.ms/b/c/94bd56ed68f00427/IQCBal-DFFEzTpasGFZNYJvyAd2J-SL8Op38KRntCeaypkI?e=fo9omi" TargetMode="External"/><Relationship Id="rId1153" Type="http://schemas.openxmlformats.org/officeDocument/2006/relationships/hyperlink" Target="https://1drv.ms/b/c/94bd56ed68f00427/IQBE9absas0pSayw-LMVX2bHAQ6EmVks_cdzfh75BK_b4c8?e=nNOXAh" TargetMode="External"/><Relationship Id="rId1598" Type="http://schemas.openxmlformats.org/officeDocument/2006/relationships/hyperlink" Target="https://1drv.ms/b/c/94bd56ed68f00427/IQBTmutwGpP4SaacksEhwd5NAYR5K86aAkE1KcnoLRz3IOM?e=wuI1GU" TargetMode="External"/><Relationship Id="rId97" Type="http://schemas.openxmlformats.org/officeDocument/2006/relationships/hyperlink" Target="https://1drv.ms/b/c/94bd56ed68f00427/IQBbCefX7J4qRZymc3YT3rf4AXWl-KAg9TPPr_GmaO28i4w?e=1KQV2o" TargetMode="External"/><Relationship Id="rId730" Type="http://schemas.openxmlformats.org/officeDocument/2006/relationships/hyperlink" Target="mailto:sepatpharmaceuticals@gmail.com" TargetMode="External"/><Relationship Id="rId828" Type="http://schemas.openxmlformats.org/officeDocument/2006/relationships/hyperlink" Target="mailto:uto.amatokwu@reckitt.com" TargetMode="External"/><Relationship Id="rId1013" Type="http://schemas.openxmlformats.org/officeDocument/2006/relationships/hyperlink" Target="https://1drv.ms/b/c/94bd56ed68f00427/IQCnnEtfyXA-TYe8pfSAUGesASdE1-DVf9ssOlgbS7rhE5E?e=ogLD00" TargetMode="External"/><Relationship Id="rId1360" Type="http://schemas.openxmlformats.org/officeDocument/2006/relationships/hyperlink" Target="mailto:stephenez@yahoo.com" TargetMode="External"/><Relationship Id="rId1458" Type="http://schemas.openxmlformats.org/officeDocument/2006/relationships/hyperlink" Target="mailto:oscarmacaulay@yahoo.com" TargetMode="External"/><Relationship Id="rId1220" Type="http://schemas.openxmlformats.org/officeDocument/2006/relationships/hyperlink" Target="mailto:phppharma@yahoo.com" TargetMode="External"/><Relationship Id="rId1318" Type="http://schemas.openxmlformats.org/officeDocument/2006/relationships/hyperlink" Target="https://1drv.ms/b/c/94bd56ed68f00427/IQADyrS-6znrS4nJv5F2-Pn5AThy2Jxq3QuvVXyytFhC5tI?e=VJAQ5M" TargetMode="External"/><Relationship Id="rId1525" Type="http://schemas.openxmlformats.org/officeDocument/2006/relationships/hyperlink" Target="https://1drv.ms/b/c/94bd56ed68f00427/IQAb5H-uxVWRSpGDe0sVUMLnAbzx7aqw0Gv9DhKb-5ewImQ?e=wOHAhz" TargetMode="External"/><Relationship Id="rId24" Type="http://schemas.openxmlformats.org/officeDocument/2006/relationships/hyperlink" Target="https://nafdacng-my.sharepoint.com/:b:/g/personal/adekunle_adeniran_nafdac_gov_ng/IQBx7UGp5pQXQqyB06WqoZgkAeIcfryl-Zz6bwejaLuUCuk?e=QueWfs" TargetMode="External"/><Relationship Id="rId173" Type="http://schemas.openxmlformats.org/officeDocument/2006/relationships/hyperlink" Target="https://1drv.ms/b/c/94bd56ed68f00427/IQAsptpUL_B2T5e2x95amf8iAYaFiFfDhrHYw2sxisyhIGA?e=vWULM0" TargetMode="External"/><Relationship Id="rId380" Type="http://schemas.openxmlformats.org/officeDocument/2006/relationships/hyperlink" Target="mailto:info@drugfieldpharma.com;olakunleekundayo@msn.com" TargetMode="External"/><Relationship Id="rId240" Type="http://schemas.openxmlformats.org/officeDocument/2006/relationships/hyperlink" Target="https://1drv.ms/b/c/94bd56ed68f00427/IQBM0dZon45bS4Z-MMEOTIupAdQGu2NLDXv7T1bh01OuLpA?e=RTabax" TargetMode="External"/><Relationship Id="rId478" Type="http://schemas.openxmlformats.org/officeDocument/2006/relationships/hyperlink" Target="https://1drv.ms/b/c/94bd56ed68f00427/IQBD29FexwXlT7ZZJsGblWxuAYSRm5DtqqGy_Qul6jASbBE?e=Hxdh6n" TargetMode="External"/><Relationship Id="rId685" Type="http://schemas.openxmlformats.org/officeDocument/2006/relationships/hyperlink" Target="mailto:order@vastovers.com" TargetMode="External"/><Relationship Id="rId892" Type="http://schemas.openxmlformats.org/officeDocument/2006/relationships/hyperlink" Target="mailto:mamaudacare@mamudagroup.it" TargetMode="External"/><Relationship Id="rId100" Type="http://schemas.openxmlformats.org/officeDocument/2006/relationships/hyperlink" Target="https://1drv.ms/b/c/94bd56ed68f00427/IQC87RBCo_AMTpDn094d0tQeAbr9mT6WmQEGiV8j4Tf6-uk?e=Z80oxI" TargetMode="External"/><Relationship Id="rId338" Type="http://schemas.openxmlformats.org/officeDocument/2006/relationships/hyperlink" Target="https://1drv.ms/b/c/94bd56ed68f00427/IQCnsCzBN4rgSZNwRg9_jCvmAc-g4KCbc74GJiqtINIAGis?e=wsdtzB" TargetMode="External"/><Relationship Id="rId545" Type="http://schemas.openxmlformats.org/officeDocument/2006/relationships/hyperlink" Target="mailto:communications.ng@unilever.com" TargetMode="External"/><Relationship Id="rId752" Type="http://schemas.openxmlformats.org/officeDocument/2006/relationships/hyperlink" Target="mailto:uzo.amatokwu@reckitt.com" TargetMode="External"/><Relationship Id="rId1175" Type="http://schemas.openxmlformats.org/officeDocument/2006/relationships/hyperlink" Target="https://1drv.ms/b/c/94bd56ed68f00427/IQCCSsQYLQD-T5nBo7Pf-pQoAU3yB_l0LNEcjHJhnGs6uFg?e=NSxwWB" TargetMode="External"/><Relationship Id="rId1382" Type="http://schemas.openxmlformats.org/officeDocument/2006/relationships/hyperlink" Target="mailto:shalina.regulatory@yahoo.com" TargetMode="External"/><Relationship Id="rId405" Type="http://schemas.openxmlformats.org/officeDocument/2006/relationships/hyperlink" Target="mailto:toluwasanmi@may-bakerng.com;info@may-bakerng.com" TargetMode="External"/><Relationship Id="rId612" Type="http://schemas.openxmlformats.org/officeDocument/2006/relationships/hyperlink" Target="mailto:customerservice@emzorpharma.com" TargetMode="External"/><Relationship Id="rId1035" Type="http://schemas.openxmlformats.org/officeDocument/2006/relationships/hyperlink" Target="mailto:swipha@swiphanigeria.com" TargetMode="External"/><Relationship Id="rId1242" Type="http://schemas.openxmlformats.org/officeDocument/2006/relationships/hyperlink" Target="https://1drv.ms/b/c/94bd56ed68f00427/IQCuukpFSa0uSaFqxv2uvoWmAZ06saANswk61eO-JXhjKvo?e=jHpLMk" TargetMode="External"/><Relationship Id="rId917" Type="http://schemas.openxmlformats.org/officeDocument/2006/relationships/hyperlink" Target="mailto:almondethicalsltd@gmail.com" TargetMode="External"/><Relationship Id="rId1102" Type="http://schemas.openxmlformats.org/officeDocument/2006/relationships/hyperlink" Target="mailto:grace.iyiola@godrejcp.com;uche.nwokocha@aluko-oyebode.com" TargetMode="External"/><Relationship Id="rId1547" Type="http://schemas.openxmlformats.org/officeDocument/2006/relationships/hyperlink" Target="https://1drv.ms/b/c/94bd56ed68f00427/IQD0tfbcPcLDTZ6TxJAgJxYlASReJ3YmkcJvLt8xpJMkjDU?e=nW891d" TargetMode="External"/><Relationship Id="rId46" Type="http://schemas.openxmlformats.org/officeDocument/2006/relationships/hyperlink" Target="https://1drv.ms/b/c/94bd56ed68f00427/IQA3h9YgUjduR7Rn2Ywe8CHrARhdNl5cc8lA-lT5jpZ-vco?e=Hx9e8u" TargetMode="External"/><Relationship Id="rId1407" Type="http://schemas.openxmlformats.org/officeDocument/2006/relationships/hyperlink" Target="mailto:osaretin.jaiyeola@fensyl.com" TargetMode="External"/><Relationship Id="rId195" Type="http://schemas.openxmlformats.org/officeDocument/2006/relationships/hyperlink" Target="https://1drv.ms/b/c/94bd56ed68f00427/IQA9u8GlWxGfRLAcKBL8RL5HAbpoz7ghA4d_VYhYa5rVFhE?e=l16QKI" TargetMode="External"/><Relationship Id="rId262" Type="http://schemas.openxmlformats.org/officeDocument/2006/relationships/hyperlink" Target="https://1drv.ms/b/c/94bd56ed68f00427/IQAzQNEGjd2LQIqOz2tcQVTuAYTXNA92RpFBWiRXD4Q7wmw?e=bznjcV" TargetMode="External"/><Relationship Id="rId567" Type="http://schemas.openxmlformats.org/officeDocument/2006/relationships/hyperlink" Target="mailto:ttaiwo.oteju@beiersdorf.com" TargetMode="External"/><Relationship Id="rId1197" Type="http://schemas.openxmlformats.org/officeDocument/2006/relationships/hyperlink" Target="https://1drv.ms/b/c/94bd56ed68f00427/IQBULrvPlH1uSrwXuoiEtqbZAVaCYnCjOm2h-qLFSj38HW0?e=45kf8u" TargetMode="External"/><Relationship Id="rId122" Type="http://schemas.openxmlformats.org/officeDocument/2006/relationships/hyperlink" Target="https://1drv.ms/b/c/94bd56ed68f00427/IQAZMpLmC1JnSJYgwJmSxME9AWmNOGa4O4dvZLO6ITCCKBI?e=Ly4hAA" TargetMode="External"/><Relationship Id="rId774" Type="http://schemas.openxmlformats.org/officeDocument/2006/relationships/hyperlink" Target="https://1drv.ms/b/c/94bd56ed68f00427/IQCk7cZSbAPEQZ0QTI4scHxbAavndkRuPr4TQrnaFFlPLjE?e=mzam4W" TargetMode="External"/><Relationship Id="rId981" Type="http://schemas.openxmlformats.org/officeDocument/2006/relationships/hyperlink" Target="https://1drv.ms/b/c/94bd56ed68f00427/IQD6F4J0gg2aQZLP-AmthppWARxQm5WXBmwLACrbTU9pcxs?e=Gt3hZQ" TargetMode="External"/><Relationship Id="rId1057" Type="http://schemas.openxmlformats.org/officeDocument/2006/relationships/hyperlink" Target="https://1drv.ms/b/c/94bd56ed68f00427/IQBFudoV3nRIRplZ4qx_5KJqAYQoFKcOYxpXKDqAaGUeYcc?e=L0MVRW" TargetMode="External"/><Relationship Id="rId427" Type="http://schemas.openxmlformats.org/officeDocument/2006/relationships/hyperlink" Target="mailto:customerservice@emzorpharma.com;chinelo@emzorpharma.com;info@emzorpharma.com" TargetMode="External"/><Relationship Id="rId634" Type="http://schemas.openxmlformats.org/officeDocument/2006/relationships/hyperlink" Target="mailto:destmawellness@gmail.com" TargetMode="External"/><Relationship Id="rId841" Type="http://schemas.openxmlformats.org/officeDocument/2006/relationships/hyperlink" Target="https://1drv.ms/b/c/94bd56ed68f00427/IQBXwy7Tk51iTIugk9ewDg7IAXcG_XUHQiEVkc0HbK5us3o?e=Bc9ez6" TargetMode="External"/><Relationship Id="rId1264" Type="http://schemas.openxmlformats.org/officeDocument/2006/relationships/hyperlink" Target="mailto:phppharma@yahoo.com" TargetMode="External"/><Relationship Id="rId1471" Type="http://schemas.openxmlformats.org/officeDocument/2006/relationships/hyperlink" Target="mailto:oscarmacaulay@yahoo.com" TargetMode="External"/><Relationship Id="rId1569" Type="http://schemas.openxmlformats.org/officeDocument/2006/relationships/hyperlink" Target="https://1drv.ms/b/c/94bd56ed68f00427/IQBIZLYZiCu7QLxhikexGJPTAb1uI0GnfktGnPjfGwj0P_E?e=6JevwT" TargetMode="External"/><Relationship Id="rId701" Type="http://schemas.openxmlformats.org/officeDocument/2006/relationships/hyperlink" Target="mailto:stephenez@yahoo.com" TargetMode="External"/><Relationship Id="rId939" Type="http://schemas.openxmlformats.org/officeDocument/2006/relationships/hyperlink" Target="mailto:solomonsemicrolabs@gmail.com" TargetMode="External"/><Relationship Id="rId1124" Type="http://schemas.openxmlformats.org/officeDocument/2006/relationships/hyperlink" Target="https://1drv.ms/b/c/94bd56ed68f00427/IQA70sE7Re5VTo8qKS8eafCgAbQ9OeXEJpMC9ksBBa2wfLQ?e=DlDLPO" TargetMode="External"/><Relationship Id="rId1331" Type="http://schemas.openxmlformats.org/officeDocument/2006/relationships/hyperlink" Target="mailto:osaretin.jaiyeola@fensyl.com" TargetMode="External"/><Relationship Id="rId68" Type="http://schemas.openxmlformats.org/officeDocument/2006/relationships/hyperlink" Target="https://1drv.ms/b/c/94bd56ed68f00427/IQB3ggu0WGpYRrT5xPMPqZi2Ac-jgq0KXWr1DbHx6YGQBf0?e=HpYpbL" TargetMode="External"/><Relationship Id="rId1429" Type="http://schemas.openxmlformats.org/officeDocument/2006/relationships/hyperlink" Target="https://1drv.ms/b/c/94bd56ed68f00427/IQCHnmftYrNEQ7UIxFCNq7yKAY0TgB32PE8qDmSFMwGZ5S0?e=sbSlas" TargetMode="External"/><Relationship Id="rId284" Type="http://schemas.openxmlformats.org/officeDocument/2006/relationships/hyperlink" Target="https://1drv.ms/b/c/94bd56ed68f00427/IQCf-lwye3pMRYOUij8w7lRsAcyBn9bT8SyP-IuSV6GxCWA?e=gSTNNq" TargetMode="External"/><Relationship Id="rId491" Type="http://schemas.openxmlformats.org/officeDocument/2006/relationships/hyperlink" Target="https://1drv.ms/b/c/94bd56ed68f00427/IQCwIC43VfeIQ5sRjbdENihSATLGvCp-zl2_0nOaw5l1zQQ?e=fs9PuG" TargetMode="External"/><Relationship Id="rId144" Type="http://schemas.openxmlformats.org/officeDocument/2006/relationships/hyperlink" Target="https://1drv.ms/b/c/94bd56ed68f00427/IQC1EG_nIve4QJDDsUghRjtTAfyuqnll5c31lyZNaQG5zPM?e=IeFF4u" TargetMode="External"/><Relationship Id="rId589" Type="http://schemas.openxmlformats.org/officeDocument/2006/relationships/hyperlink" Target="mailto:customerservice@emzorpharma.com" TargetMode="External"/><Relationship Id="rId796" Type="http://schemas.openxmlformats.org/officeDocument/2006/relationships/hyperlink" Target="https://1drv.ms/b/c/94bd56ed68f00427/IQA15cylw2YqSogVsSl_w2t4AXBzDHZOe1gVTigRKxLUAjo?e=lPHXrW" TargetMode="External"/><Relationship Id="rId351" Type="http://schemas.openxmlformats.org/officeDocument/2006/relationships/hyperlink" Target="https://1drv.ms/b/c/94bd56ed68f00427/IQCZ1bQIrDT2SKtvskPCz8LtAQCxLKkS99rcE0C_AuxU1NE?e=7KNn89" TargetMode="External"/><Relationship Id="rId449" Type="http://schemas.openxmlformats.org/officeDocument/2006/relationships/hyperlink" Target="https://1drv.ms/b/c/94bd56ed68f00427/IQCxkRYEvJ7GS4quM8tuYl6wATl2Nueh8jxsG9gRzovKKpI?e=Qw5oIJ" TargetMode="External"/><Relationship Id="rId656" Type="http://schemas.openxmlformats.org/officeDocument/2006/relationships/hyperlink" Target="mailto:Rosanna.Iwuala@sunpharma.com" TargetMode="External"/><Relationship Id="rId863" Type="http://schemas.openxmlformats.org/officeDocument/2006/relationships/hyperlink" Target="https://1drv.ms/b/c/94bd56ed68f00427/IQCPj7_WaCQhSbUnasXX5qmaASpFmQyEfxseoNGoHmzr00A?e=ILmB78" TargetMode="External"/><Relationship Id="rId1079" Type="http://schemas.openxmlformats.org/officeDocument/2006/relationships/hyperlink" Target="mailto:swipha@swiphanigeria.com" TargetMode="External"/><Relationship Id="rId1286" Type="http://schemas.openxmlformats.org/officeDocument/2006/relationships/hyperlink" Target="mailto:info@may-baker.com" TargetMode="External"/><Relationship Id="rId1493" Type="http://schemas.openxmlformats.org/officeDocument/2006/relationships/hyperlink" Target="https://1drv.ms/b/c/94bd56ed68f00427/IQCGD2B2BZwES5e3Eby7XOmDAYqtZyicrCr6diGeYxG3eM4?e=7rthih" TargetMode="External"/><Relationship Id="rId211" Type="http://schemas.openxmlformats.org/officeDocument/2006/relationships/hyperlink" Target="https://1drv.ms/b/c/94bd56ed68f00427/IQALky2Cxmr8S6uPM1_iBctIAZDhLLGBA95YatfEZULTs6Q?e=bu5Q2c" TargetMode="External"/><Relationship Id="rId309" Type="http://schemas.openxmlformats.org/officeDocument/2006/relationships/hyperlink" Target="https://1drv.ms/b/c/94bd56ed68f00427/IQADeC1kG83CSo5kHLAP71QkAXDhumO5-rLsaywdlBqbTGY?e=OLz8qG" TargetMode="External"/><Relationship Id="rId516" Type="http://schemas.openxmlformats.org/officeDocument/2006/relationships/hyperlink" Target="https://1drv.ms/b/c/94bd56ed68f00427/IQAxaBv5SV5OTql57vRYY2UmAeSK15biITgIQKDaxClxk6o?e=3hhugM" TargetMode="External"/><Relationship Id="rId1146" Type="http://schemas.openxmlformats.org/officeDocument/2006/relationships/hyperlink" Target="https://1drv.ms/b/c/94bd56ed68f00427/IQDwjDlUdaIRRrXmODTLIqfEAZehxxZ1l0sxkBHB7BuzO9E?e=fWIOGU" TargetMode="External"/><Relationship Id="rId723" Type="http://schemas.openxmlformats.org/officeDocument/2006/relationships/hyperlink" Target="mailto:rosanna.iwuala@sunpharma.com" TargetMode="External"/><Relationship Id="rId930" Type="http://schemas.openxmlformats.org/officeDocument/2006/relationships/hyperlink" Target="mailto:christiana.gbogiaran@worldwidehealthcare.com" TargetMode="External"/><Relationship Id="rId1006" Type="http://schemas.openxmlformats.org/officeDocument/2006/relationships/hyperlink" Target="mailto:customerservice@emzorpharmana.com" TargetMode="External"/><Relationship Id="rId1353" Type="http://schemas.openxmlformats.org/officeDocument/2006/relationships/hyperlink" Target="mailto:info@drugstoc.com;c.unanka@drugstoc.com" TargetMode="External"/><Relationship Id="rId1560" Type="http://schemas.openxmlformats.org/officeDocument/2006/relationships/hyperlink" Target="https://1drv.ms/b/c/94bd56ed68f00427/IQBIZLYZiCu7QLxhikexGJPTAb1uI0GnfktGnPjfGwj0P_E?e=6JevwT" TargetMode="External"/><Relationship Id="rId1213" Type="http://schemas.openxmlformats.org/officeDocument/2006/relationships/hyperlink" Target="mailto:osaretin.jaiyeola@fensyl.com" TargetMode="External"/><Relationship Id="rId1420" Type="http://schemas.openxmlformats.org/officeDocument/2006/relationships/hyperlink" Target="mailto:abisola.ayodele@pfizer.com" TargetMode="External"/><Relationship Id="rId1518" Type="http://schemas.openxmlformats.org/officeDocument/2006/relationships/hyperlink" Target="https://1drv.ms/b/c/94bd56ed68f00427/IQBy5biDRajYRLt4Tc34sULHAQt_tK90BKMtb5GtYlBFLzk?e=Pb6nqG" TargetMode="External"/><Relationship Id="rId17" Type="http://schemas.openxmlformats.org/officeDocument/2006/relationships/hyperlink" Target="https://1drv.ms/b/c/94bd56ed68f00427/IQDq0JWh7kcmQ7REXdjTJ8gLAbERAkv6N28KjLbddeGu3M0?e=dOXyvF" TargetMode="External"/><Relationship Id="rId166" Type="http://schemas.openxmlformats.org/officeDocument/2006/relationships/hyperlink" Target="https://1drv.ms/b/c/94bd56ed68f00427/IQCALp3j2dQtR7GyjaHXfGXTAZn8jNLX473qb7bDs8XVyY0?e=L9Hh9A" TargetMode="External"/><Relationship Id="rId373" Type="http://schemas.openxmlformats.org/officeDocument/2006/relationships/hyperlink" Target="https://1drv.ms/b/c/94bd56ed68f00427/IQCwBBDJdzwRSZ_tIXkBNRzjATZTFkkmndXeIz5PNmw5ZnE?e=HTegT7" TargetMode="External"/><Relationship Id="rId580" Type="http://schemas.openxmlformats.org/officeDocument/2006/relationships/hyperlink" Target="mailto:tonadegrande@gmail.com" TargetMode="External"/><Relationship Id="rId1" Type="http://schemas.openxmlformats.org/officeDocument/2006/relationships/hyperlink" Target="https://1drv.ms/b/c/94bd56ed68f00427/IQBrW6tMG6jgQLqhOi7jN1ToAVT7clNFw0bUKfu39My18jk?e=RwbWV8" TargetMode="External"/><Relationship Id="rId233" Type="http://schemas.openxmlformats.org/officeDocument/2006/relationships/hyperlink" Target="https://1drv.ms/b/c/94bd56ed68f00427/IQBLfNK0sliHTIDd-ig-tKv2AV8Fqt-Cu94zoZsgw3a7coo?e=zbeqBy" TargetMode="External"/><Relationship Id="rId440" Type="http://schemas.openxmlformats.org/officeDocument/2006/relationships/hyperlink" Target="mailto:kchconsumer@gmail.com" TargetMode="External"/><Relationship Id="rId678" Type="http://schemas.openxmlformats.org/officeDocument/2006/relationships/hyperlink" Target="mailto:osaretin.jaiyeola@fensyl.com" TargetMode="External"/><Relationship Id="rId885" Type="http://schemas.openxmlformats.org/officeDocument/2006/relationships/hyperlink" Target="mailto:jafarazz@yahoo.com" TargetMode="External"/><Relationship Id="rId1070" Type="http://schemas.openxmlformats.org/officeDocument/2006/relationships/hyperlink" Target="https://1drv.ms/b/c/94bd56ed68f00427/IQBFudoV3nRIRplZ4qx_5KJqAYQoFKcOYxpXKDqAaGUeYcc?e=L0MVRW" TargetMode="External"/><Relationship Id="rId300" Type="http://schemas.openxmlformats.org/officeDocument/2006/relationships/hyperlink" Target="https://1drv.ms/b/c/94bd56ed68f00427/IQDfIbdEFX5zT6SkcarzbhZnAf5aplRtLq0tyvsZ_gbG5SY?e=LD0P5p" TargetMode="External"/><Relationship Id="rId538" Type="http://schemas.openxmlformats.org/officeDocument/2006/relationships/hyperlink" Target="mailto:kchconsumer@gmail.com" TargetMode="External"/><Relationship Id="rId745" Type="http://schemas.openxmlformats.org/officeDocument/2006/relationships/hyperlink" Target="mailto:info@geneithpharm.com" TargetMode="External"/><Relationship Id="rId952" Type="http://schemas.openxmlformats.org/officeDocument/2006/relationships/hyperlink" Target="mailto:osaretin.jaiyeola@fensyl.com" TargetMode="External"/><Relationship Id="rId1168" Type="http://schemas.openxmlformats.org/officeDocument/2006/relationships/hyperlink" Target="mailto:Rosanna.Iwuala@sunpharma.com" TargetMode="External"/><Relationship Id="rId1375" Type="http://schemas.openxmlformats.org/officeDocument/2006/relationships/hyperlink" Target="mailto:aringbangba.mayowa@dabur.com" TargetMode="External"/><Relationship Id="rId1582" Type="http://schemas.openxmlformats.org/officeDocument/2006/relationships/hyperlink" Target="https://1drv.ms/b/c/94bd56ed68f00427/IQDDGli24ugfRJ4aKYYogK1cAdw3ybbgM4Td329bsl5xVH0?e=avk5AD" TargetMode="External"/><Relationship Id="rId81" Type="http://schemas.openxmlformats.org/officeDocument/2006/relationships/hyperlink" Target="https://1drv.ms/b/c/94bd56ed68f00427/IQD-usZQmr3CQJ-aYTbXCyVIAdwg3ObLl4-Cn5U0w_77rT0?e=PeryPH" TargetMode="External"/><Relationship Id="rId605" Type="http://schemas.openxmlformats.org/officeDocument/2006/relationships/hyperlink" Target="mailto:info@afrabchem.com" TargetMode="External"/><Relationship Id="rId812" Type="http://schemas.openxmlformats.org/officeDocument/2006/relationships/hyperlink" Target="https://1drv.ms/b/c/94bd56ed68f00427/IQA_gZa3F_wWRIW76LiK_fRPAQ64r7EgC45WsFcTH7od5WQ?e=PpekoV" TargetMode="External"/><Relationship Id="rId1028" Type="http://schemas.openxmlformats.org/officeDocument/2006/relationships/hyperlink" Target="https://1drv.ms/b/c/94bd56ed68f00427/IQBFudoV3nRIRplZ4qx_5KJqAYQoFKcOYxpXKDqAaGUeYcc?e=L0MVRW" TargetMode="External"/><Relationship Id="rId1235" Type="http://schemas.openxmlformats.org/officeDocument/2006/relationships/hyperlink" Target="https://1drv.ms/b/c/94bd56ed68f00427/IQDOxianeYjNR6ZWqBERQDQEASW3nJ-JPMQwdxUIT-8vEjk?e=u5UWPa" TargetMode="External"/><Relationship Id="rId1442" Type="http://schemas.openxmlformats.org/officeDocument/2006/relationships/hyperlink" Target="mailto:oladimeji.agbolade@reckittbenckiser.com" TargetMode="External"/><Relationship Id="rId1302" Type="http://schemas.openxmlformats.org/officeDocument/2006/relationships/hyperlink" Target="mailto:info@shalina.com" TargetMode="External"/><Relationship Id="rId39" Type="http://schemas.openxmlformats.org/officeDocument/2006/relationships/hyperlink" Target="https://1drv.ms/b/c/94bd56ed68f00427/IQDJ_6jzu-MMT5dlbnRgw7btAQBpWNcCnQ_V3QGGpUmX2cc?e=lVEmFh" TargetMode="External"/><Relationship Id="rId1607" Type="http://schemas.openxmlformats.org/officeDocument/2006/relationships/hyperlink" Target="https://1drv.ms/i/c/94bd56ed68f00427/IQAhPOpZ3xJpT5aZfdg9iNV2AfHzJsLWl74svX_HIXZl9wk?e=CHeQ2O" TargetMode="External"/><Relationship Id="rId188" Type="http://schemas.openxmlformats.org/officeDocument/2006/relationships/hyperlink" Target="https://1drv.ms/b/c/94bd56ed68f00427/IQALky2Cxmr8S6uPM1_iBctIAZDhLLGBA95YatfEZULTs6Q?e=eVo7CT" TargetMode="External"/><Relationship Id="rId395" Type="http://schemas.openxmlformats.org/officeDocument/2006/relationships/hyperlink" Target="mailto:info@drugfieldpharma.com;olakunleekundayo@msn.com" TargetMode="External"/><Relationship Id="rId255" Type="http://schemas.openxmlformats.org/officeDocument/2006/relationships/hyperlink" Target="https://1drv.ms/b/c/94bd56ed68f00427/IQAQN9sYa1iLSa8_TpEnL9HnAa_enPOek6N7P6wd0fUuJ0M?e=vVffLa" TargetMode="External"/><Relationship Id="rId462" Type="http://schemas.openxmlformats.org/officeDocument/2006/relationships/hyperlink" Target="mailto:biofem@biofemgroup.com" TargetMode="External"/><Relationship Id="rId1092" Type="http://schemas.openxmlformats.org/officeDocument/2006/relationships/hyperlink" Target="mailto:janisnutrition@gmail.com" TargetMode="External"/><Relationship Id="rId1397" Type="http://schemas.openxmlformats.org/officeDocument/2006/relationships/hyperlink" Target="https://1drv.ms/b/c/94bd56ed68f00427/IQCcI78pTTpdTbwFnZVcyaKkAf0nZ_GAiXvvOPz3ZViBmWc?e=Agxgir" TargetMode="External"/><Relationship Id="rId115" Type="http://schemas.openxmlformats.org/officeDocument/2006/relationships/hyperlink" Target="https://1drv.ms/b/c/94bd56ed68f00427/IQDNosaaLQokT5b-UzJp8qiEAZd7Ro7CIu2mDcSc7HufZUI?e=mWgCBY" TargetMode="External"/><Relationship Id="rId322" Type="http://schemas.openxmlformats.org/officeDocument/2006/relationships/hyperlink" Target="https://1drv.ms/b/c/94bd56ed68f00427/IQADs1yJwb1bSpWASaXtYzflAavJmhcCLD0JSly3TtvZBOE?e=i7mCuE" TargetMode="External"/><Relationship Id="rId767" Type="http://schemas.openxmlformats.org/officeDocument/2006/relationships/hyperlink" Target="https://1drv.ms/b/c/94bd56ed68f00427/IQAN1OrLIsz0S5g27aWK3RxjAevQMnkiAlh27kLWwN0yalw?e=FaPVxX" TargetMode="External"/><Relationship Id="rId974" Type="http://schemas.openxmlformats.org/officeDocument/2006/relationships/hyperlink" Target="https://1drv.ms/b/c/94bd56ed68f00427/IQD_2XAIyngJS5p8gdR7PJDfAcgPRfYezxXl9YN2DHpitkg?e=7OAIoJ" TargetMode="External"/><Relationship Id="rId627" Type="http://schemas.openxmlformats.org/officeDocument/2006/relationships/hyperlink" Target="mailto:info@drugfieldpharma.com" TargetMode="External"/><Relationship Id="rId834" Type="http://schemas.openxmlformats.org/officeDocument/2006/relationships/hyperlink" Target="https://1drv.ms/b/c/94bd56ed68f00427/IQCVpF6p6yYcQptp2thQfZKsAe5RWh9CUUIwsvWcJrHMYLM?e=MgL9m8" TargetMode="External"/><Relationship Id="rId1257" Type="http://schemas.openxmlformats.org/officeDocument/2006/relationships/hyperlink" Target="https://1drv.ms/b/c/94bd56ed68f00427/IQD0-0lHmih7SJLwT5PwlJ9PAcRkzRluEjYXkUDt04mTrWg?e=lBlsxw" TargetMode="External"/><Relationship Id="rId1464" Type="http://schemas.openxmlformats.org/officeDocument/2006/relationships/hyperlink" Target="mailto:oscarmacaulay@yahoo.com" TargetMode="External"/><Relationship Id="rId901" Type="http://schemas.openxmlformats.org/officeDocument/2006/relationships/hyperlink" Target="mailto:0fficialsoklinnigeria@gmail.com" TargetMode="External"/><Relationship Id="rId1117" Type="http://schemas.openxmlformats.org/officeDocument/2006/relationships/hyperlink" Target="https://1drv.ms/b/c/94bd56ed68f00427/IQAanOB60IEzR5PeA7knfEq8AfPn-nQcWBAU4ddOYvFOIbM?e=VVGr0w" TargetMode="External"/><Relationship Id="rId1324" Type="http://schemas.openxmlformats.org/officeDocument/2006/relationships/hyperlink" Target="mailto:theophilus.adimoha@shalina.com" TargetMode="External"/><Relationship Id="rId1531" Type="http://schemas.openxmlformats.org/officeDocument/2006/relationships/hyperlink" Target="https://1drv.ms/b/c/94bd56ed68f00427/IQCNoKlm1QDOQbTeTgdrnReIAVPjQaHBHzpdWZd_eWjkTY0?e=B4VB70" TargetMode="External"/><Relationship Id="rId30" Type="http://schemas.openxmlformats.org/officeDocument/2006/relationships/hyperlink" Target="https://1drv.ms/b/c/94bd56ed68f00427/IQAqZAvs9eHxSoSbhThHKNQTARA5FYlqqBxCCg4TEM1M_6s?e=g2w4nZ" TargetMode="External"/><Relationship Id="rId277" Type="http://schemas.openxmlformats.org/officeDocument/2006/relationships/hyperlink" Target="https://1drv.ms/b/c/94bd56ed68f00427/IQDNEkJOiVk9SZcygcZp2zQVAe-u4EfaXHsxQ5omRptS9SQ?e=qedxWv" TargetMode="External"/><Relationship Id="rId484" Type="http://schemas.openxmlformats.org/officeDocument/2006/relationships/hyperlink" Target="https://1drv.ms/b/c/94bd56ed68f00427/IQCwIC43VfeIQ5sRjbdENihSATLGvCp-zl2_0nOaw5l1zQQ?e=fs9PuG" TargetMode="External"/><Relationship Id="rId137" Type="http://schemas.openxmlformats.org/officeDocument/2006/relationships/hyperlink" Target="https://1drv.ms/b/c/94bd56ed68f00427/IQC7MTWzVV9VR5PNimBcY_RHAXaNZ4RW7ZE0HHERSVj14HA?e=xmmOVA" TargetMode="External"/><Relationship Id="rId344" Type="http://schemas.openxmlformats.org/officeDocument/2006/relationships/hyperlink" Target="https://1drv.ms/b/c/94bd56ed68f00427/IQD_C5JoXal9Q7fT-xNKgG6gAdLeo9-tQGoo8V-FGErAbko?e=CHgmvP" TargetMode="External"/><Relationship Id="rId691" Type="http://schemas.openxmlformats.org/officeDocument/2006/relationships/hyperlink" Target="mailto:order@vastovers.com" TargetMode="External"/><Relationship Id="rId789" Type="http://schemas.openxmlformats.org/officeDocument/2006/relationships/hyperlink" Target="https://1drv.ms/b/c/94bd56ed68f00427/IQDNPJQ6S5QwQrMEdVsh4ywvAa3hk2jH66C9nqFmtnNvurQ?e=Atm5f6" TargetMode="External"/><Relationship Id="rId996" Type="http://schemas.openxmlformats.org/officeDocument/2006/relationships/hyperlink" Target="https://1drv.ms/b/c/94bd56ed68f00427/IQC8QrTO2V-1T4Iynud-kRzqAZpUpEAdwnipUbIpTNzWsmg?e=PSDxV1" TargetMode="External"/><Relationship Id="rId551" Type="http://schemas.openxmlformats.org/officeDocument/2006/relationships/hyperlink" Target="mailto:aspira.cosmetics@aspirang.com" TargetMode="External"/><Relationship Id="rId649" Type="http://schemas.openxmlformats.org/officeDocument/2006/relationships/hyperlink" Target="https://1drv.ms/b/c/94bd56ed68f00427/IQAqBnh3u8HTSJ5yrzyaw1L6Af4ZGzR292whPfCuJoKfN0k?e=Jb975f" TargetMode="External"/><Relationship Id="rId856" Type="http://schemas.openxmlformats.org/officeDocument/2006/relationships/hyperlink" Target="https://1drv.ms/b/c/94bd56ed68f00427/IQAvM3Nilo5dTYlJ1VO0CV7bAdeBkYswNKBXKxKTzuqQ8NU?e=a4KLsc" TargetMode="External"/><Relationship Id="rId1181" Type="http://schemas.openxmlformats.org/officeDocument/2006/relationships/hyperlink" Target="mailto:pzindustries@pzcussons.com;udoka.adegor@pzcussons.com" TargetMode="External"/><Relationship Id="rId1279" Type="http://schemas.openxmlformats.org/officeDocument/2006/relationships/hyperlink" Target="mailto:bridget.mayor@unilever.com" TargetMode="External"/><Relationship Id="rId1486" Type="http://schemas.openxmlformats.org/officeDocument/2006/relationships/hyperlink" Target="https://1drv.ms/b/c/94bd56ed68f00427/IQBFudoV3nRIRplZ4qx_5KJqAYQoFKcOYxpXKDqAaGUeYcc?e=L0MVRW" TargetMode="External"/><Relationship Id="rId204" Type="http://schemas.openxmlformats.org/officeDocument/2006/relationships/hyperlink" Target="https://1drv.ms/b/c/94bd56ed68f00427/IQDcs-tOReWsRLohQTc_haOfAVTgDsfrcsjFTkVO_OfTqMI?e=GltGub" TargetMode="External"/><Relationship Id="rId411" Type="http://schemas.openxmlformats.org/officeDocument/2006/relationships/hyperlink" Target="mailto:reals@realsgroup.com" TargetMode="External"/><Relationship Id="rId509" Type="http://schemas.openxmlformats.org/officeDocument/2006/relationships/hyperlink" Target="https://1drv.ms/b/c/94bd56ed68f00427/IQDT-jy3C62jSJufkSCER2uoAWsqpfDIX-2ypClSMd0QNvI?e=m0JjlW" TargetMode="External"/><Relationship Id="rId1041" Type="http://schemas.openxmlformats.org/officeDocument/2006/relationships/hyperlink" Target="https://1drv.ms/b/c/94bd56ed68f00427/IQBFudoV3nRIRplZ4qx_5KJqAYQoFKcOYxpXKDqAaGUeYcc?e=L0MVRW" TargetMode="External"/><Relationship Id="rId1139" Type="http://schemas.openxmlformats.org/officeDocument/2006/relationships/hyperlink" Target="https://1drv.ms/b/c/94bd56ed68f00427/IQAUBfacvmhQT5GcAW2SQXWcAR4GA3bATFk7tWae5vqa0Jg?e=fhCn6C" TargetMode="External"/><Relationship Id="rId1346" Type="http://schemas.openxmlformats.org/officeDocument/2006/relationships/hyperlink" Target="mailto:info@ng.pvmgrp.com" TargetMode="External"/><Relationship Id="rId716" Type="http://schemas.openxmlformats.org/officeDocument/2006/relationships/hyperlink" Target="mailto:sefihait.kone@bayer.com" TargetMode="External"/><Relationship Id="rId923" Type="http://schemas.openxmlformats.org/officeDocument/2006/relationships/hyperlink" Target="mailto:abpharma.parenterals@gmail.com" TargetMode="External"/><Relationship Id="rId1553" Type="http://schemas.openxmlformats.org/officeDocument/2006/relationships/hyperlink" Target="https://1drv.ms/b/c/94bd56ed68f00427/IQBSFWqYC5tkT6vXKjfVzfGCARsjWfAM2mFWjXzf2BgtFIY?e=gCt5n9" TargetMode="External"/><Relationship Id="rId52" Type="http://schemas.openxmlformats.org/officeDocument/2006/relationships/hyperlink" Target="https://1drv.ms/b/c/94bd56ed68f00427/IQCjeIarRmEzSJ4wL6l0gvJ6AaS7Q8L5zC3jG_fyBxalijQ?e=dMuJkT" TargetMode="External"/><Relationship Id="rId1206" Type="http://schemas.openxmlformats.org/officeDocument/2006/relationships/hyperlink" Target="https://1drv.ms/b/c/94bd56ed68f00427/IQCEu-lzuIPNQIKhEkZnWq_tAXrcmWZ2FvWuprSgYJvfVo8?e=XK2blk" TargetMode="External"/><Relationship Id="rId1413" Type="http://schemas.openxmlformats.org/officeDocument/2006/relationships/hyperlink" Target="https://1drv.ms/b/c/94bd56ed68f00427/IQCmHThl9WQVQbN5q1PjJVvqAUKtKuiDJlIzTKBg2izCh0U?e=piuMtb" TargetMode="External"/><Relationship Id="rId299" Type="http://schemas.openxmlformats.org/officeDocument/2006/relationships/hyperlink" Target="https://1drv.ms/b/c/94bd56ed68f00427/IQDfIbdEFX5zT6SkcarzbhZnAf5aplRtLq0tyvsZ_gbG5SY?e=LD0P5p" TargetMode="External"/><Relationship Id="rId159" Type="http://schemas.openxmlformats.org/officeDocument/2006/relationships/hyperlink" Target="https://1drv.ms/b/c/94bd56ed68f00427/IQDW33SjvRSyTb6P3qIRlTVlAeM_3PGn7W2vRDB5l7EWb-U?e=LVbfpi" TargetMode="External"/><Relationship Id="rId366" Type="http://schemas.openxmlformats.org/officeDocument/2006/relationships/hyperlink" Target="mailto:pknpharmaceuticalsltd@gmail.com" TargetMode="External"/><Relationship Id="rId573" Type="http://schemas.openxmlformats.org/officeDocument/2006/relationships/hyperlink" Target="mailto:taiwo.oteju@beiersdorf.com" TargetMode="External"/><Relationship Id="rId780" Type="http://schemas.openxmlformats.org/officeDocument/2006/relationships/hyperlink" Target="https://1drv.ms/b/c/94bd56ed68f00427/IQAqCKyDAqmVR5IP6ll2JHXSAeQPctyiYYhjkBpXlITtBco?e=7xlJpj" TargetMode="External"/><Relationship Id="rId226" Type="http://schemas.openxmlformats.org/officeDocument/2006/relationships/hyperlink" Target="https://1drv.ms/b/c/94bd56ed68f00427/IQCD8Y9iacdQS6DNt-wm6axsAYHqvcEvpPXPRx7Vd4rZUPo?e=x91B89" TargetMode="External"/><Relationship Id="rId433" Type="http://schemas.openxmlformats.org/officeDocument/2006/relationships/hyperlink" Target="https://1drv.ms/b/c/94bd56ed68f00427/IQC4GmsORxdiTLW6IDuX9g5yAd1xMtYYeivm16AP0AvMJBU?e=EyJHle" TargetMode="External"/><Relationship Id="rId878" Type="http://schemas.openxmlformats.org/officeDocument/2006/relationships/hyperlink" Target="mailto:Nivea.Nigeria3@Beiersdorf.com" TargetMode="External"/><Relationship Id="rId1063" Type="http://schemas.openxmlformats.org/officeDocument/2006/relationships/hyperlink" Target="mailto:swipha@swiphanigeria.com" TargetMode="External"/><Relationship Id="rId1270" Type="http://schemas.openxmlformats.org/officeDocument/2006/relationships/hyperlink" Target="mailto:phppharma@yahoo.com" TargetMode="External"/><Relationship Id="rId640" Type="http://schemas.openxmlformats.org/officeDocument/2006/relationships/hyperlink" Target="https://1drv.ms/b/c/94bd56ed68f00427/IQA682HahNTcSZVCTx_UIuS0AYOvTdRG8v6jW-nUF3-9YLE?e=l6H9Ab" TargetMode="External"/><Relationship Id="rId738" Type="http://schemas.openxmlformats.org/officeDocument/2006/relationships/hyperlink" Target="mailto:info@fidson.com" TargetMode="External"/><Relationship Id="rId945" Type="http://schemas.openxmlformats.org/officeDocument/2006/relationships/hyperlink" Target="mailto:reals@realsgroup.com%20;%20realsspecialties@yahoo.com" TargetMode="External"/><Relationship Id="rId1368" Type="http://schemas.openxmlformats.org/officeDocument/2006/relationships/hyperlink" Target="mailto:info@nalispharma.com" TargetMode="External"/><Relationship Id="rId1575" Type="http://schemas.openxmlformats.org/officeDocument/2006/relationships/hyperlink" Target="https://1drv.ms/b/c/94bd56ed68f00427/IQDDGli24ugfRJ4aKYYogK1cAdw3ybbgM4Td329bsl5xVH0?e=avk5AD" TargetMode="External"/><Relationship Id="rId74" Type="http://schemas.openxmlformats.org/officeDocument/2006/relationships/hyperlink" Target="https://1drv.ms/b/c/94bd56ed68f00427/IQCefuekj75AQodsvtJ4qzZ3AbJdPugZQ0XKD23yz8Ag138?e=XVy7Je" TargetMode="External"/><Relationship Id="rId500" Type="http://schemas.openxmlformats.org/officeDocument/2006/relationships/hyperlink" Target="mailto:info@drugfieldpharma.com;olakunleekundayo@msn.com" TargetMode="External"/><Relationship Id="rId805" Type="http://schemas.openxmlformats.org/officeDocument/2006/relationships/hyperlink" Target="https://1drv.ms/b/c/94bd56ed68f00427/IQAVh4u0ZBdyR6y3EDn4k3r-ATxj0YT5k3UHyWlnln1_qIc?e=UPW3rF" TargetMode="External"/><Relationship Id="rId1130" Type="http://schemas.openxmlformats.org/officeDocument/2006/relationships/hyperlink" Target="https://1drv.ms/b/c/94bd56ed68f00427/IQA5-WSheGqITbodSnOUSGO1AUdfD0WRGzaFLJ8BRoRjmkA?e=UikM0I" TargetMode="External"/><Relationship Id="rId1228" Type="http://schemas.openxmlformats.org/officeDocument/2006/relationships/hyperlink" Target="mailto:info@drugfieldpharma.com" TargetMode="External"/><Relationship Id="rId1435" Type="http://schemas.openxmlformats.org/officeDocument/2006/relationships/hyperlink" Target="mailto:hello@franemmindustriesltd.com" TargetMode="External"/><Relationship Id="rId1502" Type="http://schemas.openxmlformats.org/officeDocument/2006/relationships/hyperlink" Target="https://1drv.ms/b/c/94bd56ed68f00427/IQCbkXd4E6k3RKiR3fxDCo4UAUqPpwEfbbdHGyHSQ4tR7hY?e=sngw5q" TargetMode="External"/><Relationship Id="rId290" Type="http://schemas.openxmlformats.org/officeDocument/2006/relationships/hyperlink" Target="https://1drv.ms/b/c/94bd56ed68f00427/IQCiCt0fv_9ATpJUURnrrNgCAbvXgxpySN2EwtTaGyHz088?e=OHlVX6" TargetMode="External"/><Relationship Id="rId388" Type="http://schemas.openxmlformats.org/officeDocument/2006/relationships/hyperlink" Target="mailto:info@drugfieldpharma.com;olakunleekundayo@msn.com" TargetMode="External"/><Relationship Id="rId150" Type="http://schemas.openxmlformats.org/officeDocument/2006/relationships/hyperlink" Target="https://1drv.ms/b/c/94bd56ed68f00427/IQBr-xj8PGa3SJ4Z3qgxfrSbAZ0mQUH3bSu9adrjTrpV0rQ?e=BlaRrM" TargetMode="External"/><Relationship Id="rId595" Type="http://schemas.openxmlformats.org/officeDocument/2006/relationships/hyperlink" Target="https://1drv.ms/b/c/94bd56ed68f00427/IQDxdlkGuQ34RYxsBsVxbhcZAUeB0g3j8rh3oRkNDwi9QgU?e=La8nnx" TargetMode="External"/><Relationship Id="rId248" Type="http://schemas.openxmlformats.org/officeDocument/2006/relationships/hyperlink" Target="https://1drv.ms/b/c/94bd56ed68f00427/IQDxOGWljRh4Sq2W-6OXZFHDAYZQCy6kUwm62LgFLAO1bGc?e=i0XLi0" TargetMode="External"/><Relationship Id="rId455" Type="http://schemas.openxmlformats.org/officeDocument/2006/relationships/hyperlink" Target="mailto:grace.iyiola@godrejcp.com" TargetMode="External"/><Relationship Id="rId662" Type="http://schemas.openxmlformats.org/officeDocument/2006/relationships/hyperlink" Target="mailto:Rosanna.Iwuala@sunpharma.com" TargetMode="External"/><Relationship Id="rId1085" Type="http://schemas.openxmlformats.org/officeDocument/2006/relationships/hyperlink" Target="https://1drv.ms/b/c/94bd56ed68f00427/IQD9HVEdKUf3RYmitnt1BZuUAdNRwPkNJmhYc_iQGtTM9WE?e=rKl6Ea" TargetMode="External"/><Relationship Id="rId1292" Type="http://schemas.openxmlformats.org/officeDocument/2006/relationships/hyperlink" Target="mailto:info@elbepharma.com" TargetMode="External"/><Relationship Id="rId108" Type="http://schemas.openxmlformats.org/officeDocument/2006/relationships/hyperlink" Target="https://1drv.ms/b/c/94bd56ed68f00427/IQAywq1JFTApQbue2h4j5ZdnATZI2vOntXQpi1Eia9e6MGk?e=15QGCj" TargetMode="External"/><Relationship Id="rId315" Type="http://schemas.openxmlformats.org/officeDocument/2006/relationships/hyperlink" Target="https://1drv.ms/b/c/94bd56ed68f00427/IQBgRkwALB7cSaneu5xaf2HNAXcZVv6iU6SbZUoUTQOBdN4?e=ewppYe" TargetMode="External"/><Relationship Id="rId522" Type="http://schemas.openxmlformats.org/officeDocument/2006/relationships/hyperlink" Target="https://1drv.ms/b/c/94bd56ed68f00427/IQBzAJ1yd6o8QaVqQbPY7J-xASIMm2hN6wssmIi9pQzZNq0?e=EkAsc6" TargetMode="External"/><Relationship Id="rId967" Type="http://schemas.openxmlformats.org/officeDocument/2006/relationships/hyperlink" Target="https://1drv.ms/b/c/94bd56ed68f00427/IQCBal-DFFEzTpasGFZNYJvyAd2J-SL8Op38KRntCeaypkI?e=fo9omi" TargetMode="External"/><Relationship Id="rId1152" Type="http://schemas.openxmlformats.org/officeDocument/2006/relationships/hyperlink" Target="https://1drv.ms/b/c/94bd56ed68f00427/IQBE9absas0pSayw-LMVX2bHAQ6EmVks_cdzfh75BK_b4c8?e=nNOXAh" TargetMode="External"/><Relationship Id="rId1597" Type="http://schemas.openxmlformats.org/officeDocument/2006/relationships/hyperlink" Target="https://1drv.ms/b/c/94bd56ed68f00427/IQDj4UgxOzLZTboH03sB9DfYARIrXIKV38ld1ENpMz_Jjvk?e=sWyvIr" TargetMode="External"/><Relationship Id="rId96" Type="http://schemas.openxmlformats.org/officeDocument/2006/relationships/hyperlink" Target="https://1drv.ms/b/c/94bd56ed68f00427/IQBQoaQ240UiT4uODHPCcc2JAXCzstb9WWJF2V9XvLMXIok?e=bYf7sv" TargetMode="External"/><Relationship Id="rId827" Type="http://schemas.openxmlformats.org/officeDocument/2006/relationships/hyperlink" Target="mailto:stephenez@yahoo.com" TargetMode="External"/><Relationship Id="rId1012" Type="http://schemas.openxmlformats.org/officeDocument/2006/relationships/hyperlink" Target="https://1drv.ms/b/c/94bd56ed68f00427/IQCnnEtfyXA-TYe8pfSAUGesASdE1-DVf9ssOlgbS7rhE5E?e=ogLD00" TargetMode="External"/><Relationship Id="rId1457" Type="http://schemas.openxmlformats.org/officeDocument/2006/relationships/hyperlink" Target="https://1drv.ms/b/c/94bd56ed68f00427/IQC21ZlZpjBfT6b7l5yhD_qIAb11Tfp8N3Nw1vR5YWTbYrs?e=qPbG1D" TargetMode="External"/><Relationship Id="rId1317" Type="http://schemas.openxmlformats.org/officeDocument/2006/relationships/hyperlink" Target="https://1drv.ms/b/c/94bd56ed68f00427/IQADyrS-6znrS4nJv5F2-Pn5AThy2Jxq3QuvVXyytFhC5tI?e=VJAQ5M" TargetMode="External"/><Relationship Id="rId1524" Type="http://schemas.openxmlformats.org/officeDocument/2006/relationships/hyperlink" Target="https://1drv.ms/b/c/94bd56ed68f00427/IQAb5H-uxVWRSpGDe0sVUMLnAbzx7aqw0Gv9DhKb-5ewImQ?e=wOHAhz" TargetMode="External"/><Relationship Id="rId23" Type="http://schemas.openxmlformats.org/officeDocument/2006/relationships/hyperlink" Target="https://nafdacng-my.sharepoint.com/:b:/g/personal/adekunle_adeniran_nafdac_gov_ng/IQBx7UGp5pQXQqyB06WqoZgkAeIcfryl-Zz6bwejaLuUCuk?e=QueWfs" TargetMode="External"/><Relationship Id="rId172" Type="http://schemas.openxmlformats.org/officeDocument/2006/relationships/hyperlink" Target="https://1drv.ms/b/c/94bd56ed68f00427/IQAsptpUL_B2T5e2x95amf8iAYaFiFfDhrHYw2sxisyhIGA?e=vWULM0" TargetMode="External"/><Relationship Id="rId477" Type="http://schemas.openxmlformats.org/officeDocument/2006/relationships/hyperlink" Target="https://1drv.ms/b/c/94bd56ed68f00427/IQBD29FexwXlT7ZZJsGblWxuAYSRm5DtqqGy_Qul6jASbBE?e=Hxdh6n" TargetMode="External"/><Relationship Id="rId684" Type="http://schemas.openxmlformats.org/officeDocument/2006/relationships/hyperlink" Target="mailto:order@vastovers.com" TargetMode="External"/><Relationship Id="rId337" Type="http://schemas.openxmlformats.org/officeDocument/2006/relationships/hyperlink" Target="https://1drv.ms/b/c/94bd56ed68f00427/IQCDDW3mjYXkRqx660z8VLT8AR_88Eq4s78wB1XS7s_mUSM?e=q9Isi2" TargetMode="External"/><Relationship Id="rId891" Type="http://schemas.openxmlformats.org/officeDocument/2006/relationships/hyperlink" Target="mailto:mamaudacare@mamudagroup.it" TargetMode="External"/><Relationship Id="rId989" Type="http://schemas.openxmlformats.org/officeDocument/2006/relationships/hyperlink" Target="https://1drv.ms/b/c/94bd56ed68f00427/IQDdENj91lueQYkqzE0OMr0nAaXl3ny9pJIW6UQe9PYC9Do?e=jHMMGm" TargetMode="External"/><Relationship Id="rId544" Type="http://schemas.openxmlformats.org/officeDocument/2006/relationships/hyperlink" Target="mailto:kesster.chimyenum@unilever.com" TargetMode="External"/><Relationship Id="rId751" Type="http://schemas.openxmlformats.org/officeDocument/2006/relationships/hyperlink" Target="mailto:uzo.amatokwu@reckitt.com" TargetMode="External"/><Relationship Id="rId849" Type="http://schemas.openxmlformats.org/officeDocument/2006/relationships/hyperlink" Target="https://1drv.ms/b/c/94bd56ed68f00427/IQAmIkx1p1HISoCjl4gsmr9KAX2pt09RKWXnNXXZURF_CL0?e=ewRh4B" TargetMode="External"/><Relationship Id="rId1174" Type="http://schemas.openxmlformats.org/officeDocument/2006/relationships/hyperlink" Target="mailto:Rosanna.Iwuala@sunpharma.com" TargetMode="External"/><Relationship Id="rId1381" Type="http://schemas.openxmlformats.org/officeDocument/2006/relationships/hyperlink" Target="mailto:shalina.regulatory@yahoo.com" TargetMode="External"/><Relationship Id="rId1479" Type="http://schemas.openxmlformats.org/officeDocument/2006/relationships/hyperlink" Target="mailto:swipha@swiphanigeria.com" TargetMode="External"/><Relationship Id="rId404" Type="http://schemas.openxmlformats.org/officeDocument/2006/relationships/hyperlink" Target="mailto:toluwasanmi@may-bakerng.com;info@may-bakerng.com" TargetMode="External"/><Relationship Id="rId611" Type="http://schemas.openxmlformats.org/officeDocument/2006/relationships/hyperlink" Target="https://1drv.ms/b/c/94bd56ed68f00427/IQDAkl8zCjbsQ4vwVdgq01S5AQmpbiF1rJgBgtTw9Wog-lA?e=werIGb" TargetMode="External"/><Relationship Id="rId1034" Type="http://schemas.openxmlformats.org/officeDocument/2006/relationships/hyperlink" Target="mailto:swipha@swiphanigeria.com" TargetMode="External"/><Relationship Id="rId1241" Type="http://schemas.openxmlformats.org/officeDocument/2006/relationships/hyperlink" Target="mailto:kchconsumer@gmail.com" TargetMode="External"/><Relationship Id="rId1339" Type="http://schemas.openxmlformats.org/officeDocument/2006/relationships/hyperlink" Target="https://1drv.ms/b/c/94bd56ed68f00427/IQB1e0bU-jFpRaCQHNmzJXF9AbUhqnSNKxF3O34IETtidEc?e=o58l0L"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info@phiillipsnigeria.com" TargetMode="External"/><Relationship Id="rId18" Type="http://schemas.openxmlformats.org/officeDocument/2006/relationships/hyperlink" Target="https://1drv.ms/i/c/94bd56ed68f00427/IQChITUZePagR6GpnX9mIwIaATodZjCe1LncNbNv6nbSnZc?e=bq6Bmy" TargetMode="External"/><Relationship Id="rId26" Type="http://schemas.openxmlformats.org/officeDocument/2006/relationships/hyperlink" Target="https://1drv.ms/i/c/94bd56ed68f00427/IQAewWAudKzqSr2CUvV3hHCYAeM1yjHrs7wIvlBJOCT_KOs?e=Yk7QY0" TargetMode="External"/><Relationship Id="rId39" Type="http://schemas.openxmlformats.org/officeDocument/2006/relationships/hyperlink" Target="https://1drv.ms/i/c/94bd56ed68f00427/IQB9bnik0AtcQbcPfKc0P30mASGcRiVzgK7HqEU1DXDAj2w?e=4qJKUE" TargetMode="External"/><Relationship Id="rId21" Type="http://schemas.openxmlformats.org/officeDocument/2006/relationships/hyperlink" Target="https://1drv.ms/i/c/94bd56ed68f00427/IQBVgI8BoBnKRbEUL8YBdfqqAX8cFZ_H91ORgg0s0sE7mbs?e=eYfywA" TargetMode="External"/><Relationship Id="rId34" Type="http://schemas.openxmlformats.org/officeDocument/2006/relationships/hyperlink" Target="https://1drv.ms/i/c/94bd56ed68f00427/IQDuc5suATUVRopvnjgJUj9jAYica_uo7hUjXcu-bIPVIb0?e=lystRo" TargetMode="External"/><Relationship Id="rId42" Type="http://schemas.openxmlformats.org/officeDocument/2006/relationships/hyperlink" Target="https://1drv.ms/i/c/94bd56ed68f00427/IQAXdmizYWzzTIFcBycaHky9ASqfFGWEPnogGgHZ57J0prg?e=pwcl6b" TargetMode="External"/><Relationship Id="rId7" Type="http://schemas.openxmlformats.org/officeDocument/2006/relationships/hyperlink" Target="mailto:mexenpharmltd@gmail.com;mexzen123@gmail.com" TargetMode="External"/><Relationship Id="rId2" Type="http://schemas.openxmlformats.org/officeDocument/2006/relationships/hyperlink" Target="mailto:blessingchukwuemeka019@gmail.com" TargetMode="External"/><Relationship Id="rId16" Type="http://schemas.openxmlformats.org/officeDocument/2006/relationships/hyperlink" Target="https://1drv.ms/i/c/94bd56ed68f00427/IQCTtR4n_ZhLR4SxdFoiukf2AdN1z61_cLuXCbUpt4bzqjE?e=Tt2ohl" TargetMode="External"/><Relationship Id="rId29" Type="http://schemas.openxmlformats.org/officeDocument/2006/relationships/hyperlink" Target="https://1drv.ms/i/c/94bd56ed68f00427/IQAHxKKhrJqzTrnf8WEDNRPxAZ_qEV9iOb0BJnhnjstVyO4?e=polVNl" TargetMode="External"/><Relationship Id="rId1" Type="http://schemas.openxmlformats.org/officeDocument/2006/relationships/hyperlink" Target="mailto:sylkenltd@yahoo.com" TargetMode="External"/><Relationship Id="rId6" Type="http://schemas.openxmlformats.org/officeDocument/2006/relationships/hyperlink" Target="mailto:sylkenltd@yahoo.com" TargetMode="External"/><Relationship Id="rId11" Type="http://schemas.openxmlformats.org/officeDocument/2006/relationships/hyperlink" Target="mailto:info@phiillipsnigeria.com" TargetMode="External"/><Relationship Id="rId24" Type="http://schemas.openxmlformats.org/officeDocument/2006/relationships/hyperlink" Target="https://1drv.ms/i/c/94bd56ed68f00427/IQALSazjMcg3RZYbRVf2BbRnAZL8x07W9rImSmRfMKCYYIA?e=L5I8FS" TargetMode="External"/><Relationship Id="rId32" Type="http://schemas.openxmlformats.org/officeDocument/2006/relationships/hyperlink" Target="https://1drv.ms/i/c/94bd56ed68f00427/IQCcS54Zko7SR59Q8qjtldgfAZ4_hbgzthsoXCQKnLYjiz4?e=7wEQ7g" TargetMode="External"/><Relationship Id="rId37" Type="http://schemas.openxmlformats.org/officeDocument/2006/relationships/hyperlink" Target="https://1drv.ms/i/c/94bd56ed68f00427/IQA5JEJyg9lFQo68Vuin8QGFARtaMQHOAyK9gQHo92pNk9I?e=Ujex2b" TargetMode="External"/><Relationship Id="rId40" Type="http://schemas.openxmlformats.org/officeDocument/2006/relationships/hyperlink" Target="https://1drv.ms/i/c/94bd56ed68f00427/IQBBpds-2xhxRIhDe7SCgKqNAfI_o1besRgUvCPrFyS1AUE?e=FmGmkA" TargetMode="External"/><Relationship Id="rId45" Type="http://schemas.openxmlformats.org/officeDocument/2006/relationships/hyperlink" Target="https://1drv.ms/i/c/94bd56ed68f00427/IQCPqctj_LR_Tr0Mt1bA0RDKASP6sIuibeJ1HUAycUQUZCk?e=rSMCZf" TargetMode="External"/><Relationship Id="rId5" Type="http://schemas.openxmlformats.org/officeDocument/2006/relationships/hyperlink" Target="mailto:regulatory@provamati.com;" TargetMode="External"/><Relationship Id="rId15" Type="http://schemas.openxmlformats.org/officeDocument/2006/relationships/hyperlink" Target="https://1drv.ms/i/c/94bd56ed68f00427/IQBM27cBp_oySbsw-u7u0HsMAffuXllPNwiUr6Pkewkgnw4?e=hQX4jg" TargetMode="External"/><Relationship Id="rId23" Type="http://schemas.openxmlformats.org/officeDocument/2006/relationships/hyperlink" Target="https://1drv.ms/i/c/94bd56ed68f00427/IQDo9152c1U2SJ9p98xr1zcBAWAA2w9ObBABTeqWwpt0KI0?e=Y0hDLF" TargetMode="External"/><Relationship Id="rId28" Type="http://schemas.openxmlformats.org/officeDocument/2006/relationships/hyperlink" Target="https://1drv.ms/i/c/94bd56ed68f00427/IQAHxKKhrJqzTrnf8WEDNRPxAZ_qEV9iOb0BJnhnjstVyO4?e=polVNl" TargetMode="External"/><Relationship Id="rId36" Type="http://schemas.openxmlformats.org/officeDocument/2006/relationships/hyperlink" Target="https://1drv.ms/i/c/94bd56ed68f00427/IQA0SbohRkXtTps0piDm8oJGAZBpdyJ5ITju-in9L-GAkUs?e=aFiYdj" TargetMode="External"/><Relationship Id="rId10" Type="http://schemas.openxmlformats.org/officeDocument/2006/relationships/hyperlink" Target="mailto:info@phiillipsnigeria.com" TargetMode="External"/><Relationship Id="rId19" Type="http://schemas.openxmlformats.org/officeDocument/2006/relationships/hyperlink" Target="https://1drv.ms/i/c/94bd56ed68f00427/IQC8nO5nrFwZSJVc2asTEzLcAZsVfKQDJRr_Gnx-yL5e_RI?e=Mf7xE2" TargetMode="External"/><Relationship Id="rId31" Type="http://schemas.openxmlformats.org/officeDocument/2006/relationships/hyperlink" Target="https://1drv.ms/i/c/94bd56ed68f00427/IQDNmAI8VNRQSYRMqZT3GKivAdgI53gXDUiSVOCHthQTzRg?e=2MFVE7" TargetMode="External"/><Relationship Id="rId44" Type="http://schemas.openxmlformats.org/officeDocument/2006/relationships/hyperlink" Target="https://1drv.ms/i/c/94bd56ed68f00427/IQCpojit3Z3iS6Kynl3QbiwKAU4kUbuSIOoxpYERt6alAFE?e=fxQ5Je" TargetMode="External"/><Relationship Id="rId4" Type="http://schemas.openxmlformats.org/officeDocument/2006/relationships/hyperlink" Target="mailto:seagreenregulatory@gmail.com;seagreenltd@yahoo.com" TargetMode="External"/><Relationship Id="rId9" Type="http://schemas.openxmlformats.org/officeDocument/2006/relationships/hyperlink" Target="mailto:info@elbepharma.com" TargetMode="External"/><Relationship Id="rId14" Type="http://schemas.openxmlformats.org/officeDocument/2006/relationships/hyperlink" Target="mailto:mail@solidaccord.com" TargetMode="External"/><Relationship Id="rId22" Type="http://schemas.openxmlformats.org/officeDocument/2006/relationships/hyperlink" Target="https://1drv.ms/i/c/94bd56ed68f00427/IQDFcZp7LqUZRaFHPQyp05Z4AXiXHXqULmL0_jYcC2S2558?e=JVPN2k" TargetMode="External"/><Relationship Id="rId27" Type="http://schemas.openxmlformats.org/officeDocument/2006/relationships/hyperlink" Target="https://1drv.ms/i/c/94bd56ed68f00427/IQAHxKKhrJqzTrnf8WEDNRPxAZ_qEV9iOb0BJnhnjstVyO4?e=polVNl" TargetMode="External"/><Relationship Id="rId30" Type="http://schemas.openxmlformats.org/officeDocument/2006/relationships/hyperlink" Target="https://1drv.ms/i/c/94bd56ed68f00427/IQCJAkfhFNAWT5BQ3I21UjtUAS7f6CRlMY6iHwNhdMGFafQ?e=514iEM" TargetMode="External"/><Relationship Id="rId35" Type="http://schemas.openxmlformats.org/officeDocument/2006/relationships/hyperlink" Target="https://1drv.ms/i/c/94bd56ed68f00427/IQDKB2EvqW0dQ6iXQsXw6uShAXF0ycB_jKTgSokew-QVRPw?e=ZZHeWi" TargetMode="External"/><Relationship Id="rId43" Type="http://schemas.openxmlformats.org/officeDocument/2006/relationships/hyperlink" Target="https://1drv.ms/i/c/94bd56ed68f00427/IQCGu9mzGHs1S5aPCs5iVwlfAR7viFI7_66FQpI3PT2U9Hk?e=99GrZI" TargetMode="External"/><Relationship Id="rId8" Type="http://schemas.openxmlformats.org/officeDocument/2006/relationships/hyperlink" Target="mailto:info@phiillipsnigeria.com" TargetMode="External"/><Relationship Id="rId3" Type="http://schemas.openxmlformats.org/officeDocument/2006/relationships/hyperlink" Target="mailto:diadrugs@yahoo.com" TargetMode="External"/><Relationship Id="rId12" Type="http://schemas.openxmlformats.org/officeDocument/2006/relationships/hyperlink" Target="mailto:info@phiillipsnigeria.com" TargetMode="External"/><Relationship Id="rId17" Type="http://schemas.openxmlformats.org/officeDocument/2006/relationships/hyperlink" Target="https://1drv.ms/i/c/94bd56ed68f00427/IQCfrwyDdOULTbbfFGVqBVI6AZtYKeGjqnaH0GossKbPNSc?e=288hYD" TargetMode="External"/><Relationship Id="rId25" Type="http://schemas.openxmlformats.org/officeDocument/2006/relationships/hyperlink" Target="https://1drv.ms/i/c/94bd56ed68f00427/IQBxFIw04d29R4HHcKqJ_h4dAagQYsJyT5y10PvOmnfBR8A?e=1Bia08" TargetMode="External"/><Relationship Id="rId33" Type="http://schemas.openxmlformats.org/officeDocument/2006/relationships/hyperlink" Target="https://1drv.ms/i/c/94bd56ed68f00427/IQDYtMtgxAAVR4i_zssVR-t-AReFxNutXBW9A5JQsaMbupA?e=GSOJqC" TargetMode="External"/><Relationship Id="rId38" Type="http://schemas.openxmlformats.org/officeDocument/2006/relationships/hyperlink" Target="https://1drv.ms/i/c/94bd56ed68f00427/IQCEeuUAGihUQ4luNlqQKfEmAdWxNndj5cYB_IyzvWviZWY?e=Koba40" TargetMode="External"/><Relationship Id="rId20" Type="http://schemas.openxmlformats.org/officeDocument/2006/relationships/hyperlink" Target="https://1drv.ms/i/c/94bd56ed68f00427/IQA2THB3dXLXQ4CBOzYKXhjWAUt-WDSXxBWbqVA_0y-vnyw?e=auYdAe" TargetMode="External"/><Relationship Id="rId41" Type="http://schemas.openxmlformats.org/officeDocument/2006/relationships/hyperlink" Target="https://1drv.ms/i/c/94bd56ed68f00427/IQDdElR6m-6yQ5rKQt6jwlrlAfm-UocJ1MlHz2YNNr6sVL4?e=ZlOcg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95"/>
  <sheetViews>
    <sheetView tabSelected="1" zoomScaleNormal="100" workbookViewId="0">
      <pane xSplit="1" ySplit="1" topLeftCell="E383" activePane="bottomRight" state="frozen"/>
      <selection pane="topRight" activeCell="B1" sqref="B1"/>
      <selection pane="bottomLeft" activeCell="A2" sqref="A2"/>
      <selection pane="bottomRight" activeCell="F393" sqref="F393"/>
    </sheetView>
  </sheetViews>
  <sheetFormatPr defaultRowHeight="14.4"/>
  <cols>
    <col min="2" max="2" width="65.88671875" customWidth="1"/>
    <col min="3" max="3" width="26" style="22" customWidth="1"/>
    <col min="4" max="4" width="13.6640625" style="52" customWidth="1"/>
    <col min="5" max="5" width="25.33203125" customWidth="1"/>
    <col min="6" max="6" width="27.33203125" style="68" customWidth="1"/>
    <col min="7" max="7" width="24" style="48" customWidth="1"/>
    <col min="8" max="8" width="26.5546875" style="29" customWidth="1"/>
    <col min="9" max="9" width="16.33203125" style="117" customWidth="1"/>
    <col min="10" max="10" width="24.5546875" style="29" customWidth="1"/>
    <col min="11" max="11" width="31.109375" style="29" customWidth="1"/>
    <col min="12" max="12" width="20.44140625" customWidth="1"/>
    <col min="13" max="13" width="20.44140625" style="16" customWidth="1"/>
    <col min="14" max="14" width="14.44140625" customWidth="1"/>
    <col min="15" max="15" width="13.44140625" bestFit="1" customWidth="1"/>
    <col min="18" max="18" width="10.33203125" style="29" customWidth="1"/>
    <col min="19" max="19" width="11.88671875" style="29" customWidth="1"/>
    <col min="20" max="20" width="36.5546875" bestFit="1" customWidth="1"/>
    <col min="21" max="21" width="36.88671875" customWidth="1"/>
    <col min="22" max="22" width="28.6640625" customWidth="1"/>
    <col min="23" max="23" width="25.33203125" customWidth="1"/>
    <col min="24" max="24" width="25.6640625" customWidth="1"/>
    <col min="25" max="25" width="16.44140625" customWidth="1"/>
    <col min="26" max="26" width="23.109375" customWidth="1"/>
    <col min="27" max="27" width="36" customWidth="1"/>
    <col min="28" max="28" width="14.5546875" customWidth="1"/>
    <col min="29" max="29" width="12.88671875" customWidth="1"/>
  </cols>
  <sheetData>
    <row r="1" spans="1:30">
      <c r="A1" s="1" t="s">
        <v>0</v>
      </c>
      <c r="B1" s="1" t="s">
        <v>1</v>
      </c>
      <c r="C1" s="18" t="s">
        <v>2</v>
      </c>
      <c r="D1" s="61" t="s">
        <v>3</v>
      </c>
      <c r="E1" s="1" t="s">
        <v>4</v>
      </c>
      <c r="F1" s="67" t="s">
        <v>5</v>
      </c>
      <c r="G1" s="73" t="s">
        <v>6</v>
      </c>
      <c r="H1" s="40" t="s">
        <v>7</v>
      </c>
      <c r="I1" s="115" t="s">
        <v>8</v>
      </c>
      <c r="J1" s="42" t="s">
        <v>9</v>
      </c>
      <c r="K1" s="42" t="s">
        <v>10</v>
      </c>
      <c r="L1" s="1" t="s">
        <v>11</v>
      </c>
      <c r="M1" s="23" t="s">
        <v>12</v>
      </c>
      <c r="N1" s="1" t="s">
        <v>13</v>
      </c>
      <c r="O1" s="1" t="s">
        <v>14</v>
      </c>
      <c r="P1" s="1" t="s">
        <v>15</v>
      </c>
      <c r="Q1" s="1" t="s">
        <v>16</v>
      </c>
      <c r="R1" s="42" t="s">
        <v>17</v>
      </c>
      <c r="S1" s="42" t="s">
        <v>18</v>
      </c>
      <c r="T1" s="1" t="s">
        <v>19</v>
      </c>
      <c r="U1" s="63" t="s">
        <v>20</v>
      </c>
      <c r="V1" s="63" t="s">
        <v>21</v>
      </c>
      <c r="W1" s="63" t="s">
        <v>22</v>
      </c>
      <c r="X1" s="63" t="s">
        <v>23</v>
      </c>
      <c r="Y1" s="63" t="s">
        <v>24</v>
      </c>
      <c r="Z1" s="63" t="s">
        <v>25</v>
      </c>
      <c r="AA1" s="63" t="s">
        <v>26</v>
      </c>
      <c r="AB1" s="63" t="s">
        <v>27</v>
      </c>
      <c r="AC1" s="63" t="s">
        <v>28</v>
      </c>
      <c r="AD1" s="63" t="s">
        <v>29</v>
      </c>
    </row>
    <row r="2" spans="1:30" ht="31.8">
      <c r="A2">
        <v>1</v>
      </c>
      <c r="B2" s="2" t="s">
        <v>30</v>
      </c>
      <c r="C2" s="19" t="s">
        <v>31</v>
      </c>
      <c r="D2" s="44" t="s">
        <v>32</v>
      </c>
      <c r="E2" s="2" t="s">
        <v>33</v>
      </c>
      <c r="F2" s="68" t="s">
        <v>34</v>
      </c>
      <c r="G2" s="48" t="s">
        <v>35</v>
      </c>
      <c r="H2" s="5" t="s">
        <v>36</v>
      </c>
      <c r="I2" s="116" t="s">
        <v>37</v>
      </c>
      <c r="J2" s="6" t="s">
        <v>38</v>
      </c>
      <c r="K2" s="6" t="s">
        <v>39</v>
      </c>
      <c r="L2" s="3" t="s">
        <v>40</v>
      </c>
      <c r="M2" s="16" t="s">
        <v>41</v>
      </c>
      <c r="N2" s="3" t="str">
        <f>IF(L2="New","1  Year",IF(L2="Promotional","15 Weeks",IF(L2="Revalidation","2 Years","")))</f>
        <v>1  Year</v>
      </c>
      <c r="O2" s="3" t="s">
        <v>42</v>
      </c>
      <c r="P2" s="3" t="s">
        <v>43</v>
      </c>
      <c r="Q2" s="3">
        <v>2025</v>
      </c>
      <c r="R2" s="6" t="s">
        <v>44</v>
      </c>
      <c r="S2" s="6" t="s">
        <v>45</v>
      </c>
      <c r="T2" s="4" t="s">
        <v>46</v>
      </c>
      <c r="Y2" t="s">
        <v>47</v>
      </c>
    </row>
    <row r="3" spans="1:30" ht="31.8">
      <c r="A3">
        <v>1</v>
      </c>
      <c r="B3" s="2" t="s">
        <v>30</v>
      </c>
      <c r="C3" s="19" t="s">
        <v>31</v>
      </c>
      <c r="D3" s="44" t="s">
        <v>32</v>
      </c>
      <c r="E3" s="2" t="s">
        <v>33</v>
      </c>
      <c r="F3" s="68" t="s">
        <v>34</v>
      </c>
      <c r="G3" s="48" t="s">
        <v>35</v>
      </c>
      <c r="H3" s="5" t="s">
        <v>36</v>
      </c>
      <c r="I3" s="116" t="s">
        <v>37</v>
      </c>
      <c r="J3" s="6" t="s">
        <v>48</v>
      </c>
      <c r="K3" s="6" t="s">
        <v>39</v>
      </c>
      <c r="L3" s="3" t="s">
        <v>40</v>
      </c>
      <c r="M3" s="16" t="s">
        <v>41</v>
      </c>
      <c r="N3" s="3" t="str">
        <f t="shared" ref="N3:N66" si="0">IF(L3="New","1  Year",IF(L3="Promotional","15 Weeks",IF(L3="Revalidation","2 Years","")))</f>
        <v>1  Year</v>
      </c>
      <c r="O3" s="3" t="s">
        <v>42</v>
      </c>
      <c r="P3" s="3" t="s">
        <v>43</v>
      </c>
      <c r="Q3" s="3">
        <v>2025</v>
      </c>
      <c r="R3" s="6" t="s">
        <v>44</v>
      </c>
      <c r="S3" s="6" t="s">
        <v>45</v>
      </c>
      <c r="T3" s="5" t="s">
        <v>46</v>
      </c>
      <c r="Y3" t="s">
        <v>47</v>
      </c>
    </row>
    <row r="4" spans="1:30" ht="31.8">
      <c r="A4">
        <v>2</v>
      </c>
      <c r="B4" s="2" t="s">
        <v>49</v>
      </c>
      <c r="C4" s="19" t="s">
        <v>50</v>
      </c>
      <c r="D4" s="44" t="s">
        <v>51</v>
      </c>
      <c r="E4" s="2" t="s">
        <v>52</v>
      </c>
      <c r="F4" s="68" t="s">
        <v>53</v>
      </c>
      <c r="G4" s="48" t="s">
        <v>54</v>
      </c>
      <c r="H4" s="5" t="s">
        <v>55</v>
      </c>
      <c r="I4" s="117" t="s">
        <v>56</v>
      </c>
      <c r="J4" s="6" t="s">
        <v>57</v>
      </c>
      <c r="K4" s="6" t="s">
        <v>58</v>
      </c>
      <c r="L4" s="3" t="s">
        <v>40</v>
      </c>
      <c r="M4" s="16" t="s">
        <v>41</v>
      </c>
      <c r="N4" s="3" t="str">
        <f t="shared" si="0"/>
        <v>1  Year</v>
      </c>
      <c r="O4" s="3" t="s">
        <v>42</v>
      </c>
      <c r="P4" s="3" t="s">
        <v>43</v>
      </c>
      <c r="Q4" s="3">
        <v>2025</v>
      </c>
      <c r="R4" s="6" t="s">
        <v>44</v>
      </c>
      <c r="S4" s="6" t="s">
        <v>45</v>
      </c>
      <c r="T4" s="4" t="s">
        <v>59</v>
      </c>
      <c r="Y4" t="s">
        <v>47</v>
      </c>
    </row>
    <row r="5" spans="1:30" ht="42">
      <c r="A5">
        <v>3</v>
      </c>
      <c r="B5" s="2" t="s">
        <v>60</v>
      </c>
      <c r="C5" s="19" t="s">
        <v>61</v>
      </c>
      <c r="D5" s="44" t="s">
        <v>62</v>
      </c>
      <c r="E5" s="2" t="s">
        <v>52</v>
      </c>
      <c r="F5" s="68" t="s">
        <v>53</v>
      </c>
      <c r="G5" s="48" t="s">
        <v>54</v>
      </c>
      <c r="H5" s="5" t="s">
        <v>55</v>
      </c>
      <c r="I5" s="117" t="s">
        <v>56</v>
      </c>
      <c r="J5" s="6" t="s">
        <v>57</v>
      </c>
      <c r="K5" s="6" t="s">
        <v>63</v>
      </c>
      <c r="L5" s="3" t="s">
        <v>40</v>
      </c>
      <c r="M5" s="16" t="s">
        <v>41</v>
      </c>
      <c r="N5" s="3" t="str">
        <f t="shared" si="0"/>
        <v>1  Year</v>
      </c>
      <c r="O5" s="3" t="s">
        <v>42</v>
      </c>
      <c r="P5" s="3" t="s">
        <v>43</v>
      </c>
      <c r="Q5" s="3">
        <v>2025</v>
      </c>
      <c r="R5" s="6" t="s">
        <v>44</v>
      </c>
      <c r="S5" s="6" t="s">
        <v>45</v>
      </c>
      <c r="T5" s="4" t="s">
        <v>64</v>
      </c>
      <c r="Y5" t="s">
        <v>47</v>
      </c>
    </row>
    <row r="6" spans="1:30" ht="31.8">
      <c r="A6">
        <v>4</v>
      </c>
      <c r="B6" s="2" t="s">
        <v>65</v>
      </c>
      <c r="C6" s="19" t="s">
        <v>66</v>
      </c>
      <c r="D6" s="44" t="s">
        <v>67</v>
      </c>
      <c r="E6" s="2" t="s">
        <v>52</v>
      </c>
      <c r="F6" s="68" t="s">
        <v>53</v>
      </c>
      <c r="G6" s="48" t="s">
        <v>54</v>
      </c>
      <c r="H6" s="5" t="s">
        <v>55</v>
      </c>
      <c r="I6" s="117" t="s">
        <v>56</v>
      </c>
      <c r="J6" s="6" t="s">
        <v>57</v>
      </c>
      <c r="K6" s="6" t="s">
        <v>68</v>
      </c>
      <c r="L6" s="3" t="s">
        <v>40</v>
      </c>
      <c r="M6" s="16" t="s">
        <v>41</v>
      </c>
      <c r="N6" s="3" t="str">
        <f t="shared" si="0"/>
        <v>1  Year</v>
      </c>
      <c r="O6" s="3" t="s">
        <v>42</v>
      </c>
      <c r="P6" s="3" t="s">
        <v>43</v>
      </c>
      <c r="Q6" s="3">
        <v>2025</v>
      </c>
      <c r="R6" s="6" t="s">
        <v>44</v>
      </c>
      <c r="S6" s="6" t="s">
        <v>45</v>
      </c>
      <c r="T6" s="4" t="s">
        <v>69</v>
      </c>
      <c r="Y6" t="s">
        <v>47</v>
      </c>
    </row>
    <row r="7" spans="1:30" ht="31.8">
      <c r="A7">
        <v>5</v>
      </c>
      <c r="B7" s="2" t="s">
        <v>70</v>
      </c>
      <c r="C7" s="19" t="s">
        <v>71</v>
      </c>
      <c r="D7" s="44" t="s">
        <v>72</v>
      </c>
      <c r="E7" s="2" t="s">
        <v>52</v>
      </c>
      <c r="F7" s="68" t="s">
        <v>53</v>
      </c>
      <c r="G7" s="48" t="s">
        <v>54</v>
      </c>
      <c r="H7" s="5" t="s">
        <v>55</v>
      </c>
      <c r="I7" s="117" t="s">
        <v>56</v>
      </c>
      <c r="J7" s="6" t="s">
        <v>57</v>
      </c>
      <c r="K7" s="6" t="s">
        <v>73</v>
      </c>
      <c r="L7" s="3"/>
      <c r="M7" s="16" t="s">
        <v>41</v>
      </c>
      <c r="N7" s="3" t="str">
        <f t="shared" si="0"/>
        <v/>
      </c>
      <c r="O7" s="3" t="s">
        <v>42</v>
      </c>
      <c r="P7" s="3" t="s">
        <v>43</v>
      </c>
      <c r="Q7" s="3">
        <v>2025</v>
      </c>
      <c r="R7" s="6" t="s">
        <v>44</v>
      </c>
      <c r="S7" s="6" t="s">
        <v>45</v>
      </c>
      <c r="Y7" t="s">
        <v>47</v>
      </c>
    </row>
    <row r="8" spans="1:30" ht="21.6">
      <c r="A8">
        <v>6</v>
      </c>
      <c r="B8" s="2" t="s">
        <v>74</v>
      </c>
      <c r="C8" s="19" t="s">
        <v>75</v>
      </c>
      <c r="D8" s="44" t="s">
        <v>76</v>
      </c>
      <c r="E8" s="2" t="s">
        <v>52</v>
      </c>
      <c r="F8" s="68" t="s">
        <v>77</v>
      </c>
      <c r="G8" s="48" t="s">
        <v>78</v>
      </c>
      <c r="J8" s="6" t="s">
        <v>57</v>
      </c>
      <c r="K8" s="6" t="s">
        <v>79</v>
      </c>
      <c r="L8" s="3" t="s">
        <v>40</v>
      </c>
      <c r="M8" s="16" t="s">
        <v>41</v>
      </c>
      <c r="N8" s="3" t="str">
        <f t="shared" si="0"/>
        <v>1  Year</v>
      </c>
      <c r="O8" s="3" t="s">
        <v>42</v>
      </c>
      <c r="P8" s="3" t="s">
        <v>43</v>
      </c>
      <c r="Q8" s="3">
        <v>2025</v>
      </c>
      <c r="R8" s="6" t="s">
        <v>80</v>
      </c>
      <c r="S8" s="6" t="s">
        <v>45</v>
      </c>
      <c r="T8" s="4" t="s">
        <v>81</v>
      </c>
      <c r="Y8" t="s">
        <v>47</v>
      </c>
    </row>
    <row r="9" spans="1:30" ht="43.2">
      <c r="A9">
        <v>7</v>
      </c>
      <c r="B9" s="2" t="s">
        <v>82</v>
      </c>
      <c r="C9" s="19" t="s">
        <v>83</v>
      </c>
      <c r="D9" s="44" t="s">
        <v>32</v>
      </c>
      <c r="E9" s="2" t="s">
        <v>33</v>
      </c>
      <c r="F9" s="68" t="s">
        <v>84</v>
      </c>
      <c r="G9" s="48" t="s">
        <v>85</v>
      </c>
      <c r="H9" s="5" t="s">
        <v>86</v>
      </c>
      <c r="I9" s="117" t="s">
        <v>87</v>
      </c>
      <c r="J9" s="6" t="s">
        <v>88</v>
      </c>
      <c r="K9" s="6" t="s">
        <v>89</v>
      </c>
      <c r="L9" s="3" t="s">
        <v>90</v>
      </c>
      <c r="M9" s="16" t="s">
        <v>41</v>
      </c>
      <c r="N9" s="3" t="str">
        <f t="shared" si="0"/>
        <v>2 Years</v>
      </c>
      <c r="O9" s="3" t="s">
        <v>42</v>
      </c>
      <c r="P9" s="3" t="s">
        <v>43</v>
      </c>
      <c r="Q9" s="3">
        <v>2025</v>
      </c>
      <c r="R9" s="6" t="s">
        <v>44</v>
      </c>
      <c r="S9" s="6" t="s">
        <v>45</v>
      </c>
      <c r="T9" s="4" t="s">
        <v>91</v>
      </c>
      <c r="Y9" t="s">
        <v>47</v>
      </c>
    </row>
    <row r="10" spans="1:30" ht="43.2">
      <c r="A10">
        <v>7</v>
      </c>
      <c r="B10" s="2" t="s">
        <v>82</v>
      </c>
      <c r="C10" s="19" t="s">
        <v>83</v>
      </c>
      <c r="D10" s="44" t="s">
        <v>32</v>
      </c>
      <c r="E10" s="2" t="s">
        <v>33</v>
      </c>
      <c r="F10" s="68" t="s">
        <v>84</v>
      </c>
      <c r="G10" s="48" t="s">
        <v>85</v>
      </c>
      <c r="H10" s="5" t="s">
        <v>86</v>
      </c>
      <c r="I10" s="117" t="s">
        <v>87</v>
      </c>
      <c r="J10" s="6" t="s">
        <v>92</v>
      </c>
      <c r="K10" s="6" t="s">
        <v>89</v>
      </c>
      <c r="L10" s="3" t="s">
        <v>90</v>
      </c>
      <c r="M10" s="16" t="s">
        <v>41</v>
      </c>
      <c r="N10" s="3" t="str">
        <f t="shared" si="0"/>
        <v>2 Years</v>
      </c>
      <c r="O10" s="3" t="s">
        <v>42</v>
      </c>
      <c r="P10" s="3" t="s">
        <v>43</v>
      </c>
      <c r="Q10" s="3">
        <v>2025</v>
      </c>
      <c r="R10" s="6" t="s">
        <v>44</v>
      </c>
      <c r="S10" s="6" t="s">
        <v>45</v>
      </c>
      <c r="T10" s="4" t="s">
        <v>91</v>
      </c>
      <c r="Y10" t="s">
        <v>47</v>
      </c>
    </row>
    <row r="11" spans="1:30" ht="43.2">
      <c r="A11">
        <v>8</v>
      </c>
      <c r="B11" s="2" t="s">
        <v>93</v>
      </c>
      <c r="C11" s="19" t="s">
        <v>94</v>
      </c>
      <c r="D11" s="44" t="s">
        <v>95</v>
      </c>
      <c r="E11" s="2" t="s">
        <v>33</v>
      </c>
      <c r="F11" s="68" t="s">
        <v>84</v>
      </c>
      <c r="G11" s="48" t="s">
        <v>85</v>
      </c>
      <c r="H11" s="5" t="s">
        <v>86</v>
      </c>
      <c r="I11" s="117" t="s">
        <v>87</v>
      </c>
      <c r="J11" s="6" t="s">
        <v>88</v>
      </c>
      <c r="K11" s="6" t="s">
        <v>96</v>
      </c>
      <c r="L11" s="3" t="s">
        <v>90</v>
      </c>
      <c r="M11" s="16" t="s">
        <v>41</v>
      </c>
      <c r="N11" s="3" t="str">
        <f t="shared" si="0"/>
        <v>2 Years</v>
      </c>
      <c r="O11" s="3" t="s">
        <v>42</v>
      </c>
      <c r="P11" s="3" t="s">
        <v>43</v>
      </c>
      <c r="Q11" s="3">
        <v>2025</v>
      </c>
      <c r="R11" s="6" t="s">
        <v>44</v>
      </c>
      <c r="S11" s="6" t="s">
        <v>97</v>
      </c>
      <c r="T11" s="4" t="s">
        <v>98</v>
      </c>
      <c r="Y11" t="s">
        <v>47</v>
      </c>
    </row>
    <row r="12" spans="1:30" ht="43.2">
      <c r="A12">
        <v>8</v>
      </c>
      <c r="B12" s="2" t="s">
        <v>93</v>
      </c>
      <c r="C12" s="19" t="s">
        <v>94</v>
      </c>
      <c r="D12" s="44" t="s">
        <v>95</v>
      </c>
      <c r="E12" s="2" t="s">
        <v>33</v>
      </c>
      <c r="F12" s="68" t="s">
        <v>84</v>
      </c>
      <c r="G12" s="48" t="s">
        <v>85</v>
      </c>
      <c r="H12" s="5" t="s">
        <v>86</v>
      </c>
      <c r="I12" s="117" t="s">
        <v>87</v>
      </c>
      <c r="J12" s="6" t="s">
        <v>92</v>
      </c>
      <c r="K12" s="6" t="s">
        <v>96</v>
      </c>
      <c r="L12" s="3" t="s">
        <v>90</v>
      </c>
      <c r="M12" s="16" t="s">
        <v>41</v>
      </c>
      <c r="N12" s="3" t="s">
        <v>99</v>
      </c>
      <c r="O12" s="3" t="s">
        <v>42</v>
      </c>
      <c r="P12" s="3" t="s">
        <v>43</v>
      </c>
      <c r="Q12" s="3">
        <v>2025</v>
      </c>
      <c r="R12" s="6" t="s">
        <v>44</v>
      </c>
      <c r="S12" s="6" t="s">
        <v>97</v>
      </c>
      <c r="T12" s="5" t="s">
        <v>98</v>
      </c>
      <c r="U12" t="s">
        <v>100</v>
      </c>
      <c r="W12" t="s">
        <v>101</v>
      </c>
      <c r="X12" t="s">
        <v>102</v>
      </c>
      <c r="Y12" t="s">
        <v>103</v>
      </c>
      <c r="Z12" t="s">
        <v>104</v>
      </c>
      <c r="AA12" t="s">
        <v>104</v>
      </c>
      <c r="AB12" t="s">
        <v>105</v>
      </c>
      <c r="AC12" t="s">
        <v>106</v>
      </c>
    </row>
    <row r="13" spans="1:30" ht="31.8">
      <c r="A13">
        <v>9</v>
      </c>
      <c r="B13" s="2" t="s">
        <v>107</v>
      </c>
      <c r="C13" s="19" t="s">
        <v>108</v>
      </c>
      <c r="D13" s="44" t="s">
        <v>109</v>
      </c>
      <c r="E13" s="2" t="s">
        <v>33</v>
      </c>
      <c r="F13" s="68" t="s">
        <v>34</v>
      </c>
      <c r="G13" s="48" t="s">
        <v>35</v>
      </c>
      <c r="H13" s="5" t="s">
        <v>36</v>
      </c>
      <c r="I13" s="116" t="s">
        <v>37</v>
      </c>
      <c r="J13" s="6" t="s">
        <v>38</v>
      </c>
      <c r="K13" s="6" t="s">
        <v>110</v>
      </c>
      <c r="L13" s="3" t="s">
        <v>40</v>
      </c>
      <c r="M13" s="16" t="s">
        <v>41</v>
      </c>
      <c r="N13" s="3" t="str">
        <f t="shared" si="0"/>
        <v>1  Year</v>
      </c>
      <c r="O13" s="3" t="s">
        <v>42</v>
      </c>
      <c r="P13" s="3" t="s">
        <v>43</v>
      </c>
      <c r="Q13" s="3">
        <v>2025</v>
      </c>
      <c r="R13" s="6" t="s">
        <v>44</v>
      </c>
      <c r="S13" s="6" t="s">
        <v>45</v>
      </c>
      <c r="T13" s="4" t="s">
        <v>111</v>
      </c>
      <c r="Y13" t="s">
        <v>47</v>
      </c>
    </row>
    <row r="14" spans="1:30" ht="31.8">
      <c r="A14">
        <v>9</v>
      </c>
      <c r="B14" s="2" t="s">
        <v>107</v>
      </c>
      <c r="C14" s="19" t="s">
        <v>108</v>
      </c>
      <c r="D14" s="44" t="s">
        <v>109</v>
      </c>
      <c r="E14" s="2" t="s">
        <v>33</v>
      </c>
      <c r="F14" s="68" t="s">
        <v>34</v>
      </c>
      <c r="G14" s="48" t="s">
        <v>35</v>
      </c>
      <c r="H14" s="5" t="s">
        <v>36</v>
      </c>
      <c r="I14" s="116" t="s">
        <v>37</v>
      </c>
      <c r="J14" s="6" t="s">
        <v>48</v>
      </c>
      <c r="K14" s="6" t="s">
        <v>110</v>
      </c>
      <c r="L14" s="3" t="s">
        <v>40</v>
      </c>
      <c r="M14" s="16" t="s">
        <v>41</v>
      </c>
      <c r="N14" s="3" t="str">
        <f t="shared" si="0"/>
        <v>1  Year</v>
      </c>
      <c r="O14" s="3" t="s">
        <v>42</v>
      </c>
      <c r="P14" s="3" t="s">
        <v>43</v>
      </c>
      <c r="Q14" s="3">
        <v>2025</v>
      </c>
      <c r="R14" s="6" t="s">
        <v>44</v>
      </c>
      <c r="S14" s="6" t="s">
        <v>45</v>
      </c>
      <c r="T14" s="4" t="s">
        <v>111</v>
      </c>
      <c r="Y14" t="s">
        <v>47</v>
      </c>
    </row>
    <row r="15" spans="1:30" ht="31.8">
      <c r="A15">
        <v>10</v>
      </c>
      <c r="B15" s="2" t="s">
        <v>112</v>
      </c>
      <c r="C15" s="19" t="s">
        <v>113</v>
      </c>
      <c r="D15" s="44" t="s">
        <v>114</v>
      </c>
      <c r="E15" s="2" t="s">
        <v>33</v>
      </c>
      <c r="F15" s="68" t="s">
        <v>34</v>
      </c>
      <c r="G15" s="48" t="s">
        <v>35</v>
      </c>
      <c r="H15" s="5" t="s">
        <v>36</v>
      </c>
      <c r="I15" s="116" t="s">
        <v>37</v>
      </c>
      <c r="J15" s="6" t="s">
        <v>38</v>
      </c>
      <c r="K15" s="6" t="s">
        <v>115</v>
      </c>
      <c r="L15" s="3" t="s">
        <v>40</v>
      </c>
      <c r="M15" s="16" t="s">
        <v>41</v>
      </c>
      <c r="N15" s="3" t="str">
        <f t="shared" si="0"/>
        <v>1  Year</v>
      </c>
      <c r="O15" s="3" t="s">
        <v>42</v>
      </c>
      <c r="P15" s="3" t="s">
        <v>43</v>
      </c>
      <c r="Q15" s="3">
        <v>2025</v>
      </c>
      <c r="R15" s="6" t="s">
        <v>44</v>
      </c>
      <c r="S15" s="6" t="s">
        <v>45</v>
      </c>
      <c r="T15" s="4" t="s">
        <v>116</v>
      </c>
      <c r="Y15" t="s">
        <v>47</v>
      </c>
    </row>
    <row r="16" spans="1:30" ht="31.8">
      <c r="A16">
        <v>10</v>
      </c>
      <c r="B16" s="2" t="s">
        <v>112</v>
      </c>
      <c r="C16" s="19" t="s">
        <v>113</v>
      </c>
      <c r="D16" s="44" t="s">
        <v>114</v>
      </c>
      <c r="E16" s="2" t="s">
        <v>33</v>
      </c>
      <c r="F16" s="68" t="s">
        <v>34</v>
      </c>
      <c r="G16" s="48" t="s">
        <v>35</v>
      </c>
      <c r="H16" s="5" t="s">
        <v>36</v>
      </c>
      <c r="I16" s="116" t="s">
        <v>37</v>
      </c>
      <c r="J16" s="6" t="s">
        <v>48</v>
      </c>
      <c r="K16" s="6" t="s">
        <v>115</v>
      </c>
      <c r="L16" s="3" t="s">
        <v>40</v>
      </c>
      <c r="M16" s="16" t="s">
        <v>41</v>
      </c>
      <c r="N16" s="3" t="str">
        <f t="shared" si="0"/>
        <v>1  Year</v>
      </c>
      <c r="O16" s="3" t="s">
        <v>42</v>
      </c>
      <c r="P16" s="3" t="s">
        <v>43</v>
      </c>
      <c r="Q16" s="3">
        <v>2025</v>
      </c>
      <c r="R16" s="6" t="s">
        <v>44</v>
      </c>
      <c r="S16" s="6" t="s">
        <v>45</v>
      </c>
      <c r="T16" s="4" t="s">
        <v>116</v>
      </c>
      <c r="Y16" t="s">
        <v>47</v>
      </c>
    </row>
    <row r="17" spans="1:29" ht="21.6">
      <c r="A17">
        <v>11</v>
      </c>
      <c r="B17" s="2" t="s">
        <v>117</v>
      </c>
      <c r="C17" s="19" t="s">
        <v>118</v>
      </c>
      <c r="D17" s="44" t="s">
        <v>119</v>
      </c>
      <c r="E17" s="2" t="s">
        <v>52</v>
      </c>
      <c r="F17" s="68" t="s">
        <v>120</v>
      </c>
      <c r="G17" s="48" t="s">
        <v>121</v>
      </c>
      <c r="H17" s="5" t="s">
        <v>122</v>
      </c>
      <c r="I17" s="117" t="s">
        <v>123</v>
      </c>
      <c r="J17" s="6" t="s">
        <v>124</v>
      </c>
      <c r="K17" s="6" t="s">
        <v>125</v>
      </c>
      <c r="L17" s="3" t="s">
        <v>40</v>
      </c>
      <c r="M17" s="16" t="s">
        <v>41</v>
      </c>
      <c r="N17" s="3" t="str">
        <f t="shared" si="0"/>
        <v>1  Year</v>
      </c>
      <c r="O17" s="3" t="s">
        <v>42</v>
      </c>
      <c r="P17" s="3" t="s">
        <v>43</v>
      </c>
      <c r="Q17" s="3">
        <v>2025</v>
      </c>
      <c r="R17" s="6" t="s">
        <v>80</v>
      </c>
      <c r="S17" s="6" t="s">
        <v>45</v>
      </c>
      <c r="T17" s="4" t="s">
        <v>126</v>
      </c>
      <c r="Y17" t="s">
        <v>47</v>
      </c>
    </row>
    <row r="18" spans="1:29" ht="21.6">
      <c r="A18">
        <v>12</v>
      </c>
      <c r="B18" s="2" t="s">
        <v>127</v>
      </c>
      <c r="C18" s="19" t="s">
        <v>118</v>
      </c>
      <c r="D18" s="44" t="s">
        <v>119</v>
      </c>
      <c r="E18" s="2" t="s">
        <v>52</v>
      </c>
      <c r="F18" s="68" t="s">
        <v>120</v>
      </c>
      <c r="G18" s="48" t="s">
        <v>121</v>
      </c>
      <c r="H18" s="5" t="s">
        <v>122</v>
      </c>
      <c r="I18" s="117" t="s">
        <v>123</v>
      </c>
      <c r="J18" s="6" t="s">
        <v>124</v>
      </c>
      <c r="K18" s="6" t="s">
        <v>128</v>
      </c>
      <c r="L18" s="3" t="s">
        <v>40</v>
      </c>
      <c r="M18" s="16" t="s">
        <v>41</v>
      </c>
      <c r="N18" s="3" t="str">
        <f t="shared" si="0"/>
        <v>1  Year</v>
      </c>
      <c r="O18" s="3" t="s">
        <v>42</v>
      </c>
      <c r="P18" s="3" t="s">
        <v>43</v>
      </c>
      <c r="Q18" s="3">
        <v>2025</v>
      </c>
      <c r="R18" s="6" t="s">
        <v>80</v>
      </c>
      <c r="S18" s="6" t="s">
        <v>45</v>
      </c>
      <c r="T18" s="4" t="s">
        <v>129</v>
      </c>
      <c r="Y18" t="s">
        <v>47</v>
      </c>
    </row>
    <row r="19" spans="1:29" ht="52.2">
      <c r="A19">
        <v>13</v>
      </c>
      <c r="B19" s="7" t="s">
        <v>130</v>
      </c>
      <c r="C19" s="19" t="s">
        <v>131</v>
      </c>
      <c r="D19" s="44" t="s">
        <v>132</v>
      </c>
      <c r="E19" s="7" t="s">
        <v>52</v>
      </c>
      <c r="F19" s="68" t="s">
        <v>120</v>
      </c>
      <c r="G19" s="48" t="s">
        <v>121</v>
      </c>
      <c r="H19" s="5" t="s">
        <v>122</v>
      </c>
      <c r="I19" s="117" t="s">
        <v>123</v>
      </c>
      <c r="J19" s="6" t="s">
        <v>124</v>
      </c>
      <c r="K19" s="6" t="s">
        <v>133</v>
      </c>
      <c r="L19" s="3" t="s">
        <v>40</v>
      </c>
      <c r="M19" s="16" t="s">
        <v>41</v>
      </c>
      <c r="N19" s="3" t="str">
        <f t="shared" si="0"/>
        <v>1  Year</v>
      </c>
      <c r="O19" s="3" t="s">
        <v>42</v>
      </c>
      <c r="P19" s="3" t="s">
        <v>43</v>
      </c>
      <c r="Q19" s="3">
        <v>2025</v>
      </c>
      <c r="R19" s="6" t="s">
        <v>80</v>
      </c>
      <c r="S19" s="6" t="s">
        <v>45</v>
      </c>
      <c r="T19" s="4" t="s">
        <v>134</v>
      </c>
      <c r="Y19" t="s">
        <v>47</v>
      </c>
    </row>
    <row r="20" spans="1:29" ht="21.6">
      <c r="A20">
        <v>14</v>
      </c>
      <c r="B20" s="2" t="s">
        <v>135</v>
      </c>
      <c r="C20" s="19" t="s">
        <v>131</v>
      </c>
      <c r="D20" s="44" t="s">
        <v>132</v>
      </c>
      <c r="E20" s="2" t="s">
        <v>52</v>
      </c>
      <c r="F20" s="68" t="s">
        <v>120</v>
      </c>
      <c r="G20" s="48" t="s">
        <v>121</v>
      </c>
      <c r="H20" s="5" t="s">
        <v>122</v>
      </c>
      <c r="I20" s="117" t="s">
        <v>123</v>
      </c>
      <c r="J20" s="6" t="s">
        <v>124</v>
      </c>
      <c r="K20" s="6" t="s">
        <v>136</v>
      </c>
      <c r="L20" s="3" t="s">
        <v>40</v>
      </c>
      <c r="M20" s="16" t="s">
        <v>41</v>
      </c>
      <c r="N20" s="3" t="str">
        <f t="shared" si="0"/>
        <v>1  Year</v>
      </c>
      <c r="O20" s="3" t="s">
        <v>42</v>
      </c>
      <c r="P20" s="3" t="s">
        <v>43</v>
      </c>
      <c r="Q20" s="3">
        <v>2025</v>
      </c>
      <c r="R20" s="6" t="s">
        <v>80</v>
      </c>
      <c r="S20" s="6" t="s">
        <v>45</v>
      </c>
      <c r="T20" s="4" t="s">
        <v>137</v>
      </c>
      <c r="Y20" t="s">
        <v>47</v>
      </c>
    </row>
    <row r="21" spans="1:29">
      <c r="A21">
        <v>15</v>
      </c>
      <c r="B21" s="2" t="s">
        <v>138</v>
      </c>
      <c r="C21" s="19" t="s">
        <v>139</v>
      </c>
      <c r="D21" s="44" t="s">
        <v>140</v>
      </c>
      <c r="E21" s="2" t="s">
        <v>33</v>
      </c>
      <c r="F21" s="68" t="s">
        <v>141</v>
      </c>
      <c r="G21" s="48" t="s">
        <v>142</v>
      </c>
      <c r="H21" s="5" t="s">
        <v>143</v>
      </c>
      <c r="I21" s="117" t="s">
        <v>144</v>
      </c>
      <c r="J21" s="6" t="s">
        <v>145</v>
      </c>
      <c r="K21" s="6" t="s">
        <v>146</v>
      </c>
      <c r="L21" s="3" t="s">
        <v>40</v>
      </c>
      <c r="M21" s="16" t="s">
        <v>41</v>
      </c>
      <c r="N21" s="3" t="str">
        <f t="shared" si="0"/>
        <v>1  Year</v>
      </c>
      <c r="O21" s="3" t="s">
        <v>42</v>
      </c>
      <c r="P21" s="3" t="s">
        <v>43</v>
      </c>
      <c r="Q21" s="3">
        <v>2025</v>
      </c>
      <c r="R21" s="6" t="s">
        <v>44</v>
      </c>
      <c r="S21" s="6" t="s">
        <v>45</v>
      </c>
      <c r="T21" s="4" t="s">
        <v>147</v>
      </c>
      <c r="U21" t="s">
        <v>148</v>
      </c>
      <c r="W21" s="81">
        <v>0.82291666666666663</v>
      </c>
      <c r="Y21" t="s">
        <v>103</v>
      </c>
      <c r="AB21" t="s">
        <v>149</v>
      </c>
      <c r="AC21" s="80">
        <v>46221</v>
      </c>
    </row>
    <row r="22" spans="1:29" ht="31.8">
      <c r="A22">
        <v>16</v>
      </c>
      <c r="B22" s="2" t="s">
        <v>150</v>
      </c>
      <c r="C22" s="19" t="s">
        <v>151</v>
      </c>
      <c r="D22" s="44" t="s">
        <v>152</v>
      </c>
      <c r="E22" s="2" t="s">
        <v>33</v>
      </c>
      <c r="F22" s="68" t="s">
        <v>153</v>
      </c>
      <c r="G22" s="48" t="s">
        <v>154</v>
      </c>
      <c r="H22" s="5" t="s">
        <v>155</v>
      </c>
      <c r="I22" s="117" t="s">
        <v>156</v>
      </c>
      <c r="J22" s="6" t="s">
        <v>88</v>
      </c>
      <c r="K22" s="6" t="s">
        <v>157</v>
      </c>
      <c r="L22" s="3" t="s">
        <v>40</v>
      </c>
      <c r="M22" s="16" t="s">
        <v>41</v>
      </c>
      <c r="N22" s="3" t="str">
        <f t="shared" si="0"/>
        <v>1  Year</v>
      </c>
      <c r="O22" s="3" t="s">
        <v>42</v>
      </c>
      <c r="P22" s="3" t="s">
        <v>43</v>
      </c>
      <c r="Q22" s="3">
        <v>2025</v>
      </c>
      <c r="R22" s="6" t="s">
        <v>44</v>
      </c>
      <c r="S22" s="6" t="s">
        <v>45</v>
      </c>
      <c r="T22" s="4" t="s">
        <v>158</v>
      </c>
      <c r="Y22" t="s">
        <v>47</v>
      </c>
    </row>
    <row r="23" spans="1:29" ht="31.8">
      <c r="A23">
        <v>16</v>
      </c>
      <c r="B23" s="2" t="s">
        <v>150</v>
      </c>
      <c r="C23" s="19" t="s">
        <v>151</v>
      </c>
      <c r="D23" s="44" t="s">
        <v>152</v>
      </c>
      <c r="E23" s="2" t="s">
        <v>33</v>
      </c>
      <c r="F23" s="68" t="s">
        <v>153</v>
      </c>
      <c r="G23" s="48" t="s">
        <v>154</v>
      </c>
      <c r="H23" s="5" t="s">
        <v>155</v>
      </c>
      <c r="I23" s="117" t="s">
        <v>156</v>
      </c>
      <c r="J23" s="6" t="s">
        <v>92</v>
      </c>
      <c r="K23" s="6" t="s">
        <v>157</v>
      </c>
      <c r="L23" s="3" t="s">
        <v>40</v>
      </c>
      <c r="M23" s="16" t="s">
        <v>41</v>
      </c>
      <c r="N23" s="3" t="str">
        <f t="shared" si="0"/>
        <v>1  Year</v>
      </c>
      <c r="O23" s="3" t="s">
        <v>42</v>
      </c>
      <c r="P23" s="3" t="s">
        <v>43</v>
      </c>
      <c r="Q23" s="3">
        <v>2025</v>
      </c>
      <c r="R23" s="6" t="s">
        <v>44</v>
      </c>
      <c r="S23" s="6" t="s">
        <v>45</v>
      </c>
      <c r="T23" s="4" t="s">
        <v>158</v>
      </c>
      <c r="Y23" t="s">
        <v>47</v>
      </c>
    </row>
    <row r="24" spans="1:29" ht="31.8">
      <c r="A24">
        <v>16</v>
      </c>
      <c r="B24" s="2" t="s">
        <v>150</v>
      </c>
      <c r="C24" s="19" t="s">
        <v>151</v>
      </c>
      <c r="D24" s="44" t="s">
        <v>152</v>
      </c>
      <c r="E24" s="2" t="s">
        <v>33</v>
      </c>
      <c r="F24" s="68" t="s">
        <v>153</v>
      </c>
      <c r="G24" s="48" t="s">
        <v>154</v>
      </c>
      <c r="H24" s="5" t="s">
        <v>155</v>
      </c>
      <c r="I24" s="117" t="s">
        <v>156</v>
      </c>
      <c r="J24" s="6" t="s">
        <v>145</v>
      </c>
      <c r="K24" s="6" t="s">
        <v>157</v>
      </c>
      <c r="L24" s="3" t="s">
        <v>40</v>
      </c>
      <c r="M24" s="16" t="s">
        <v>41</v>
      </c>
      <c r="N24" s="3" t="str">
        <f t="shared" si="0"/>
        <v>1  Year</v>
      </c>
      <c r="O24" s="3" t="s">
        <v>42</v>
      </c>
      <c r="P24" s="3" t="s">
        <v>43</v>
      </c>
      <c r="Q24" s="3">
        <v>2025</v>
      </c>
      <c r="R24" s="6" t="s">
        <v>44</v>
      </c>
      <c r="S24" s="6" t="s">
        <v>45</v>
      </c>
      <c r="T24" s="4" t="s">
        <v>158</v>
      </c>
      <c r="Y24" t="s">
        <v>47</v>
      </c>
    </row>
    <row r="25" spans="1:29" ht="31.8">
      <c r="A25">
        <v>16</v>
      </c>
      <c r="B25" s="2" t="s">
        <v>150</v>
      </c>
      <c r="C25" s="19" t="s">
        <v>151</v>
      </c>
      <c r="D25" s="44" t="s">
        <v>152</v>
      </c>
      <c r="E25" s="2" t="s">
        <v>33</v>
      </c>
      <c r="F25" s="68" t="s">
        <v>153</v>
      </c>
      <c r="G25" s="48" t="s">
        <v>154</v>
      </c>
      <c r="H25" s="5" t="s">
        <v>155</v>
      </c>
      <c r="I25" s="117" t="s">
        <v>156</v>
      </c>
      <c r="J25" s="6" t="s">
        <v>48</v>
      </c>
      <c r="K25" s="6" t="s">
        <v>157</v>
      </c>
      <c r="L25" s="3" t="s">
        <v>40</v>
      </c>
      <c r="M25" s="16" t="s">
        <v>41</v>
      </c>
      <c r="N25" s="3" t="str">
        <f t="shared" si="0"/>
        <v>1  Year</v>
      </c>
      <c r="O25" s="3" t="s">
        <v>42</v>
      </c>
      <c r="P25" s="3" t="s">
        <v>43</v>
      </c>
      <c r="Q25" s="3">
        <v>2025</v>
      </c>
      <c r="R25" s="6" t="s">
        <v>44</v>
      </c>
      <c r="S25" s="6" t="s">
        <v>45</v>
      </c>
      <c r="T25" s="4" t="s">
        <v>158</v>
      </c>
      <c r="Y25" t="s">
        <v>47</v>
      </c>
    </row>
    <row r="26" spans="1:29" ht="31.8">
      <c r="A26">
        <v>16</v>
      </c>
      <c r="B26" s="2" t="s">
        <v>150</v>
      </c>
      <c r="C26" s="19" t="s">
        <v>151</v>
      </c>
      <c r="D26" s="44" t="s">
        <v>152</v>
      </c>
      <c r="E26" s="2" t="s">
        <v>33</v>
      </c>
      <c r="F26" s="68" t="s">
        <v>153</v>
      </c>
      <c r="G26" s="48" t="s">
        <v>154</v>
      </c>
      <c r="H26" s="5" t="s">
        <v>155</v>
      </c>
      <c r="I26" s="117" t="s">
        <v>156</v>
      </c>
      <c r="J26" s="6" t="s">
        <v>159</v>
      </c>
      <c r="K26" s="6" t="s">
        <v>157</v>
      </c>
      <c r="L26" s="3" t="s">
        <v>40</v>
      </c>
      <c r="M26" s="16" t="s">
        <v>41</v>
      </c>
      <c r="N26" s="3" t="str">
        <f t="shared" si="0"/>
        <v>1  Year</v>
      </c>
      <c r="O26" s="3" t="s">
        <v>42</v>
      </c>
      <c r="P26" s="3" t="s">
        <v>43</v>
      </c>
      <c r="Q26" s="3">
        <v>2025</v>
      </c>
      <c r="R26" s="6" t="s">
        <v>44</v>
      </c>
      <c r="S26" s="6" t="s">
        <v>45</v>
      </c>
      <c r="T26" s="4" t="s">
        <v>158</v>
      </c>
      <c r="Y26" t="s">
        <v>47</v>
      </c>
    </row>
    <row r="27" spans="1:29" ht="31.8">
      <c r="A27">
        <v>17</v>
      </c>
      <c r="B27" s="2" t="s">
        <v>160</v>
      </c>
      <c r="C27" s="19" t="s">
        <v>161</v>
      </c>
      <c r="D27" s="44" t="s">
        <v>152</v>
      </c>
      <c r="E27" s="2" t="s">
        <v>33</v>
      </c>
      <c r="F27" s="68" t="s">
        <v>153</v>
      </c>
      <c r="G27" s="48" t="s">
        <v>154</v>
      </c>
      <c r="H27" s="5" t="s">
        <v>155</v>
      </c>
      <c r="I27" s="117" t="s">
        <v>156</v>
      </c>
      <c r="J27" s="6" t="s">
        <v>88</v>
      </c>
      <c r="K27" s="6" t="s">
        <v>157</v>
      </c>
      <c r="L27" s="3" t="s">
        <v>40</v>
      </c>
      <c r="M27" s="16" t="s">
        <v>41</v>
      </c>
      <c r="N27" s="3" t="str">
        <f t="shared" si="0"/>
        <v>1  Year</v>
      </c>
      <c r="O27" s="3" t="s">
        <v>42</v>
      </c>
      <c r="P27" s="3" t="s">
        <v>43</v>
      </c>
      <c r="Q27" s="3">
        <v>2025</v>
      </c>
      <c r="R27" s="6" t="s">
        <v>44</v>
      </c>
      <c r="S27" s="6" t="s">
        <v>45</v>
      </c>
      <c r="T27" s="4" t="s">
        <v>158</v>
      </c>
      <c r="Y27" t="s">
        <v>47</v>
      </c>
    </row>
    <row r="28" spans="1:29" ht="31.8">
      <c r="A28">
        <v>17</v>
      </c>
      <c r="B28" s="2" t="s">
        <v>160</v>
      </c>
      <c r="C28" s="19" t="s">
        <v>161</v>
      </c>
      <c r="D28" s="44" t="s">
        <v>152</v>
      </c>
      <c r="E28" s="2" t="s">
        <v>33</v>
      </c>
      <c r="F28" s="68" t="s">
        <v>153</v>
      </c>
      <c r="G28" s="48" t="s">
        <v>154</v>
      </c>
      <c r="H28" s="5" t="s">
        <v>155</v>
      </c>
      <c r="I28" s="117" t="s">
        <v>156</v>
      </c>
      <c r="J28" s="6" t="s">
        <v>92</v>
      </c>
      <c r="K28" s="6" t="s">
        <v>157</v>
      </c>
      <c r="L28" s="3" t="s">
        <v>40</v>
      </c>
      <c r="M28" s="16" t="s">
        <v>41</v>
      </c>
      <c r="N28" s="3" t="str">
        <f t="shared" si="0"/>
        <v>1  Year</v>
      </c>
      <c r="O28" s="3" t="s">
        <v>42</v>
      </c>
      <c r="P28" s="3" t="s">
        <v>43</v>
      </c>
      <c r="Q28" s="3">
        <v>2025</v>
      </c>
      <c r="R28" s="6" t="s">
        <v>44</v>
      </c>
      <c r="S28" s="6" t="s">
        <v>45</v>
      </c>
      <c r="T28" s="4" t="s">
        <v>158</v>
      </c>
      <c r="Y28" t="s">
        <v>47</v>
      </c>
    </row>
    <row r="29" spans="1:29" ht="31.8">
      <c r="A29">
        <v>17</v>
      </c>
      <c r="B29" s="2" t="s">
        <v>160</v>
      </c>
      <c r="C29" s="19" t="s">
        <v>161</v>
      </c>
      <c r="D29" s="44" t="s">
        <v>152</v>
      </c>
      <c r="E29" s="2" t="s">
        <v>33</v>
      </c>
      <c r="F29" s="68" t="s">
        <v>153</v>
      </c>
      <c r="G29" s="48" t="s">
        <v>154</v>
      </c>
      <c r="H29" s="5" t="s">
        <v>155</v>
      </c>
      <c r="I29" s="117" t="s">
        <v>156</v>
      </c>
      <c r="J29" s="6" t="s">
        <v>145</v>
      </c>
      <c r="K29" s="6" t="s">
        <v>157</v>
      </c>
      <c r="L29" s="3" t="s">
        <v>40</v>
      </c>
      <c r="M29" s="16" t="s">
        <v>41</v>
      </c>
      <c r="N29" s="3" t="str">
        <f t="shared" si="0"/>
        <v>1  Year</v>
      </c>
      <c r="O29" s="3" t="s">
        <v>42</v>
      </c>
      <c r="P29" s="3" t="s">
        <v>43</v>
      </c>
      <c r="Q29" s="3">
        <v>2025</v>
      </c>
      <c r="R29" s="6" t="s">
        <v>44</v>
      </c>
      <c r="S29" s="6" t="s">
        <v>45</v>
      </c>
      <c r="T29" s="4" t="s">
        <v>158</v>
      </c>
      <c r="U29" t="s">
        <v>162</v>
      </c>
      <c r="W29" s="81">
        <v>0.45277777777777778</v>
      </c>
      <c r="X29" t="s">
        <v>163</v>
      </c>
      <c r="Y29" s="79" t="s">
        <v>103</v>
      </c>
      <c r="Z29" t="s">
        <v>104</v>
      </c>
      <c r="AA29" s="4" t="s">
        <v>164</v>
      </c>
      <c r="AB29" t="s">
        <v>165</v>
      </c>
      <c r="AC29" t="s">
        <v>166</v>
      </c>
    </row>
    <row r="30" spans="1:29" ht="31.8">
      <c r="A30">
        <v>17</v>
      </c>
      <c r="B30" s="2" t="s">
        <v>160</v>
      </c>
      <c r="C30" s="19" t="s">
        <v>161</v>
      </c>
      <c r="D30" s="44" t="s">
        <v>152</v>
      </c>
      <c r="E30" s="2" t="s">
        <v>33</v>
      </c>
      <c r="F30" s="68" t="s">
        <v>153</v>
      </c>
      <c r="G30" s="48" t="s">
        <v>154</v>
      </c>
      <c r="H30" s="5" t="s">
        <v>155</v>
      </c>
      <c r="I30" s="117" t="s">
        <v>156</v>
      </c>
      <c r="J30" s="6" t="s">
        <v>48</v>
      </c>
      <c r="K30" s="6" t="s">
        <v>157</v>
      </c>
      <c r="L30" s="3" t="s">
        <v>40</v>
      </c>
      <c r="M30" s="16" t="s">
        <v>41</v>
      </c>
      <c r="N30" s="3" t="str">
        <f t="shared" si="0"/>
        <v>1  Year</v>
      </c>
      <c r="O30" s="3" t="s">
        <v>42</v>
      </c>
      <c r="P30" s="3" t="s">
        <v>43</v>
      </c>
      <c r="Q30" s="3">
        <v>2025</v>
      </c>
      <c r="R30" s="6" t="s">
        <v>44</v>
      </c>
      <c r="S30" s="6" t="s">
        <v>45</v>
      </c>
      <c r="T30" s="4" t="s">
        <v>158</v>
      </c>
      <c r="Y30" t="s">
        <v>47</v>
      </c>
    </row>
    <row r="31" spans="1:29" ht="31.8">
      <c r="A31">
        <v>17</v>
      </c>
      <c r="B31" s="2" t="s">
        <v>160</v>
      </c>
      <c r="C31" s="19" t="s">
        <v>161</v>
      </c>
      <c r="D31" s="44" t="s">
        <v>152</v>
      </c>
      <c r="E31" s="2" t="s">
        <v>33</v>
      </c>
      <c r="F31" s="68" t="s">
        <v>153</v>
      </c>
      <c r="G31" s="48" t="s">
        <v>154</v>
      </c>
      <c r="H31" s="5" t="s">
        <v>155</v>
      </c>
      <c r="I31" s="117" t="s">
        <v>156</v>
      </c>
      <c r="J31" s="6" t="s">
        <v>159</v>
      </c>
      <c r="K31" s="6" t="s">
        <v>157</v>
      </c>
      <c r="L31" s="3" t="s">
        <v>40</v>
      </c>
      <c r="M31" s="16" t="s">
        <v>41</v>
      </c>
      <c r="N31" s="3" t="str">
        <f t="shared" si="0"/>
        <v>1  Year</v>
      </c>
      <c r="O31" s="3" t="s">
        <v>42</v>
      </c>
      <c r="P31" s="3" t="s">
        <v>43</v>
      </c>
      <c r="Q31" s="3">
        <v>2025</v>
      </c>
      <c r="R31" s="6" t="s">
        <v>44</v>
      </c>
      <c r="S31" s="6" t="s">
        <v>45</v>
      </c>
      <c r="T31" s="4" t="s">
        <v>158</v>
      </c>
      <c r="Y31" t="s">
        <v>47</v>
      </c>
    </row>
    <row r="32" spans="1:29" ht="28.8">
      <c r="A32">
        <v>18</v>
      </c>
      <c r="B32" s="2" t="s">
        <v>167</v>
      </c>
      <c r="C32" s="19" t="s">
        <v>168</v>
      </c>
      <c r="D32" s="44" t="s">
        <v>169</v>
      </c>
      <c r="E32" s="2" t="s">
        <v>33</v>
      </c>
      <c r="F32" s="68" t="s">
        <v>170</v>
      </c>
      <c r="G32" s="48" t="s">
        <v>171</v>
      </c>
      <c r="H32" s="5" t="s">
        <v>172</v>
      </c>
      <c r="I32" s="117" t="s">
        <v>173</v>
      </c>
      <c r="J32" s="6" t="s">
        <v>48</v>
      </c>
      <c r="K32" s="6" t="s">
        <v>174</v>
      </c>
      <c r="L32" s="3" t="s">
        <v>40</v>
      </c>
      <c r="M32" s="16" t="s">
        <v>41</v>
      </c>
      <c r="N32" s="3" t="str">
        <f t="shared" si="0"/>
        <v>1  Year</v>
      </c>
      <c r="O32" s="3" t="s">
        <v>42</v>
      </c>
      <c r="P32" s="3" t="s">
        <v>43</v>
      </c>
      <c r="Q32" s="3">
        <v>2025</v>
      </c>
      <c r="R32" s="6" t="s">
        <v>44</v>
      </c>
      <c r="S32" s="6" t="s">
        <v>45</v>
      </c>
      <c r="T32" s="4" t="s">
        <v>175</v>
      </c>
      <c r="Y32" t="s">
        <v>47</v>
      </c>
    </row>
    <row r="33" spans="1:29" ht="28.8">
      <c r="A33">
        <v>18</v>
      </c>
      <c r="B33" s="2" t="s">
        <v>167</v>
      </c>
      <c r="C33" s="19" t="s">
        <v>168</v>
      </c>
      <c r="D33" s="44" t="s">
        <v>169</v>
      </c>
      <c r="E33" s="2" t="s">
        <v>33</v>
      </c>
      <c r="F33" s="68" t="s">
        <v>170</v>
      </c>
      <c r="G33" s="48" t="s">
        <v>171</v>
      </c>
      <c r="H33" s="5" t="s">
        <v>172</v>
      </c>
      <c r="I33" s="117" t="s">
        <v>173</v>
      </c>
      <c r="J33" s="6" t="s">
        <v>145</v>
      </c>
      <c r="K33" s="6" t="s">
        <v>174</v>
      </c>
      <c r="L33" s="3" t="s">
        <v>40</v>
      </c>
      <c r="M33" s="16" t="s">
        <v>41</v>
      </c>
      <c r="N33" s="3" t="str">
        <f t="shared" si="0"/>
        <v>1  Year</v>
      </c>
      <c r="O33" s="3" t="s">
        <v>42</v>
      </c>
      <c r="P33" s="3" t="s">
        <v>43</v>
      </c>
      <c r="Q33" s="3">
        <v>2025</v>
      </c>
      <c r="R33" s="6" t="s">
        <v>44</v>
      </c>
      <c r="S33" s="6" t="s">
        <v>45</v>
      </c>
      <c r="T33" s="4" t="s">
        <v>175</v>
      </c>
      <c r="Y33" t="s">
        <v>47</v>
      </c>
    </row>
    <row r="34" spans="1:29" ht="28.8">
      <c r="A34">
        <v>18</v>
      </c>
      <c r="B34" s="2" t="s">
        <v>167</v>
      </c>
      <c r="C34" s="19" t="s">
        <v>168</v>
      </c>
      <c r="D34" s="44" t="s">
        <v>169</v>
      </c>
      <c r="E34" s="2" t="s">
        <v>33</v>
      </c>
      <c r="F34" s="68" t="s">
        <v>170</v>
      </c>
      <c r="G34" s="48" t="s">
        <v>171</v>
      </c>
      <c r="H34" s="5" t="s">
        <v>172</v>
      </c>
      <c r="I34" s="117" t="s">
        <v>173</v>
      </c>
      <c r="J34" s="6" t="s">
        <v>38</v>
      </c>
      <c r="K34" s="6" t="s">
        <v>174</v>
      </c>
      <c r="L34" s="3" t="s">
        <v>40</v>
      </c>
      <c r="M34" s="16" t="s">
        <v>41</v>
      </c>
      <c r="N34" s="3" t="str">
        <f t="shared" si="0"/>
        <v>1  Year</v>
      </c>
      <c r="O34" s="3" t="s">
        <v>42</v>
      </c>
      <c r="P34" s="3" t="s">
        <v>43</v>
      </c>
      <c r="Q34" s="3">
        <v>2025</v>
      </c>
      <c r="R34" s="6" t="s">
        <v>44</v>
      </c>
      <c r="S34" s="6" t="s">
        <v>45</v>
      </c>
      <c r="T34" s="4" t="s">
        <v>175</v>
      </c>
      <c r="Y34" t="s">
        <v>47</v>
      </c>
    </row>
    <row r="35" spans="1:29" ht="28.8">
      <c r="A35">
        <v>18</v>
      </c>
      <c r="B35" s="2" t="s">
        <v>167</v>
      </c>
      <c r="C35" s="19" t="s">
        <v>168</v>
      </c>
      <c r="D35" s="44" t="s">
        <v>169</v>
      </c>
      <c r="E35" s="2" t="s">
        <v>33</v>
      </c>
      <c r="F35" s="68" t="s">
        <v>170</v>
      </c>
      <c r="G35" s="48" t="s">
        <v>171</v>
      </c>
      <c r="H35" s="5" t="s">
        <v>172</v>
      </c>
      <c r="I35" s="117" t="s">
        <v>173</v>
      </c>
      <c r="J35" s="6" t="s">
        <v>57</v>
      </c>
      <c r="K35" s="6" t="s">
        <v>174</v>
      </c>
      <c r="L35" s="3" t="s">
        <v>40</v>
      </c>
      <c r="M35" s="16" t="s">
        <v>41</v>
      </c>
      <c r="N35" s="3" t="str">
        <f t="shared" si="0"/>
        <v>1  Year</v>
      </c>
      <c r="O35" s="3" t="s">
        <v>42</v>
      </c>
      <c r="P35" s="3" t="s">
        <v>43</v>
      </c>
      <c r="Q35" s="3">
        <v>2025</v>
      </c>
      <c r="R35" s="6" t="s">
        <v>44</v>
      </c>
      <c r="S35" s="6" t="s">
        <v>45</v>
      </c>
      <c r="T35" s="4" t="s">
        <v>175</v>
      </c>
      <c r="Y35" t="s">
        <v>47</v>
      </c>
    </row>
    <row r="36" spans="1:29" ht="28.8">
      <c r="A36">
        <v>19</v>
      </c>
      <c r="B36" s="2" t="s">
        <v>176</v>
      </c>
      <c r="C36" s="19" t="s">
        <v>177</v>
      </c>
      <c r="D36" s="44" t="s">
        <v>169</v>
      </c>
      <c r="E36" s="2" t="s">
        <v>33</v>
      </c>
      <c r="F36" s="68" t="s">
        <v>170</v>
      </c>
      <c r="G36" s="48" t="s">
        <v>171</v>
      </c>
      <c r="H36" s="5" t="s">
        <v>172</v>
      </c>
      <c r="I36" s="117" t="s">
        <v>173</v>
      </c>
      <c r="J36" s="6" t="s">
        <v>48</v>
      </c>
      <c r="K36" s="6" t="s">
        <v>178</v>
      </c>
      <c r="L36" s="3" t="s">
        <v>40</v>
      </c>
      <c r="M36" s="16" t="s">
        <v>41</v>
      </c>
      <c r="N36" s="3" t="str">
        <f t="shared" si="0"/>
        <v>1  Year</v>
      </c>
      <c r="O36" s="3" t="s">
        <v>42</v>
      </c>
      <c r="P36" s="3" t="s">
        <v>43</v>
      </c>
      <c r="Q36" s="3">
        <v>2025</v>
      </c>
      <c r="R36" s="6" t="s">
        <v>44</v>
      </c>
      <c r="S36" s="6" t="s">
        <v>45</v>
      </c>
      <c r="T36" s="4" t="s">
        <v>179</v>
      </c>
      <c r="Y36" t="s">
        <v>47</v>
      </c>
    </row>
    <row r="37" spans="1:29" ht="28.8">
      <c r="A37">
        <v>19</v>
      </c>
      <c r="B37" s="2" t="s">
        <v>176</v>
      </c>
      <c r="C37" s="19" t="s">
        <v>177</v>
      </c>
      <c r="D37" s="44" t="s">
        <v>169</v>
      </c>
      <c r="E37" s="2" t="s">
        <v>33</v>
      </c>
      <c r="F37" s="68" t="s">
        <v>170</v>
      </c>
      <c r="G37" s="48" t="s">
        <v>171</v>
      </c>
      <c r="H37" s="5" t="s">
        <v>172</v>
      </c>
      <c r="I37" s="117" t="s">
        <v>173</v>
      </c>
      <c r="J37" s="6" t="s">
        <v>145</v>
      </c>
      <c r="K37" s="6" t="s">
        <v>178</v>
      </c>
      <c r="L37" s="3" t="s">
        <v>40</v>
      </c>
      <c r="M37" s="16" t="s">
        <v>41</v>
      </c>
      <c r="N37" s="3" t="str">
        <f t="shared" si="0"/>
        <v>1  Year</v>
      </c>
      <c r="O37" s="3" t="s">
        <v>42</v>
      </c>
      <c r="P37" s="3" t="s">
        <v>43</v>
      </c>
      <c r="Q37" s="3">
        <v>2025</v>
      </c>
      <c r="R37" s="6" t="s">
        <v>44</v>
      </c>
      <c r="S37" s="6" t="s">
        <v>45</v>
      </c>
      <c r="T37" s="4" t="s">
        <v>179</v>
      </c>
      <c r="Y37" t="s">
        <v>47</v>
      </c>
    </row>
    <row r="38" spans="1:29" ht="28.8">
      <c r="A38">
        <v>19</v>
      </c>
      <c r="B38" s="2" t="s">
        <v>176</v>
      </c>
      <c r="C38" s="19" t="s">
        <v>177</v>
      </c>
      <c r="D38" s="44" t="s">
        <v>169</v>
      </c>
      <c r="E38" s="2" t="s">
        <v>33</v>
      </c>
      <c r="F38" s="68" t="s">
        <v>170</v>
      </c>
      <c r="G38" s="48" t="s">
        <v>171</v>
      </c>
      <c r="H38" s="5" t="s">
        <v>172</v>
      </c>
      <c r="I38" s="117" t="s">
        <v>173</v>
      </c>
      <c r="J38" s="6" t="s">
        <v>38</v>
      </c>
      <c r="K38" s="6" t="s">
        <v>178</v>
      </c>
      <c r="L38" s="3" t="s">
        <v>40</v>
      </c>
      <c r="M38" s="16" t="s">
        <v>41</v>
      </c>
      <c r="N38" s="3" t="str">
        <f t="shared" si="0"/>
        <v>1  Year</v>
      </c>
      <c r="O38" s="3" t="s">
        <v>42</v>
      </c>
      <c r="P38" s="3" t="s">
        <v>43</v>
      </c>
      <c r="Q38" s="3">
        <v>2025</v>
      </c>
      <c r="R38" s="6" t="s">
        <v>44</v>
      </c>
      <c r="S38" s="6" t="s">
        <v>45</v>
      </c>
      <c r="T38" s="4" t="s">
        <v>179</v>
      </c>
      <c r="Y38" t="s">
        <v>47</v>
      </c>
    </row>
    <row r="39" spans="1:29" ht="28.8">
      <c r="A39">
        <v>19</v>
      </c>
      <c r="B39" s="2" t="s">
        <v>176</v>
      </c>
      <c r="C39" s="19" t="s">
        <v>177</v>
      </c>
      <c r="D39" s="44" t="s">
        <v>169</v>
      </c>
      <c r="E39" s="2" t="s">
        <v>33</v>
      </c>
      <c r="F39" s="68" t="s">
        <v>170</v>
      </c>
      <c r="G39" s="48" t="s">
        <v>171</v>
      </c>
      <c r="H39" s="5" t="s">
        <v>172</v>
      </c>
      <c r="I39" s="117" t="s">
        <v>173</v>
      </c>
      <c r="J39" s="6" t="s">
        <v>57</v>
      </c>
      <c r="K39" s="6" t="s">
        <v>178</v>
      </c>
      <c r="L39" s="3" t="s">
        <v>40</v>
      </c>
      <c r="M39" s="16" t="s">
        <v>41</v>
      </c>
      <c r="N39" s="3" t="str">
        <f t="shared" si="0"/>
        <v>1  Year</v>
      </c>
      <c r="O39" s="3" t="s">
        <v>42</v>
      </c>
      <c r="P39" s="3" t="s">
        <v>43</v>
      </c>
      <c r="Q39" s="3">
        <v>2025</v>
      </c>
      <c r="R39" s="6" t="s">
        <v>44</v>
      </c>
      <c r="S39" s="6" t="s">
        <v>45</v>
      </c>
      <c r="T39" s="4" t="s">
        <v>179</v>
      </c>
      <c r="Y39" t="s">
        <v>47</v>
      </c>
    </row>
    <row r="40" spans="1:29" ht="28.8">
      <c r="A40">
        <v>20</v>
      </c>
      <c r="B40" s="7" t="s">
        <v>180</v>
      </c>
      <c r="C40" s="19" t="s">
        <v>181</v>
      </c>
      <c r="D40" s="44" t="s">
        <v>152</v>
      </c>
      <c r="E40" s="7" t="s">
        <v>182</v>
      </c>
      <c r="F40" s="68" t="s">
        <v>183</v>
      </c>
      <c r="G40" s="48" t="s">
        <v>184</v>
      </c>
      <c r="H40" s="5" t="s">
        <v>185</v>
      </c>
      <c r="I40" s="117" t="s">
        <v>186</v>
      </c>
      <c r="J40" s="6" t="s">
        <v>38</v>
      </c>
      <c r="K40" s="6" t="s">
        <v>187</v>
      </c>
      <c r="L40" s="3" t="s">
        <v>40</v>
      </c>
      <c r="M40" s="16" t="s">
        <v>41</v>
      </c>
      <c r="N40" s="3" t="str">
        <f t="shared" si="0"/>
        <v>1  Year</v>
      </c>
      <c r="O40" s="3" t="s">
        <v>42</v>
      </c>
      <c r="P40" s="3" t="s">
        <v>43</v>
      </c>
      <c r="Q40" s="3">
        <v>2025</v>
      </c>
      <c r="R40" s="6" t="s">
        <v>44</v>
      </c>
      <c r="S40" s="6" t="s">
        <v>45</v>
      </c>
      <c r="T40" s="4" t="s">
        <v>188</v>
      </c>
      <c r="Y40" t="s">
        <v>47</v>
      </c>
    </row>
    <row r="41" spans="1:29">
      <c r="A41">
        <v>21</v>
      </c>
      <c r="B41" s="2" t="s">
        <v>138</v>
      </c>
      <c r="C41" s="19" t="s">
        <v>139</v>
      </c>
      <c r="D41" s="44" t="s">
        <v>189</v>
      </c>
      <c r="E41" s="2" t="s">
        <v>33</v>
      </c>
      <c r="F41" s="68" t="s">
        <v>141</v>
      </c>
      <c r="G41" s="48" t="s">
        <v>142</v>
      </c>
      <c r="H41" s="5" t="s">
        <v>143</v>
      </c>
      <c r="I41" s="117" t="s">
        <v>144</v>
      </c>
      <c r="J41" s="6" t="s">
        <v>145</v>
      </c>
      <c r="K41" s="6" t="s">
        <v>190</v>
      </c>
      <c r="L41" s="3" t="s">
        <v>40</v>
      </c>
      <c r="M41" s="16" t="s">
        <v>41</v>
      </c>
      <c r="N41" s="3" t="str">
        <f t="shared" si="0"/>
        <v>1  Year</v>
      </c>
      <c r="O41" s="3" t="s">
        <v>42</v>
      </c>
      <c r="P41" s="3" t="s">
        <v>43</v>
      </c>
      <c r="Q41" s="3">
        <v>2025</v>
      </c>
      <c r="R41" s="6" t="s">
        <v>44</v>
      </c>
      <c r="S41" s="6" t="s">
        <v>45</v>
      </c>
      <c r="T41" s="4" t="s">
        <v>191</v>
      </c>
      <c r="U41" t="s">
        <v>192</v>
      </c>
      <c r="W41" t="s">
        <v>193</v>
      </c>
      <c r="X41" t="s">
        <v>163</v>
      </c>
      <c r="Y41" s="79" t="s">
        <v>103</v>
      </c>
      <c r="AB41" t="s">
        <v>105</v>
      </c>
      <c r="AC41" s="80">
        <v>46222</v>
      </c>
    </row>
    <row r="42" spans="1:29" ht="31.8">
      <c r="A42">
        <v>22</v>
      </c>
      <c r="B42" s="2" t="s">
        <v>194</v>
      </c>
      <c r="C42" s="19" t="s">
        <v>195</v>
      </c>
      <c r="D42" s="44" t="s">
        <v>196</v>
      </c>
      <c r="E42" s="2" t="s">
        <v>182</v>
      </c>
      <c r="F42" s="68" t="s">
        <v>197</v>
      </c>
      <c r="G42" s="48" t="s">
        <v>198</v>
      </c>
      <c r="H42" s="5" t="s">
        <v>199</v>
      </c>
      <c r="I42" s="117" t="s">
        <v>200</v>
      </c>
      <c r="J42" s="6" t="s">
        <v>48</v>
      </c>
      <c r="K42" s="6" t="s">
        <v>201</v>
      </c>
      <c r="L42" s="3" t="s">
        <v>40</v>
      </c>
      <c r="M42" s="16" t="s">
        <v>41</v>
      </c>
      <c r="N42" s="3" t="str">
        <f t="shared" si="0"/>
        <v>1  Year</v>
      </c>
      <c r="O42" s="3" t="s">
        <v>202</v>
      </c>
      <c r="P42" s="3" t="s">
        <v>43</v>
      </c>
      <c r="Q42" s="3">
        <v>2025</v>
      </c>
      <c r="R42" s="6" t="s">
        <v>80</v>
      </c>
      <c r="S42" s="6" t="s">
        <v>203</v>
      </c>
      <c r="T42" s="4" t="s">
        <v>204</v>
      </c>
      <c r="Y42" t="s">
        <v>47</v>
      </c>
    </row>
    <row r="43" spans="1:29" ht="52.2">
      <c r="A43">
        <v>23</v>
      </c>
      <c r="B43" s="2" t="s">
        <v>205</v>
      </c>
      <c r="C43" s="19" t="s">
        <v>206</v>
      </c>
      <c r="D43" s="44" t="s">
        <v>207</v>
      </c>
      <c r="E43" s="2" t="s">
        <v>182</v>
      </c>
      <c r="F43" s="68" t="s">
        <v>208</v>
      </c>
      <c r="G43" s="48" t="s">
        <v>209</v>
      </c>
      <c r="H43" s="5" t="s">
        <v>210</v>
      </c>
      <c r="I43" s="117" t="s">
        <v>211</v>
      </c>
      <c r="J43" s="6" t="s">
        <v>88</v>
      </c>
      <c r="K43" s="6" t="s">
        <v>212</v>
      </c>
      <c r="L43" s="3" t="s">
        <v>40</v>
      </c>
      <c r="M43" s="16" t="s">
        <v>41</v>
      </c>
      <c r="N43" s="3" t="str">
        <f t="shared" si="0"/>
        <v>1  Year</v>
      </c>
      <c r="O43" s="3" t="s">
        <v>202</v>
      </c>
      <c r="P43" s="3" t="s">
        <v>43</v>
      </c>
      <c r="Q43" s="3">
        <v>2025</v>
      </c>
      <c r="R43" s="6" t="s">
        <v>80</v>
      </c>
      <c r="S43" s="6" t="s">
        <v>45</v>
      </c>
      <c r="T43" s="4" t="s">
        <v>213</v>
      </c>
      <c r="Y43" t="s">
        <v>47</v>
      </c>
    </row>
    <row r="44" spans="1:29">
      <c r="A44">
        <v>24</v>
      </c>
      <c r="B44" s="2" t="s">
        <v>214</v>
      </c>
      <c r="C44" s="19" t="s">
        <v>215</v>
      </c>
      <c r="D44" s="44" t="s">
        <v>216</v>
      </c>
      <c r="E44" s="2" t="s">
        <v>182</v>
      </c>
      <c r="F44" s="68" t="s">
        <v>217</v>
      </c>
      <c r="G44" s="48" t="s">
        <v>218</v>
      </c>
      <c r="H44" s="17" t="s">
        <v>219</v>
      </c>
      <c r="I44" s="117" t="s">
        <v>220</v>
      </c>
      <c r="J44" s="6" t="s">
        <v>48</v>
      </c>
      <c r="K44" s="6" t="s">
        <v>221</v>
      </c>
      <c r="L44" s="3" t="s">
        <v>40</v>
      </c>
      <c r="M44" s="16" t="s">
        <v>41</v>
      </c>
      <c r="N44" s="3" t="str">
        <f t="shared" si="0"/>
        <v>1  Year</v>
      </c>
      <c r="O44" s="3" t="s">
        <v>202</v>
      </c>
      <c r="P44" s="3" t="s">
        <v>43</v>
      </c>
      <c r="Q44" s="3">
        <v>2025</v>
      </c>
      <c r="R44" s="6" t="s">
        <v>44</v>
      </c>
      <c r="S44" s="6" t="s">
        <v>45</v>
      </c>
      <c r="T44" s="4" t="s">
        <v>222</v>
      </c>
      <c r="Y44" t="s">
        <v>47</v>
      </c>
    </row>
    <row r="45" spans="1:29" ht="21.6">
      <c r="A45">
        <v>25</v>
      </c>
      <c r="B45" s="2" t="s">
        <v>223</v>
      </c>
      <c r="C45" s="19" t="s">
        <v>224</v>
      </c>
      <c r="D45" s="44" t="s">
        <v>225</v>
      </c>
      <c r="E45" s="2" t="s">
        <v>182</v>
      </c>
      <c r="F45" s="68" t="s">
        <v>226</v>
      </c>
      <c r="G45" s="48" t="s">
        <v>227</v>
      </c>
      <c r="H45" s="5" t="s">
        <v>228</v>
      </c>
      <c r="I45" s="117" t="s">
        <v>229</v>
      </c>
      <c r="J45" s="6" t="s">
        <v>88</v>
      </c>
      <c r="K45" s="6" t="s">
        <v>230</v>
      </c>
      <c r="L45" s="3" t="s">
        <v>40</v>
      </c>
      <c r="M45" s="16" t="s">
        <v>41</v>
      </c>
      <c r="N45" s="3" t="str">
        <f t="shared" si="0"/>
        <v>1  Year</v>
      </c>
      <c r="O45" s="3" t="s">
        <v>202</v>
      </c>
      <c r="P45" s="3" t="s">
        <v>43</v>
      </c>
      <c r="Q45" s="3">
        <v>2025</v>
      </c>
      <c r="R45" s="6" t="s">
        <v>80</v>
      </c>
      <c r="S45" s="6" t="s">
        <v>45</v>
      </c>
      <c r="T45" s="4" t="s">
        <v>231</v>
      </c>
      <c r="Y45" t="s">
        <v>47</v>
      </c>
    </row>
    <row r="46" spans="1:29" ht="21.6">
      <c r="A46">
        <v>26</v>
      </c>
      <c r="B46" s="2" t="s">
        <v>232</v>
      </c>
      <c r="C46" s="19" t="s">
        <v>233</v>
      </c>
      <c r="D46" s="44" t="s">
        <v>234</v>
      </c>
      <c r="E46" s="2" t="s">
        <v>182</v>
      </c>
      <c r="F46" s="68" t="s">
        <v>235</v>
      </c>
      <c r="G46" s="48" t="s">
        <v>236</v>
      </c>
      <c r="I46" s="117" t="s">
        <v>237</v>
      </c>
      <c r="J46" s="6" t="s">
        <v>48</v>
      </c>
      <c r="K46" s="6" t="s">
        <v>238</v>
      </c>
      <c r="L46" s="3" t="s">
        <v>40</v>
      </c>
      <c r="M46" s="16" t="s">
        <v>41</v>
      </c>
      <c r="N46" s="3" t="str">
        <f t="shared" si="0"/>
        <v>1  Year</v>
      </c>
      <c r="O46" s="3" t="s">
        <v>202</v>
      </c>
      <c r="P46" s="3" t="s">
        <v>43</v>
      </c>
      <c r="Q46" s="3">
        <v>2025</v>
      </c>
      <c r="R46" s="6" t="s">
        <v>80</v>
      </c>
      <c r="S46" s="6" t="s">
        <v>45</v>
      </c>
      <c r="T46" s="4" t="s">
        <v>239</v>
      </c>
      <c r="Y46" t="s">
        <v>47</v>
      </c>
    </row>
    <row r="47" spans="1:29" ht="21.6">
      <c r="A47">
        <v>27</v>
      </c>
      <c r="B47" s="2" t="s">
        <v>240</v>
      </c>
      <c r="C47" s="19" t="s">
        <v>241</v>
      </c>
      <c r="D47" s="44" t="s">
        <v>242</v>
      </c>
      <c r="E47" s="2" t="s">
        <v>182</v>
      </c>
      <c r="F47" s="68" t="s">
        <v>243</v>
      </c>
      <c r="G47" s="48" t="s">
        <v>244</v>
      </c>
      <c r="I47" s="117" t="s">
        <v>245</v>
      </c>
      <c r="J47" s="6" t="s">
        <v>88</v>
      </c>
      <c r="K47" s="6" t="s">
        <v>246</v>
      </c>
      <c r="L47" s="3" t="s">
        <v>40</v>
      </c>
      <c r="M47" s="16" t="s">
        <v>41</v>
      </c>
      <c r="N47" s="3" t="str">
        <f t="shared" si="0"/>
        <v>1  Year</v>
      </c>
      <c r="O47" s="3" t="s">
        <v>202</v>
      </c>
      <c r="P47" s="3" t="s">
        <v>43</v>
      </c>
      <c r="Q47" s="3">
        <v>2025</v>
      </c>
      <c r="R47" s="6" t="s">
        <v>44</v>
      </c>
      <c r="S47" s="6" t="s">
        <v>45</v>
      </c>
      <c r="T47" s="4" t="s">
        <v>247</v>
      </c>
      <c r="Y47" t="s">
        <v>47</v>
      </c>
    </row>
    <row r="48" spans="1:29" ht="21.6">
      <c r="A48">
        <v>28</v>
      </c>
      <c r="B48" s="2" t="s">
        <v>248</v>
      </c>
      <c r="C48" s="19" t="s">
        <v>249</v>
      </c>
      <c r="D48" s="44" t="s">
        <v>250</v>
      </c>
      <c r="E48" s="2" t="s">
        <v>52</v>
      </c>
      <c r="F48" s="68" t="s">
        <v>251</v>
      </c>
      <c r="G48" s="48" t="s">
        <v>252</v>
      </c>
      <c r="H48" s="5" t="s">
        <v>253</v>
      </c>
      <c r="J48" s="6" t="s">
        <v>92</v>
      </c>
      <c r="K48" s="6" t="s">
        <v>254</v>
      </c>
      <c r="L48" s="3" t="s">
        <v>40</v>
      </c>
      <c r="M48" s="16" t="s">
        <v>255</v>
      </c>
      <c r="N48" s="3" t="str">
        <f t="shared" si="0"/>
        <v>1  Year</v>
      </c>
      <c r="O48" s="3" t="s">
        <v>42</v>
      </c>
      <c r="P48" s="3" t="s">
        <v>256</v>
      </c>
      <c r="Q48" s="3">
        <v>2025</v>
      </c>
      <c r="R48" s="6" t="s">
        <v>80</v>
      </c>
      <c r="S48" s="6" t="s">
        <v>257</v>
      </c>
      <c r="T48" s="4" t="s">
        <v>258</v>
      </c>
      <c r="Y48" t="s">
        <v>47</v>
      </c>
    </row>
    <row r="49" spans="1:29" ht="43.2">
      <c r="A49">
        <v>28</v>
      </c>
      <c r="B49" s="2" t="s">
        <v>248</v>
      </c>
      <c r="C49" s="19" t="s">
        <v>249</v>
      </c>
      <c r="D49" s="44" t="s">
        <v>250</v>
      </c>
      <c r="E49" s="2" t="s">
        <v>52</v>
      </c>
      <c r="F49" s="68" t="s">
        <v>251</v>
      </c>
      <c r="G49" s="48" t="s">
        <v>252</v>
      </c>
      <c r="H49" s="5" t="s">
        <v>253</v>
      </c>
      <c r="J49" s="6" t="s">
        <v>88</v>
      </c>
      <c r="K49" s="6" t="s">
        <v>254</v>
      </c>
      <c r="L49" s="3" t="s">
        <v>40</v>
      </c>
      <c r="M49" s="16" t="s">
        <v>255</v>
      </c>
      <c r="N49" s="3" t="str">
        <f t="shared" si="0"/>
        <v>1  Year</v>
      </c>
      <c r="O49" s="3" t="s">
        <v>42</v>
      </c>
      <c r="P49" s="3" t="s">
        <v>256</v>
      </c>
      <c r="Q49" s="3">
        <v>2025</v>
      </c>
      <c r="R49" s="6" t="s">
        <v>80</v>
      </c>
      <c r="S49" s="6" t="s">
        <v>257</v>
      </c>
      <c r="T49" s="5" t="s">
        <v>259</v>
      </c>
      <c r="Y49" t="s">
        <v>47</v>
      </c>
    </row>
    <row r="50" spans="1:29" ht="31.8">
      <c r="A50">
        <v>29</v>
      </c>
      <c r="B50" s="2" t="s">
        <v>260</v>
      </c>
      <c r="C50" s="19" t="s">
        <v>261</v>
      </c>
      <c r="D50" s="44" t="s">
        <v>262</v>
      </c>
      <c r="E50" s="2" t="s">
        <v>52</v>
      </c>
      <c r="F50" s="68" t="s">
        <v>263</v>
      </c>
      <c r="G50" s="48" t="s">
        <v>264</v>
      </c>
      <c r="H50" s="5" t="s">
        <v>122</v>
      </c>
      <c r="I50" s="117" t="s">
        <v>265</v>
      </c>
      <c r="J50" s="6" t="s">
        <v>145</v>
      </c>
      <c r="K50" s="6" t="s">
        <v>266</v>
      </c>
      <c r="L50" s="3"/>
      <c r="M50" s="16" t="s">
        <v>255</v>
      </c>
      <c r="N50" s="3" t="str">
        <f t="shared" si="0"/>
        <v/>
      </c>
      <c r="O50" s="3" t="s">
        <v>42</v>
      </c>
      <c r="P50" s="3" t="s">
        <v>256</v>
      </c>
      <c r="Q50" s="3">
        <v>2025</v>
      </c>
      <c r="R50" s="6" t="s">
        <v>80</v>
      </c>
      <c r="S50" s="6" t="s">
        <v>45</v>
      </c>
      <c r="Y50" t="s">
        <v>47</v>
      </c>
    </row>
    <row r="51" spans="1:29" ht="21.6">
      <c r="A51">
        <v>30</v>
      </c>
      <c r="B51" s="2" t="s">
        <v>267</v>
      </c>
      <c r="C51" s="19" t="s">
        <v>268</v>
      </c>
      <c r="D51" s="44" t="s">
        <v>269</v>
      </c>
      <c r="E51" s="2" t="s">
        <v>52</v>
      </c>
      <c r="F51" s="68" t="s">
        <v>263</v>
      </c>
      <c r="G51" s="48" t="s">
        <v>270</v>
      </c>
      <c r="H51" s="5" t="s">
        <v>122</v>
      </c>
      <c r="I51" s="117" t="s">
        <v>265</v>
      </c>
      <c r="J51" s="6" t="s">
        <v>271</v>
      </c>
      <c r="K51" s="6" t="s">
        <v>272</v>
      </c>
      <c r="L51" s="3" t="s">
        <v>40</v>
      </c>
      <c r="M51" s="16" t="s">
        <v>255</v>
      </c>
      <c r="N51" s="3" t="str">
        <f t="shared" si="0"/>
        <v>1  Year</v>
      </c>
      <c r="O51" s="3" t="s">
        <v>42</v>
      </c>
      <c r="P51" s="3" t="s">
        <v>256</v>
      </c>
      <c r="Q51" s="3">
        <v>2025</v>
      </c>
      <c r="R51" s="6" t="s">
        <v>80</v>
      </c>
      <c r="S51" s="6" t="s">
        <v>45</v>
      </c>
      <c r="T51" s="4" t="s">
        <v>273</v>
      </c>
      <c r="Y51" t="s">
        <v>47</v>
      </c>
    </row>
    <row r="52" spans="1:29" ht="21.6">
      <c r="A52">
        <v>31</v>
      </c>
      <c r="B52" s="2" t="s">
        <v>274</v>
      </c>
      <c r="C52" s="19" t="s">
        <v>275</v>
      </c>
      <c r="D52" s="44" t="s">
        <v>269</v>
      </c>
      <c r="E52" s="2" t="s">
        <v>52</v>
      </c>
      <c r="F52" s="68" t="s">
        <v>263</v>
      </c>
      <c r="G52" s="48" t="s">
        <v>270</v>
      </c>
      <c r="H52" s="5" t="s">
        <v>122</v>
      </c>
      <c r="I52" s="117" t="s">
        <v>265</v>
      </c>
      <c r="J52" s="6" t="s">
        <v>57</v>
      </c>
      <c r="K52" s="6" t="s">
        <v>276</v>
      </c>
      <c r="L52" s="3" t="s">
        <v>40</v>
      </c>
      <c r="M52" s="16" t="s">
        <v>255</v>
      </c>
      <c r="N52" s="3" t="str">
        <f t="shared" si="0"/>
        <v>1  Year</v>
      </c>
      <c r="O52" s="3" t="s">
        <v>42</v>
      </c>
      <c r="P52" s="3" t="s">
        <v>256</v>
      </c>
      <c r="Q52" s="3">
        <v>2025</v>
      </c>
      <c r="R52" s="6" t="s">
        <v>80</v>
      </c>
      <c r="S52" s="6" t="s">
        <v>45</v>
      </c>
      <c r="T52" s="4" t="s">
        <v>277</v>
      </c>
      <c r="Y52" t="s">
        <v>47</v>
      </c>
    </row>
    <row r="53" spans="1:29" ht="21.6">
      <c r="A53">
        <v>32</v>
      </c>
      <c r="B53" s="2" t="s">
        <v>278</v>
      </c>
      <c r="C53" s="19" t="s">
        <v>279</v>
      </c>
      <c r="D53" s="44" t="s">
        <v>280</v>
      </c>
      <c r="E53" s="2" t="s">
        <v>33</v>
      </c>
      <c r="F53" s="68" t="s">
        <v>281</v>
      </c>
      <c r="G53" s="48" t="s">
        <v>282</v>
      </c>
      <c r="H53" s="5" t="s">
        <v>283</v>
      </c>
      <c r="I53" s="117" t="s">
        <v>284</v>
      </c>
      <c r="J53" s="6" t="s">
        <v>48</v>
      </c>
      <c r="K53" s="6" t="s">
        <v>285</v>
      </c>
      <c r="L53" s="3" t="s">
        <v>40</v>
      </c>
      <c r="M53" s="16" t="s">
        <v>255</v>
      </c>
      <c r="N53" s="3" t="str">
        <f t="shared" si="0"/>
        <v>1  Year</v>
      </c>
      <c r="O53" s="3" t="s">
        <v>42</v>
      </c>
      <c r="P53" s="3" t="s">
        <v>256</v>
      </c>
      <c r="Q53" s="3">
        <v>2025</v>
      </c>
      <c r="R53" s="6" t="s">
        <v>80</v>
      </c>
      <c r="S53" s="6" t="s">
        <v>45</v>
      </c>
      <c r="T53" s="4" t="s">
        <v>286</v>
      </c>
      <c r="Y53" t="s">
        <v>47</v>
      </c>
    </row>
    <row r="54" spans="1:29" ht="21.6">
      <c r="A54">
        <v>33</v>
      </c>
      <c r="B54" s="2" t="s">
        <v>278</v>
      </c>
      <c r="C54" s="19" t="s">
        <v>287</v>
      </c>
      <c r="D54" s="44" t="s">
        <v>288</v>
      </c>
      <c r="E54" s="2" t="s">
        <v>33</v>
      </c>
      <c r="F54" s="68" t="s">
        <v>281</v>
      </c>
      <c r="G54" s="48" t="s">
        <v>282</v>
      </c>
      <c r="H54" s="5" t="s">
        <v>283</v>
      </c>
      <c r="I54" s="117" t="s">
        <v>284</v>
      </c>
      <c r="J54" s="6" t="s">
        <v>88</v>
      </c>
      <c r="K54" s="6" t="s">
        <v>285</v>
      </c>
      <c r="L54" s="3" t="s">
        <v>40</v>
      </c>
      <c r="M54" s="16" t="s">
        <v>255</v>
      </c>
      <c r="N54" s="3" t="str">
        <f t="shared" si="0"/>
        <v>1  Year</v>
      </c>
      <c r="O54" s="3" t="s">
        <v>42</v>
      </c>
      <c r="P54" s="3" t="s">
        <v>256</v>
      </c>
      <c r="Q54" s="3">
        <v>2025</v>
      </c>
      <c r="R54" s="6" t="s">
        <v>80</v>
      </c>
      <c r="S54" s="6" t="s">
        <v>45</v>
      </c>
      <c r="T54" s="4" t="s">
        <v>289</v>
      </c>
      <c r="Y54" t="s">
        <v>47</v>
      </c>
    </row>
    <row r="55" spans="1:29">
      <c r="A55">
        <v>34</v>
      </c>
      <c r="B55" s="2" t="s">
        <v>290</v>
      </c>
      <c r="C55" s="19" t="s">
        <v>291</v>
      </c>
      <c r="D55" s="44" t="s">
        <v>292</v>
      </c>
      <c r="E55" s="2"/>
      <c r="F55" s="68" t="s">
        <v>293</v>
      </c>
      <c r="G55" s="48" t="s">
        <v>294</v>
      </c>
      <c r="H55" s="5" t="s">
        <v>295</v>
      </c>
      <c r="I55" s="117" t="s">
        <v>296</v>
      </c>
      <c r="J55" s="6" t="s">
        <v>145</v>
      </c>
      <c r="K55" s="6" t="s">
        <v>297</v>
      </c>
      <c r="L55" s="3" t="s">
        <v>40</v>
      </c>
      <c r="M55" s="16" t="s">
        <v>255</v>
      </c>
      <c r="N55" s="3" t="str">
        <f t="shared" si="0"/>
        <v>1  Year</v>
      </c>
      <c r="O55" s="3" t="s">
        <v>42</v>
      </c>
      <c r="P55" s="3" t="s">
        <v>256</v>
      </c>
      <c r="Q55" s="3">
        <v>2025</v>
      </c>
      <c r="R55" s="6" t="s">
        <v>80</v>
      </c>
      <c r="S55" s="6" t="s">
        <v>45</v>
      </c>
      <c r="T55" s="4" t="s">
        <v>298</v>
      </c>
      <c r="Y55" t="s">
        <v>47</v>
      </c>
    </row>
    <row r="56" spans="1:29" ht="31.8">
      <c r="A56">
        <v>35</v>
      </c>
      <c r="B56" s="2" t="s">
        <v>299</v>
      </c>
      <c r="C56" s="19" t="s">
        <v>300</v>
      </c>
      <c r="D56" s="44" t="s">
        <v>301</v>
      </c>
      <c r="E56" s="2" t="s">
        <v>52</v>
      </c>
      <c r="F56" s="68" t="s">
        <v>302</v>
      </c>
      <c r="G56" s="48" t="s">
        <v>303</v>
      </c>
      <c r="I56" s="117" t="s">
        <v>304</v>
      </c>
      <c r="J56" s="6" t="s">
        <v>92</v>
      </c>
      <c r="K56" s="6" t="s">
        <v>305</v>
      </c>
      <c r="L56" s="3" t="s">
        <v>40</v>
      </c>
      <c r="M56" s="16" t="s">
        <v>255</v>
      </c>
      <c r="N56" s="3" t="str">
        <f t="shared" si="0"/>
        <v>1  Year</v>
      </c>
      <c r="O56" s="3" t="s">
        <v>42</v>
      </c>
      <c r="P56" s="3" t="s">
        <v>256</v>
      </c>
      <c r="Q56" s="3">
        <v>2025</v>
      </c>
      <c r="R56" s="6" t="s">
        <v>80</v>
      </c>
      <c r="S56" s="6" t="s">
        <v>306</v>
      </c>
      <c r="T56" s="4" t="s">
        <v>307</v>
      </c>
      <c r="Y56" t="s">
        <v>47</v>
      </c>
    </row>
    <row r="57" spans="1:29" ht="31.8">
      <c r="A57">
        <v>35</v>
      </c>
      <c r="B57" s="2" t="s">
        <v>299</v>
      </c>
      <c r="C57" s="19" t="s">
        <v>300</v>
      </c>
      <c r="D57" s="44" t="s">
        <v>301</v>
      </c>
      <c r="E57" s="2" t="s">
        <v>52</v>
      </c>
      <c r="F57" s="68" t="s">
        <v>302</v>
      </c>
      <c r="G57" s="48" t="s">
        <v>303</v>
      </c>
      <c r="I57" s="117" t="s">
        <v>304</v>
      </c>
      <c r="J57" s="6" t="s">
        <v>88</v>
      </c>
      <c r="K57" s="6" t="s">
        <v>305</v>
      </c>
      <c r="L57" s="3" t="s">
        <v>40</v>
      </c>
      <c r="M57" s="16" t="s">
        <v>255</v>
      </c>
      <c r="N57" s="3" t="str">
        <f t="shared" si="0"/>
        <v>1  Year</v>
      </c>
      <c r="O57" s="3" t="s">
        <v>42</v>
      </c>
      <c r="P57" s="3" t="s">
        <v>256</v>
      </c>
      <c r="Q57" s="3">
        <v>2025</v>
      </c>
      <c r="R57" s="6" t="s">
        <v>80</v>
      </c>
      <c r="S57" s="6" t="s">
        <v>306</v>
      </c>
      <c r="T57" s="4" t="s">
        <v>308</v>
      </c>
      <c r="Y57" t="s">
        <v>47</v>
      </c>
    </row>
    <row r="58" spans="1:29" ht="21.6">
      <c r="A58">
        <v>36</v>
      </c>
      <c r="B58" s="2" t="s">
        <v>309</v>
      </c>
      <c r="C58" s="19" t="s">
        <v>310</v>
      </c>
      <c r="D58" s="44" t="s">
        <v>311</v>
      </c>
      <c r="E58" s="2" t="s">
        <v>33</v>
      </c>
      <c r="F58" s="68" t="s">
        <v>312</v>
      </c>
      <c r="G58" s="48" t="s">
        <v>313</v>
      </c>
      <c r="H58" s="5" t="s">
        <v>295</v>
      </c>
      <c r="I58" s="117" t="s">
        <v>296</v>
      </c>
      <c r="J58" s="6" t="s">
        <v>145</v>
      </c>
      <c r="K58" s="6" t="s">
        <v>314</v>
      </c>
      <c r="L58" s="3" t="s">
        <v>40</v>
      </c>
      <c r="M58" s="16" t="s">
        <v>255</v>
      </c>
      <c r="N58" s="3" t="str">
        <f t="shared" si="0"/>
        <v>1  Year</v>
      </c>
      <c r="O58" s="3" t="s">
        <v>42</v>
      </c>
      <c r="P58" s="3" t="s">
        <v>256</v>
      </c>
      <c r="Q58" s="3">
        <v>2025</v>
      </c>
      <c r="R58" s="6" t="s">
        <v>315</v>
      </c>
      <c r="S58" s="6" t="s">
        <v>45</v>
      </c>
      <c r="T58" s="4" t="s">
        <v>316</v>
      </c>
      <c r="Y58" t="s">
        <v>47</v>
      </c>
    </row>
    <row r="59" spans="1:29" ht="21.6">
      <c r="A59">
        <v>37</v>
      </c>
      <c r="B59" s="2" t="s">
        <v>317</v>
      </c>
      <c r="C59" s="19" t="s">
        <v>318</v>
      </c>
      <c r="D59" s="44" t="s">
        <v>311</v>
      </c>
      <c r="E59" s="2" t="s">
        <v>33</v>
      </c>
      <c r="F59" s="68" t="s">
        <v>312</v>
      </c>
      <c r="G59" s="48" t="s">
        <v>313</v>
      </c>
      <c r="H59" s="5" t="s">
        <v>295</v>
      </c>
      <c r="I59" s="117" t="s">
        <v>296</v>
      </c>
      <c r="J59" s="6" t="s">
        <v>145</v>
      </c>
      <c r="K59" s="6" t="s">
        <v>319</v>
      </c>
      <c r="L59" s="3" t="s">
        <v>40</v>
      </c>
      <c r="M59" s="16" t="s">
        <v>255</v>
      </c>
      <c r="N59" s="3" t="str">
        <f t="shared" si="0"/>
        <v>1  Year</v>
      </c>
      <c r="O59" s="3" t="s">
        <v>42</v>
      </c>
      <c r="P59" s="3" t="s">
        <v>256</v>
      </c>
      <c r="Q59" s="3">
        <v>2025</v>
      </c>
      <c r="R59" s="6" t="s">
        <v>315</v>
      </c>
      <c r="S59" s="6" t="s">
        <v>45</v>
      </c>
      <c r="T59" s="4" t="s">
        <v>316</v>
      </c>
      <c r="U59" t="s">
        <v>320</v>
      </c>
      <c r="W59" s="81">
        <v>0.47361111111111109</v>
      </c>
      <c r="X59" t="s">
        <v>163</v>
      </c>
      <c r="Y59" t="s">
        <v>47</v>
      </c>
      <c r="Z59" t="s">
        <v>104</v>
      </c>
      <c r="AA59" s="4" t="s">
        <v>317</v>
      </c>
      <c r="AB59" t="s">
        <v>165</v>
      </c>
      <c r="AC59" t="s">
        <v>166</v>
      </c>
    </row>
    <row r="60" spans="1:29" ht="28.8">
      <c r="A60">
        <v>38</v>
      </c>
      <c r="B60" s="2" t="s">
        <v>321</v>
      </c>
      <c r="C60" s="19" t="s">
        <v>322</v>
      </c>
      <c r="D60" s="44" t="s">
        <v>323</v>
      </c>
      <c r="E60" s="2" t="s">
        <v>33</v>
      </c>
      <c r="F60" s="68" t="s">
        <v>324</v>
      </c>
      <c r="G60" s="48" t="s">
        <v>325</v>
      </c>
      <c r="H60" s="5" t="s">
        <v>326</v>
      </c>
      <c r="I60" s="117" t="s">
        <v>327</v>
      </c>
      <c r="J60" s="6" t="s">
        <v>92</v>
      </c>
      <c r="K60" s="6" t="s">
        <v>328</v>
      </c>
      <c r="L60" s="3" t="s">
        <v>90</v>
      </c>
      <c r="M60" s="16" t="s">
        <v>255</v>
      </c>
      <c r="N60" s="3" t="str">
        <f t="shared" si="0"/>
        <v>2 Years</v>
      </c>
      <c r="O60" s="3" t="s">
        <v>42</v>
      </c>
      <c r="P60" s="3" t="s">
        <v>256</v>
      </c>
      <c r="Q60" s="3">
        <v>2025</v>
      </c>
      <c r="R60" s="6" t="s">
        <v>315</v>
      </c>
      <c r="S60" s="6" t="s">
        <v>329</v>
      </c>
      <c r="T60" s="4" t="s">
        <v>330</v>
      </c>
      <c r="Y60" t="s">
        <v>47</v>
      </c>
    </row>
    <row r="61" spans="1:29" ht="42">
      <c r="A61">
        <v>39</v>
      </c>
      <c r="B61" s="2" t="s">
        <v>331</v>
      </c>
      <c r="C61" s="19" t="s">
        <v>332</v>
      </c>
      <c r="D61" s="44" t="s">
        <v>333</v>
      </c>
      <c r="E61" s="2" t="s">
        <v>33</v>
      </c>
      <c r="F61" s="68" t="s">
        <v>324</v>
      </c>
      <c r="G61" s="48" t="s">
        <v>325</v>
      </c>
      <c r="H61" s="5" t="s">
        <v>326</v>
      </c>
      <c r="I61" s="117" t="s">
        <v>327</v>
      </c>
      <c r="J61" s="6" t="s">
        <v>92</v>
      </c>
      <c r="K61" s="6" t="s">
        <v>334</v>
      </c>
      <c r="L61" s="3" t="s">
        <v>90</v>
      </c>
      <c r="M61" s="16" t="s">
        <v>255</v>
      </c>
      <c r="N61" s="3" t="str">
        <f t="shared" si="0"/>
        <v>2 Years</v>
      </c>
      <c r="O61" s="3" t="s">
        <v>42</v>
      </c>
      <c r="P61" s="3" t="s">
        <v>256</v>
      </c>
      <c r="Q61" s="3">
        <v>2025</v>
      </c>
      <c r="R61" s="6" t="s">
        <v>315</v>
      </c>
      <c r="S61" s="6" t="s">
        <v>335</v>
      </c>
      <c r="T61" s="4" t="s">
        <v>336</v>
      </c>
      <c r="Y61" t="s">
        <v>47</v>
      </c>
    </row>
    <row r="62" spans="1:29" ht="28.8">
      <c r="A62">
        <v>40</v>
      </c>
      <c r="B62" s="2" t="s">
        <v>331</v>
      </c>
      <c r="C62" s="19" t="s">
        <v>332</v>
      </c>
      <c r="D62" s="44" t="s">
        <v>333</v>
      </c>
      <c r="E62" s="2" t="s">
        <v>33</v>
      </c>
      <c r="F62" s="68" t="s">
        <v>324</v>
      </c>
      <c r="G62" s="48" t="s">
        <v>325</v>
      </c>
      <c r="H62" s="5" t="s">
        <v>326</v>
      </c>
      <c r="I62" s="117" t="s">
        <v>327</v>
      </c>
      <c r="J62" s="6" t="s">
        <v>88</v>
      </c>
      <c r="K62" s="6" t="s">
        <v>334</v>
      </c>
      <c r="L62" s="3" t="s">
        <v>90</v>
      </c>
      <c r="M62" s="16" t="s">
        <v>255</v>
      </c>
      <c r="N62" s="3" t="str">
        <f t="shared" si="0"/>
        <v>2 Years</v>
      </c>
      <c r="O62" s="3" t="s">
        <v>42</v>
      </c>
      <c r="P62" s="3" t="s">
        <v>256</v>
      </c>
      <c r="Q62" s="3">
        <v>2025</v>
      </c>
      <c r="R62" s="6" t="s">
        <v>315</v>
      </c>
      <c r="S62" s="6" t="s">
        <v>337</v>
      </c>
      <c r="T62" s="4" t="s">
        <v>338</v>
      </c>
      <c r="Y62" t="s">
        <v>47</v>
      </c>
    </row>
    <row r="63" spans="1:29" ht="28.8">
      <c r="A63">
        <v>41</v>
      </c>
      <c r="B63" s="2" t="s">
        <v>339</v>
      </c>
      <c r="C63" s="19" t="s">
        <v>340</v>
      </c>
      <c r="D63" s="44" t="s">
        <v>341</v>
      </c>
      <c r="E63" s="2" t="s">
        <v>33</v>
      </c>
      <c r="F63" s="68" t="s">
        <v>324</v>
      </c>
      <c r="G63" s="48" t="s">
        <v>325</v>
      </c>
      <c r="H63" s="5" t="s">
        <v>326</v>
      </c>
      <c r="I63" s="117" t="s">
        <v>327</v>
      </c>
      <c r="J63" s="6" t="s">
        <v>92</v>
      </c>
      <c r="K63" s="6" t="s">
        <v>342</v>
      </c>
      <c r="L63" s="3" t="s">
        <v>40</v>
      </c>
      <c r="M63" s="16" t="s">
        <v>255</v>
      </c>
      <c r="N63" s="3" t="str">
        <f t="shared" si="0"/>
        <v>1  Year</v>
      </c>
      <c r="O63" s="3" t="s">
        <v>42</v>
      </c>
      <c r="P63" s="3" t="s">
        <v>256</v>
      </c>
      <c r="Q63" s="3">
        <v>2025</v>
      </c>
      <c r="R63" s="6" t="s">
        <v>315</v>
      </c>
      <c r="S63" s="6" t="s">
        <v>45</v>
      </c>
      <c r="T63" s="4" t="s">
        <v>343</v>
      </c>
      <c r="Y63" t="s">
        <v>47</v>
      </c>
    </row>
    <row r="64" spans="1:29" ht="21.6">
      <c r="A64">
        <v>42</v>
      </c>
      <c r="B64" s="2" t="s">
        <v>344</v>
      </c>
      <c r="C64" s="19" t="s">
        <v>345</v>
      </c>
      <c r="D64" s="44" t="s">
        <v>346</v>
      </c>
      <c r="E64" s="2" t="s">
        <v>182</v>
      </c>
      <c r="F64" s="68" t="s">
        <v>347</v>
      </c>
      <c r="G64" s="48" t="s">
        <v>348</v>
      </c>
      <c r="I64" s="116" t="s">
        <v>349</v>
      </c>
      <c r="J64" s="6" t="s">
        <v>48</v>
      </c>
      <c r="K64" s="6" t="s">
        <v>350</v>
      </c>
      <c r="L64" s="3"/>
      <c r="M64" s="16" t="s">
        <v>255</v>
      </c>
      <c r="N64" s="3" t="str">
        <f t="shared" si="0"/>
        <v/>
      </c>
      <c r="O64" s="3" t="s">
        <v>202</v>
      </c>
      <c r="P64" s="3" t="s">
        <v>256</v>
      </c>
      <c r="Q64" s="3">
        <v>2025</v>
      </c>
      <c r="R64" s="6" t="s">
        <v>80</v>
      </c>
      <c r="S64" s="6" t="s">
        <v>45</v>
      </c>
      <c r="Y64" t="s">
        <v>47</v>
      </c>
    </row>
    <row r="65" spans="1:25" ht="31.8">
      <c r="A65">
        <v>43</v>
      </c>
      <c r="B65" s="2" t="s">
        <v>351</v>
      </c>
      <c r="C65" s="19" t="s">
        <v>352</v>
      </c>
      <c r="D65" s="44" t="s">
        <v>114</v>
      </c>
      <c r="E65" s="2" t="s">
        <v>182</v>
      </c>
      <c r="F65" s="68" t="s">
        <v>353</v>
      </c>
      <c r="G65" s="48" t="s">
        <v>354</v>
      </c>
      <c r="I65" s="116" t="s">
        <v>349</v>
      </c>
      <c r="J65" s="6" t="s">
        <v>48</v>
      </c>
      <c r="K65" s="6" t="s">
        <v>355</v>
      </c>
      <c r="L65" s="3"/>
      <c r="M65" s="16" t="s">
        <v>255</v>
      </c>
      <c r="N65" s="3" t="str">
        <f t="shared" si="0"/>
        <v/>
      </c>
      <c r="O65" s="3" t="s">
        <v>202</v>
      </c>
      <c r="P65" s="3" t="s">
        <v>256</v>
      </c>
      <c r="Q65" s="3">
        <v>2025</v>
      </c>
      <c r="R65" s="6" t="s">
        <v>80</v>
      </c>
      <c r="S65" s="6" t="s">
        <v>356</v>
      </c>
      <c r="Y65" t="s">
        <v>47</v>
      </c>
    </row>
    <row r="66" spans="1:25" ht="31.8">
      <c r="A66">
        <v>44</v>
      </c>
      <c r="B66" s="2" t="s">
        <v>357</v>
      </c>
      <c r="C66" s="19" t="s">
        <v>352</v>
      </c>
      <c r="D66" s="44" t="s">
        <v>114</v>
      </c>
      <c r="E66" s="2" t="s">
        <v>182</v>
      </c>
      <c r="F66" s="68" t="s">
        <v>353</v>
      </c>
      <c r="G66" s="48" t="s">
        <v>354</v>
      </c>
      <c r="I66" s="116" t="s">
        <v>349</v>
      </c>
      <c r="J66" s="6" t="s">
        <v>48</v>
      </c>
      <c r="K66" s="6" t="s">
        <v>358</v>
      </c>
      <c r="L66" s="3"/>
      <c r="M66" s="16" t="s">
        <v>255</v>
      </c>
      <c r="N66" s="3" t="str">
        <f t="shared" si="0"/>
        <v/>
      </c>
      <c r="O66" s="3" t="s">
        <v>202</v>
      </c>
      <c r="P66" s="3" t="s">
        <v>256</v>
      </c>
      <c r="Q66" s="3">
        <v>2025</v>
      </c>
      <c r="R66" s="6" t="s">
        <v>80</v>
      </c>
      <c r="S66" s="6" t="s">
        <v>45</v>
      </c>
      <c r="Y66" t="s">
        <v>47</v>
      </c>
    </row>
    <row r="67" spans="1:25" ht="28.8">
      <c r="A67">
        <v>45</v>
      </c>
      <c r="B67" s="2" t="s">
        <v>194</v>
      </c>
      <c r="C67" s="19" t="s">
        <v>195</v>
      </c>
      <c r="D67" s="44" t="s">
        <v>359</v>
      </c>
      <c r="E67" s="2" t="s">
        <v>182</v>
      </c>
      <c r="F67" s="68" t="s">
        <v>360</v>
      </c>
      <c r="G67" s="48" t="s">
        <v>361</v>
      </c>
      <c r="H67" s="5" t="s">
        <v>362</v>
      </c>
      <c r="I67" s="116" t="s">
        <v>363</v>
      </c>
      <c r="J67" s="6" t="s">
        <v>48</v>
      </c>
      <c r="K67" s="6" t="s">
        <v>364</v>
      </c>
      <c r="L67" s="3"/>
      <c r="M67" s="16" t="s">
        <v>255</v>
      </c>
      <c r="N67" s="3" t="str">
        <f t="shared" ref="N67:N130" si="1">IF(L67="New","1  Year",IF(L67="Promotional","15 Weeks",IF(L67="Revalidation","2 Years","")))</f>
        <v/>
      </c>
      <c r="O67" s="3" t="s">
        <v>202</v>
      </c>
      <c r="P67" s="3" t="s">
        <v>256</v>
      </c>
      <c r="Q67" s="3">
        <v>2025</v>
      </c>
      <c r="R67" s="6" t="s">
        <v>80</v>
      </c>
      <c r="S67" s="6" t="s">
        <v>45</v>
      </c>
      <c r="Y67" t="s">
        <v>47</v>
      </c>
    </row>
    <row r="68" spans="1:25" ht="28.8">
      <c r="A68">
        <v>46</v>
      </c>
      <c r="B68" s="2" t="s">
        <v>194</v>
      </c>
      <c r="C68" s="19" t="s">
        <v>195</v>
      </c>
      <c r="D68" s="44" t="s">
        <v>196</v>
      </c>
      <c r="E68" s="2" t="s">
        <v>182</v>
      </c>
      <c r="F68" s="68" t="s">
        <v>360</v>
      </c>
      <c r="G68" s="48" t="s">
        <v>361</v>
      </c>
      <c r="H68" s="5" t="s">
        <v>362</v>
      </c>
      <c r="I68" s="116" t="s">
        <v>363</v>
      </c>
      <c r="J68" s="6" t="s">
        <v>92</v>
      </c>
      <c r="K68" s="6" t="s">
        <v>365</v>
      </c>
      <c r="L68" s="3"/>
      <c r="M68" s="16" t="s">
        <v>255</v>
      </c>
      <c r="N68" s="3" t="str">
        <f t="shared" si="1"/>
        <v/>
      </c>
      <c r="O68" s="3" t="s">
        <v>202</v>
      </c>
      <c r="P68" s="3" t="s">
        <v>256</v>
      </c>
      <c r="Q68" s="3">
        <v>2025</v>
      </c>
      <c r="R68" s="6" t="s">
        <v>80</v>
      </c>
      <c r="S68" s="6" t="s">
        <v>366</v>
      </c>
      <c r="Y68" t="s">
        <v>47</v>
      </c>
    </row>
    <row r="69" spans="1:25" ht="28.8">
      <c r="A69">
        <v>47</v>
      </c>
      <c r="B69" s="2" t="s">
        <v>367</v>
      </c>
      <c r="C69" s="19" t="s">
        <v>368</v>
      </c>
      <c r="D69" s="44" t="s">
        <v>369</v>
      </c>
      <c r="E69" s="2" t="s">
        <v>182</v>
      </c>
      <c r="F69" s="68" t="s">
        <v>370</v>
      </c>
      <c r="G69" s="48" t="s">
        <v>371</v>
      </c>
      <c r="H69" s="5" t="s">
        <v>372</v>
      </c>
      <c r="I69" s="116" t="s">
        <v>373</v>
      </c>
      <c r="J69" s="6" t="s">
        <v>48</v>
      </c>
      <c r="K69" s="6" t="s">
        <v>374</v>
      </c>
      <c r="L69" s="3"/>
      <c r="M69" s="16" t="s">
        <v>255</v>
      </c>
      <c r="N69" s="3" t="str">
        <f t="shared" si="1"/>
        <v/>
      </c>
      <c r="O69" s="3" t="s">
        <v>202</v>
      </c>
      <c r="P69" s="3" t="s">
        <v>256</v>
      </c>
      <c r="Q69" s="3">
        <v>2025</v>
      </c>
      <c r="R69" s="6" t="s">
        <v>80</v>
      </c>
      <c r="S69" s="6" t="s">
        <v>45</v>
      </c>
      <c r="Y69" t="s">
        <v>47</v>
      </c>
    </row>
    <row r="70" spans="1:25" ht="28.8">
      <c r="A70">
        <v>47</v>
      </c>
      <c r="B70" s="2" t="s">
        <v>367</v>
      </c>
      <c r="C70" s="19" t="s">
        <v>368</v>
      </c>
      <c r="D70" s="44" t="s">
        <v>369</v>
      </c>
      <c r="E70" s="2" t="s">
        <v>182</v>
      </c>
      <c r="F70" s="68" t="s">
        <v>370</v>
      </c>
      <c r="G70" s="48" t="s">
        <v>371</v>
      </c>
      <c r="H70" s="5" t="s">
        <v>372</v>
      </c>
      <c r="I70" s="116" t="s">
        <v>373</v>
      </c>
      <c r="J70" s="6" t="s">
        <v>145</v>
      </c>
      <c r="K70" s="6" t="s">
        <v>374</v>
      </c>
      <c r="L70" s="3"/>
      <c r="M70" s="16" t="s">
        <v>255</v>
      </c>
      <c r="N70" s="3" t="str">
        <f t="shared" si="1"/>
        <v/>
      </c>
      <c r="O70" s="3" t="s">
        <v>202</v>
      </c>
      <c r="P70" s="3" t="s">
        <v>256</v>
      </c>
      <c r="Q70" s="3">
        <v>2025</v>
      </c>
      <c r="R70" s="6" t="s">
        <v>80</v>
      </c>
      <c r="S70" s="6" t="s">
        <v>45</v>
      </c>
      <c r="Y70" t="s">
        <v>47</v>
      </c>
    </row>
    <row r="71" spans="1:25" ht="31.8">
      <c r="A71">
        <v>48</v>
      </c>
      <c r="B71" s="2" t="s">
        <v>375</v>
      </c>
      <c r="C71" s="19"/>
      <c r="D71" s="44" t="s">
        <v>376</v>
      </c>
      <c r="E71" s="2" t="s">
        <v>182</v>
      </c>
      <c r="F71" s="68" t="s">
        <v>377</v>
      </c>
      <c r="G71" s="48" t="s">
        <v>378</v>
      </c>
      <c r="H71" s="5"/>
      <c r="I71" s="116" t="s">
        <v>379</v>
      </c>
      <c r="J71" s="6" t="s">
        <v>88</v>
      </c>
      <c r="K71" s="6" t="s">
        <v>380</v>
      </c>
      <c r="L71" s="3"/>
      <c r="M71" s="16" t="s">
        <v>255</v>
      </c>
      <c r="N71" s="3" t="str">
        <f t="shared" si="1"/>
        <v/>
      </c>
      <c r="O71" s="3" t="s">
        <v>202</v>
      </c>
      <c r="P71" s="3" t="s">
        <v>256</v>
      </c>
      <c r="Q71" s="3">
        <v>2025</v>
      </c>
      <c r="R71" s="6" t="s">
        <v>80</v>
      </c>
      <c r="S71" s="6" t="s">
        <v>45</v>
      </c>
      <c r="Y71" t="s">
        <v>47</v>
      </c>
    </row>
    <row r="72" spans="1:25" ht="28.8">
      <c r="A72">
        <v>49</v>
      </c>
      <c r="B72" s="2" t="s">
        <v>381</v>
      </c>
      <c r="C72" s="19" t="s">
        <v>382</v>
      </c>
      <c r="D72" s="44" t="s">
        <v>383</v>
      </c>
      <c r="E72" s="2" t="s">
        <v>182</v>
      </c>
      <c r="F72" s="68" t="s">
        <v>370</v>
      </c>
      <c r="G72" s="48" t="s">
        <v>384</v>
      </c>
      <c r="H72" s="5" t="s">
        <v>372</v>
      </c>
      <c r="I72" s="116" t="s">
        <v>373</v>
      </c>
      <c r="J72" s="6" t="s">
        <v>48</v>
      </c>
      <c r="K72" s="6" t="s">
        <v>385</v>
      </c>
      <c r="L72" s="3"/>
      <c r="M72" s="16" t="s">
        <v>255</v>
      </c>
      <c r="N72" s="3" t="str">
        <f t="shared" si="1"/>
        <v/>
      </c>
      <c r="O72" s="3" t="s">
        <v>202</v>
      </c>
      <c r="P72" s="3" t="s">
        <v>256</v>
      </c>
      <c r="Q72" s="3">
        <v>2025</v>
      </c>
      <c r="R72" s="6" t="s">
        <v>80</v>
      </c>
      <c r="S72" s="6" t="s">
        <v>45</v>
      </c>
      <c r="Y72" t="s">
        <v>47</v>
      </c>
    </row>
    <row r="73" spans="1:25" ht="28.8">
      <c r="A73">
        <v>50</v>
      </c>
      <c r="B73" s="2" t="s">
        <v>381</v>
      </c>
      <c r="C73" s="19" t="s">
        <v>382</v>
      </c>
      <c r="D73" s="44" t="s">
        <v>383</v>
      </c>
      <c r="E73" s="2" t="s">
        <v>182</v>
      </c>
      <c r="F73" s="68" t="s">
        <v>370</v>
      </c>
      <c r="G73" s="48" t="s">
        <v>384</v>
      </c>
      <c r="H73" s="5" t="s">
        <v>372</v>
      </c>
      <c r="I73" s="116" t="s">
        <v>373</v>
      </c>
      <c r="J73" s="6" t="s">
        <v>88</v>
      </c>
      <c r="K73" s="6" t="s">
        <v>386</v>
      </c>
      <c r="L73" s="3"/>
      <c r="M73" s="16" t="s">
        <v>255</v>
      </c>
      <c r="N73" s="3" t="str">
        <f t="shared" si="1"/>
        <v/>
      </c>
      <c r="O73" s="3" t="s">
        <v>202</v>
      </c>
      <c r="P73" s="3" t="s">
        <v>256</v>
      </c>
      <c r="Q73" s="3">
        <v>2025</v>
      </c>
      <c r="R73" s="6" t="s">
        <v>80</v>
      </c>
      <c r="S73" s="6" t="s">
        <v>45</v>
      </c>
      <c r="Y73" t="s">
        <v>47</v>
      </c>
    </row>
    <row r="74" spans="1:25" ht="21.6">
      <c r="A74">
        <v>51</v>
      </c>
      <c r="B74" s="2" t="s">
        <v>387</v>
      </c>
      <c r="C74" s="19" t="s">
        <v>388</v>
      </c>
      <c r="D74" s="44" t="s">
        <v>389</v>
      </c>
      <c r="E74" s="2" t="s">
        <v>182</v>
      </c>
      <c r="F74" s="68" t="s">
        <v>390</v>
      </c>
      <c r="G74" s="48" t="s">
        <v>391</v>
      </c>
      <c r="H74" s="5" t="s">
        <v>392</v>
      </c>
      <c r="I74" s="116" t="s">
        <v>393</v>
      </c>
      <c r="J74" s="6" t="s">
        <v>88</v>
      </c>
      <c r="K74" s="6" t="s">
        <v>394</v>
      </c>
      <c r="L74" s="3"/>
      <c r="M74" s="16" t="s">
        <v>255</v>
      </c>
      <c r="N74" s="3" t="str">
        <f t="shared" si="1"/>
        <v/>
      </c>
      <c r="O74" s="3" t="s">
        <v>202</v>
      </c>
      <c r="P74" s="3" t="s">
        <v>256</v>
      </c>
      <c r="Q74" s="3">
        <v>2025</v>
      </c>
      <c r="R74" s="6" t="s">
        <v>80</v>
      </c>
      <c r="S74" s="6" t="s">
        <v>395</v>
      </c>
      <c r="Y74" t="s">
        <v>47</v>
      </c>
    </row>
    <row r="75" spans="1:25" ht="31.8">
      <c r="A75">
        <v>52</v>
      </c>
      <c r="B75" s="2" t="s">
        <v>396</v>
      </c>
      <c r="C75" s="19" t="s">
        <v>397</v>
      </c>
      <c r="D75" s="44" t="s">
        <v>398</v>
      </c>
      <c r="E75" s="2" t="s">
        <v>182</v>
      </c>
      <c r="F75" s="68" t="s">
        <v>377</v>
      </c>
      <c r="G75" s="48" t="s">
        <v>378</v>
      </c>
      <c r="H75" s="5" t="s">
        <v>372</v>
      </c>
      <c r="I75" s="116" t="s">
        <v>373</v>
      </c>
      <c r="J75" s="6" t="s">
        <v>88</v>
      </c>
      <c r="K75" s="6" t="s">
        <v>399</v>
      </c>
      <c r="L75" s="3"/>
      <c r="M75" s="16" t="s">
        <v>255</v>
      </c>
      <c r="N75" s="3" t="str">
        <f t="shared" si="1"/>
        <v/>
      </c>
      <c r="O75" s="3" t="s">
        <v>202</v>
      </c>
      <c r="P75" s="3" t="s">
        <v>256</v>
      </c>
      <c r="Q75" s="3">
        <v>2025</v>
      </c>
      <c r="R75" s="6" t="s">
        <v>80</v>
      </c>
      <c r="S75" s="6" t="s">
        <v>45</v>
      </c>
      <c r="Y75" t="s">
        <v>47</v>
      </c>
    </row>
    <row r="76" spans="1:25" ht="21.6">
      <c r="A76">
        <v>53</v>
      </c>
      <c r="B76" s="2" t="s">
        <v>400</v>
      </c>
      <c r="C76" s="19" t="s">
        <v>401</v>
      </c>
      <c r="D76" s="44" t="s">
        <v>402</v>
      </c>
      <c r="E76" s="2" t="s">
        <v>182</v>
      </c>
      <c r="F76" s="68" t="s">
        <v>235</v>
      </c>
      <c r="G76" s="48" t="s">
        <v>403</v>
      </c>
      <c r="H76" s="5"/>
      <c r="I76" s="116" t="s">
        <v>404</v>
      </c>
      <c r="J76" s="6" t="s">
        <v>48</v>
      </c>
      <c r="K76" s="6" t="s">
        <v>238</v>
      </c>
      <c r="L76" s="3"/>
      <c r="M76" s="16" t="s">
        <v>255</v>
      </c>
      <c r="N76" s="3" t="str">
        <f t="shared" si="1"/>
        <v/>
      </c>
      <c r="O76" s="3" t="s">
        <v>202</v>
      </c>
      <c r="P76" s="3" t="s">
        <v>256</v>
      </c>
      <c r="Q76" s="3">
        <v>2025</v>
      </c>
      <c r="R76" s="6" t="s">
        <v>80</v>
      </c>
      <c r="S76" s="6" t="s">
        <v>45</v>
      </c>
      <c r="Y76" t="s">
        <v>47</v>
      </c>
    </row>
    <row r="77" spans="1:25" ht="28.8">
      <c r="A77">
        <v>54</v>
      </c>
      <c r="B77" s="2" t="s">
        <v>405</v>
      </c>
      <c r="C77" s="19" t="s">
        <v>406</v>
      </c>
      <c r="D77" s="44" t="s">
        <v>369</v>
      </c>
      <c r="E77" s="2" t="s">
        <v>182</v>
      </c>
      <c r="F77" s="68" t="s">
        <v>370</v>
      </c>
      <c r="G77" s="48" t="s">
        <v>407</v>
      </c>
      <c r="H77" s="5" t="s">
        <v>372</v>
      </c>
      <c r="I77" s="116" t="s">
        <v>373</v>
      </c>
      <c r="J77" s="6" t="s">
        <v>92</v>
      </c>
      <c r="K77" s="6" t="s">
        <v>408</v>
      </c>
      <c r="L77" s="3"/>
      <c r="M77" s="16" t="s">
        <v>255</v>
      </c>
      <c r="N77" s="3" t="str">
        <f t="shared" si="1"/>
        <v/>
      </c>
      <c r="O77" s="3" t="s">
        <v>202</v>
      </c>
      <c r="P77" s="3" t="s">
        <v>256</v>
      </c>
      <c r="Q77" s="3">
        <v>2025</v>
      </c>
      <c r="R77" s="6" t="s">
        <v>80</v>
      </c>
      <c r="S77" s="6" t="s">
        <v>45</v>
      </c>
      <c r="Y77" t="s">
        <v>47</v>
      </c>
    </row>
    <row r="78" spans="1:25" ht="28.8">
      <c r="A78">
        <v>55</v>
      </c>
      <c r="B78" s="2" t="s">
        <v>409</v>
      </c>
      <c r="C78" s="19" t="s">
        <v>410</v>
      </c>
      <c r="D78" s="44" t="s">
        <v>383</v>
      </c>
      <c r="E78" s="2" t="s">
        <v>182</v>
      </c>
      <c r="F78" s="68" t="s">
        <v>370</v>
      </c>
      <c r="G78" s="48" t="s">
        <v>411</v>
      </c>
      <c r="H78" s="5" t="s">
        <v>372</v>
      </c>
      <c r="I78" s="116" t="s">
        <v>373</v>
      </c>
      <c r="J78" s="6" t="s">
        <v>88</v>
      </c>
      <c r="K78" s="6" t="s">
        <v>412</v>
      </c>
      <c r="L78" s="3"/>
      <c r="M78" s="16" t="s">
        <v>255</v>
      </c>
      <c r="N78" s="3" t="str">
        <f t="shared" si="1"/>
        <v/>
      </c>
      <c r="O78" s="3" t="s">
        <v>202</v>
      </c>
      <c r="P78" s="3" t="s">
        <v>256</v>
      </c>
      <c r="Q78" s="3">
        <v>2025</v>
      </c>
      <c r="R78" s="6" t="s">
        <v>80</v>
      </c>
      <c r="S78" s="6" t="s">
        <v>45</v>
      </c>
      <c r="Y78" t="s">
        <v>47</v>
      </c>
    </row>
    <row r="79" spans="1:25" ht="28.8">
      <c r="A79">
        <v>56</v>
      </c>
      <c r="B79" s="2" t="s">
        <v>413</v>
      </c>
      <c r="C79" s="19" t="s">
        <v>414</v>
      </c>
      <c r="D79" s="44" t="s">
        <v>415</v>
      </c>
      <c r="E79" s="2" t="s">
        <v>182</v>
      </c>
      <c r="F79" s="68" t="s">
        <v>370</v>
      </c>
      <c r="G79" s="48" t="s">
        <v>416</v>
      </c>
      <c r="H79" s="5" t="s">
        <v>372</v>
      </c>
      <c r="I79" s="116" t="s">
        <v>373</v>
      </c>
      <c r="J79" s="6" t="s">
        <v>92</v>
      </c>
      <c r="K79" s="6" t="s">
        <v>417</v>
      </c>
      <c r="L79" s="3"/>
      <c r="M79" s="16" t="s">
        <v>255</v>
      </c>
      <c r="N79" s="3" t="str">
        <f t="shared" si="1"/>
        <v/>
      </c>
      <c r="O79" s="3" t="s">
        <v>202</v>
      </c>
      <c r="P79" s="3" t="s">
        <v>256</v>
      </c>
      <c r="Q79" s="3">
        <v>2025</v>
      </c>
      <c r="R79" s="6" t="s">
        <v>80</v>
      </c>
      <c r="S79" s="6" t="s">
        <v>45</v>
      </c>
      <c r="Y79" t="s">
        <v>47</v>
      </c>
    </row>
    <row r="80" spans="1:25" ht="28.8">
      <c r="A80">
        <v>57</v>
      </c>
      <c r="B80" s="2" t="s">
        <v>418</v>
      </c>
      <c r="C80" s="19" t="s">
        <v>419</v>
      </c>
      <c r="D80" s="44" t="s">
        <v>383</v>
      </c>
      <c r="E80" s="2" t="s">
        <v>182</v>
      </c>
      <c r="F80" s="68" t="s">
        <v>370</v>
      </c>
      <c r="G80" s="48" t="s">
        <v>420</v>
      </c>
      <c r="H80" s="5" t="s">
        <v>372</v>
      </c>
      <c r="I80" s="116" t="s">
        <v>373</v>
      </c>
      <c r="J80" s="6" t="s">
        <v>88</v>
      </c>
      <c r="K80" s="6" t="s">
        <v>421</v>
      </c>
      <c r="L80" s="3"/>
      <c r="M80" s="16" t="s">
        <v>255</v>
      </c>
      <c r="N80" s="3" t="str">
        <f t="shared" si="1"/>
        <v/>
      </c>
      <c r="O80" s="3" t="s">
        <v>202</v>
      </c>
      <c r="P80" s="3" t="s">
        <v>256</v>
      </c>
      <c r="Q80" s="3">
        <v>2025</v>
      </c>
      <c r="R80" s="6" t="s">
        <v>422</v>
      </c>
      <c r="S80" s="6" t="s">
        <v>45</v>
      </c>
      <c r="Y80" t="s">
        <v>47</v>
      </c>
    </row>
    <row r="81" spans="1:25" ht="28.8">
      <c r="A81">
        <v>57</v>
      </c>
      <c r="B81" s="2" t="s">
        <v>418</v>
      </c>
      <c r="C81" s="19" t="s">
        <v>419</v>
      </c>
      <c r="D81" s="44" t="s">
        <v>383</v>
      </c>
      <c r="E81" s="2" t="s">
        <v>182</v>
      </c>
      <c r="F81" s="68" t="s">
        <v>370</v>
      </c>
      <c r="G81" s="48" t="s">
        <v>420</v>
      </c>
      <c r="H81" s="5" t="s">
        <v>372</v>
      </c>
      <c r="I81" s="116" t="s">
        <v>373</v>
      </c>
      <c r="J81" s="6" t="s">
        <v>145</v>
      </c>
      <c r="K81" s="6" t="s">
        <v>421</v>
      </c>
      <c r="L81" s="3"/>
      <c r="M81" s="16" t="s">
        <v>255</v>
      </c>
      <c r="N81" s="3" t="str">
        <f t="shared" si="1"/>
        <v/>
      </c>
      <c r="O81" s="3" t="s">
        <v>202</v>
      </c>
      <c r="P81" s="3" t="s">
        <v>256</v>
      </c>
      <c r="Q81" s="3">
        <v>2025</v>
      </c>
      <c r="R81" s="6" t="s">
        <v>422</v>
      </c>
      <c r="S81" s="6" t="s">
        <v>45</v>
      </c>
      <c r="Y81" t="s">
        <v>47</v>
      </c>
    </row>
    <row r="82" spans="1:25">
      <c r="A82">
        <v>58</v>
      </c>
      <c r="B82" s="2" t="s">
        <v>423</v>
      </c>
      <c r="C82" s="19" t="s">
        <v>424</v>
      </c>
      <c r="D82" s="44" t="s">
        <v>225</v>
      </c>
      <c r="E82" s="2" t="s">
        <v>182</v>
      </c>
      <c r="F82" s="68" t="s">
        <v>425</v>
      </c>
      <c r="G82" s="48" t="s">
        <v>426</v>
      </c>
      <c r="I82" s="116" t="s">
        <v>220</v>
      </c>
      <c r="J82" s="6" t="s">
        <v>48</v>
      </c>
      <c r="K82" s="6" t="s">
        <v>427</v>
      </c>
      <c r="L82" s="3"/>
      <c r="M82" s="16" t="s">
        <v>255</v>
      </c>
      <c r="N82" s="3" t="str">
        <f t="shared" si="1"/>
        <v/>
      </c>
      <c r="O82" s="3" t="s">
        <v>202</v>
      </c>
      <c r="P82" s="3" t="s">
        <v>256</v>
      </c>
      <c r="Q82" s="3">
        <v>2025</v>
      </c>
      <c r="R82" s="6" t="s">
        <v>80</v>
      </c>
      <c r="S82" s="6" t="s">
        <v>45</v>
      </c>
      <c r="Y82" t="s">
        <v>47</v>
      </c>
    </row>
    <row r="83" spans="1:25">
      <c r="A83">
        <v>59</v>
      </c>
      <c r="B83" s="2" t="s">
        <v>428</v>
      </c>
      <c r="C83" s="19" t="s">
        <v>429</v>
      </c>
      <c r="D83" s="44" t="s">
        <v>430</v>
      </c>
      <c r="E83" s="2" t="s">
        <v>182</v>
      </c>
      <c r="F83" s="68" t="s">
        <v>425</v>
      </c>
      <c r="G83" s="48" t="s">
        <v>426</v>
      </c>
      <c r="I83" s="116" t="s">
        <v>220</v>
      </c>
      <c r="J83" s="6" t="s">
        <v>48</v>
      </c>
      <c r="K83" s="6" t="s">
        <v>431</v>
      </c>
      <c r="L83" s="3"/>
      <c r="M83" s="16" t="s">
        <v>255</v>
      </c>
      <c r="N83" s="3" t="str">
        <f t="shared" si="1"/>
        <v/>
      </c>
      <c r="O83" s="3" t="s">
        <v>202</v>
      </c>
      <c r="P83" s="3" t="s">
        <v>256</v>
      </c>
      <c r="Q83" s="3">
        <v>2025</v>
      </c>
      <c r="R83" s="6" t="s">
        <v>80</v>
      </c>
      <c r="S83" s="6" t="s">
        <v>45</v>
      </c>
      <c r="Y83" t="s">
        <v>47</v>
      </c>
    </row>
    <row r="84" spans="1:25" ht="28.8">
      <c r="A84">
        <v>60</v>
      </c>
      <c r="B84" s="2" t="s">
        <v>432</v>
      </c>
      <c r="C84" s="19" t="s">
        <v>433</v>
      </c>
      <c r="D84" s="44" t="s">
        <v>434</v>
      </c>
      <c r="E84" s="2" t="s">
        <v>182</v>
      </c>
      <c r="F84" s="68" t="s">
        <v>435</v>
      </c>
      <c r="G84" s="48" t="s">
        <v>436</v>
      </c>
      <c r="H84" s="5" t="s">
        <v>437</v>
      </c>
      <c r="I84" s="116" t="s">
        <v>438</v>
      </c>
      <c r="J84" s="6" t="s">
        <v>48</v>
      </c>
      <c r="K84" s="6" t="s">
        <v>439</v>
      </c>
      <c r="L84" s="3"/>
      <c r="M84" s="16" t="s">
        <v>255</v>
      </c>
      <c r="N84" s="3" t="str">
        <f t="shared" si="1"/>
        <v/>
      </c>
      <c r="O84" s="3" t="s">
        <v>202</v>
      </c>
      <c r="P84" s="3" t="s">
        <v>256</v>
      </c>
      <c r="Q84" s="3">
        <v>2025</v>
      </c>
      <c r="R84" s="6" t="s">
        <v>315</v>
      </c>
      <c r="S84" s="6" t="s">
        <v>45</v>
      </c>
      <c r="Y84" t="s">
        <v>47</v>
      </c>
    </row>
    <row r="85" spans="1:25" ht="28.8">
      <c r="A85">
        <v>60</v>
      </c>
      <c r="B85" s="2" t="s">
        <v>432</v>
      </c>
      <c r="C85" s="19" t="s">
        <v>433</v>
      </c>
      <c r="D85" s="44" t="s">
        <v>434</v>
      </c>
      <c r="E85" s="2" t="s">
        <v>182</v>
      </c>
      <c r="F85" s="68" t="s">
        <v>435</v>
      </c>
      <c r="G85" s="48" t="s">
        <v>436</v>
      </c>
      <c r="H85" s="5" t="s">
        <v>437</v>
      </c>
      <c r="I85" s="116" t="s">
        <v>438</v>
      </c>
      <c r="J85" s="6" t="s">
        <v>145</v>
      </c>
      <c r="K85" s="6" t="s">
        <v>439</v>
      </c>
      <c r="L85" s="3"/>
      <c r="M85" s="16" t="s">
        <v>255</v>
      </c>
      <c r="N85" s="3" t="str">
        <f t="shared" si="1"/>
        <v/>
      </c>
      <c r="O85" s="3" t="s">
        <v>202</v>
      </c>
      <c r="P85" s="3" t="s">
        <v>256</v>
      </c>
      <c r="Q85" s="3">
        <v>2025</v>
      </c>
      <c r="R85" s="6" t="s">
        <v>315</v>
      </c>
      <c r="S85" s="6" t="s">
        <v>45</v>
      </c>
      <c r="Y85" t="s">
        <v>47</v>
      </c>
    </row>
    <row r="86" spans="1:25" ht="28.8">
      <c r="A86">
        <v>61</v>
      </c>
      <c r="B86" s="2" t="s">
        <v>432</v>
      </c>
      <c r="C86" s="19" t="s">
        <v>433</v>
      </c>
      <c r="D86" s="44" t="s">
        <v>434</v>
      </c>
      <c r="E86" s="2" t="s">
        <v>182</v>
      </c>
      <c r="F86" s="68" t="s">
        <v>435</v>
      </c>
      <c r="G86" s="48" t="s">
        <v>436</v>
      </c>
      <c r="H86" s="5" t="s">
        <v>437</v>
      </c>
      <c r="I86" s="116" t="s">
        <v>438</v>
      </c>
      <c r="J86" s="6" t="s">
        <v>48</v>
      </c>
      <c r="K86" s="6" t="s">
        <v>440</v>
      </c>
      <c r="L86" s="3"/>
      <c r="M86" s="16" t="s">
        <v>255</v>
      </c>
      <c r="N86" s="3" t="str">
        <f t="shared" si="1"/>
        <v/>
      </c>
      <c r="O86" s="3" t="s">
        <v>202</v>
      </c>
      <c r="P86" s="3" t="s">
        <v>256</v>
      </c>
      <c r="Q86" s="3">
        <v>2025</v>
      </c>
      <c r="R86" s="6" t="s">
        <v>315</v>
      </c>
      <c r="S86" s="6" t="s">
        <v>45</v>
      </c>
      <c r="Y86" t="s">
        <v>47</v>
      </c>
    </row>
    <row r="87" spans="1:25" ht="28.8">
      <c r="A87">
        <v>61</v>
      </c>
      <c r="B87" s="2" t="s">
        <v>432</v>
      </c>
      <c r="C87" s="19" t="s">
        <v>433</v>
      </c>
      <c r="D87" s="44" t="s">
        <v>434</v>
      </c>
      <c r="E87" s="2" t="s">
        <v>182</v>
      </c>
      <c r="F87" s="68" t="s">
        <v>435</v>
      </c>
      <c r="G87" s="48" t="s">
        <v>436</v>
      </c>
      <c r="H87" s="5" t="s">
        <v>437</v>
      </c>
      <c r="I87" s="116" t="s">
        <v>438</v>
      </c>
      <c r="J87" s="6" t="s">
        <v>145</v>
      </c>
      <c r="K87" s="6" t="s">
        <v>440</v>
      </c>
      <c r="L87" s="3"/>
      <c r="M87" s="16" t="s">
        <v>255</v>
      </c>
      <c r="N87" s="3" t="str">
        <f t="shared" si="1"/>
        <v/>
      </c>
      <c r="O87" s="3" t="s">
        <v>202</v>
      </c>
      <c r="P87" s="3" t="s">
        <v>256</v>
      </c>
      <c r="Q87" s="3">
        <v>2025</v>
      </c>
      <c r="R87" s="6" t="s">
        <v>315</v>
      </c>
      <c r="S87" s="6" t="s">
        <v>45</v>
      </c>
      <c r="Y87" t="s">
        <v>47</v>
      </c>
    </row>
    <row r="88" spans="1:25" ht="28.8">
      <c r="A88">
        <v>62</v>
      </c>
      <c r="B88" s="2" t="s">
        <v>432</v>
      </c>
      <c r="C88" s="19" t="s">
        <v>433</v>
      </c>
      <c r="D88" s="44" t="s">
        <v>434</v>
      </c>
      <c r="E88" s="2" t="s">
        <v>182</v>
      </c>
      <c r="F88" s="68" t="s">
        <v>435</v>
      </c>
      <c r="G88" s="48" t="s">
        <v>436</v>
      </c>
      <c r="H88" s="5" t="s">
        <v>437</v>
      </c>
      <c r="I88" s="116" t="s">
        <v>438</v>
      </c>
      <c r="J88" s="6" t="s">
        <v>145</v>
      </c>
      <c r="K88" s="6" t="s">
        <v>441</v>
      </c>
      <c r="L88" s="3"/>
      <c r="M88" s="16" t="s">
        <v>255</v>
      </c>
      <c r="N88" s="3" t="str">
        <f t="shared" si="1"/>
        <v/>
      </c>
      <c r="O88" s="3" t="s">
        <v>202</v>
      </c>
      <c r="P88" s="3" t="s">
        <v>256</v>
      </c>
      <c r="Q88" s="3">
        <v>2025</v>
      </c>
      <c r="R88" s="6" t="s">
        <v>315</v>
      </c>
      <c r="S88" s="6" t="s">
        <v>45</v>
      </c>
      <c r="Y88" t="s">
        <v>47</v>
      </c>
    </row>
    <row r="89" spans="1:25" ht="31.8">
      <c r="A89">
        <v>63</v>
      </c>
      <c r="B89" s="2" t="s">
        <v>442</v>
      </c>
      <c r="C89" s="19" t="s">
        <v>443</v>
      </c>
      <c r="D89" s="44" t="s">
        <v>444</v>
      </c>
      <c r="E89" s="2" t="s">
        <v>182</v>
      </c>
      <c r="F89" s="68" t="s">
        <v>226</v>
      </c>
      <c r="G89" s="48" t="s">
        <v>445</v>
      </c>
      <c r="H89" s="5" t="s">
        <v>228</v>
      </c>
      <c r="I89" s="116" t="s">
        <v>229</v>
      </c>
      <c r="J89" s="6" t="s">
        <v>92</v>
      </c>
      <c r="K89" s="6" t="s">
        <v>446</v>
      </c>
      <c r="L89" s="3"/>
      <c r="M89" s="16" t="s">
        <v>255</v>
      </c>
      <c r="N89" s="3" t="str">
        <f t="shared" si="1"/>
        <v/>
      </c>
      <c r="O89" s="3" t="s">
        <v>202</v>
      </c>
      <c r="P89" s="3" t="s">
        <v>256</v>
      </c>
      <c r="Q89" s="3">
        <v>2025</v>
      </c>
      <c r="R89" s="6" t="s">
        <v>447</v>
      </c>
      <c r="S89" s="6" t="s">
        <v>448</v>
      </c>
      <c r="Y89" t="s">
        <v>47</v>
      </c>
    </row>
    <row r="90" spans="1:25" ht="31.8">
      <c r="A90">
        <v>64</v>
      </c>
      <c r="B90" s="2" t="s">
        <v>442</v>
      </c>
      <c r="C90" s="19" t="s">
        <v>443</v>
      </c>
      <c r="D90" s="44" t="s">
        <v>444</v>
      </c>
      <c r="E90" s="2" t="s">
        <v>182</v>
      </c>
      <c r="F90" s="68" t="s">
        <v>226</v>
      </c>
      <c r="G90" s="48" t="s">
        <v>445</v>
      </c>
      <c r="H90" s="5" t="s">
        <v>228</v>
      </c>
      <c r="I90" s="116" t="s">
        <v>229</v>
      </c>
      <c r="J90" s="6" t="s">
        <v>88</v>
      </c>
      <c r="K90" s="6" t="s">
        <v>446</v>
      </c>
      <c r="L90" s="3"/>
      <c r="M90" s="16" t="s">
        <v>255</v>
      </c>
      <c r="N90" s="3" t="str">
        <f t="shared" si="1"/>
        <v/>
      </c>
      <c r="O90" s="3" t="s">
        <v>202</v>
      </c>
      <c r="P90" s="3" t="s">
        <v>256</v>
      </c>
      <c r="Q90" s="3">
        <v>2025</v>
      </c>
      <c r="R90" s="6" t="s">
        <v>447</v>
      </c>
      <c r="S90" s="6" t="s">
        <v>45</v>
      </c>
      <c r="Y90" t="s">
        <v>47</v>
      </c>
    </row>
    <row r="91" spans="1:25" ht="31.8">
      <c r="A91">
        <v>64</v>
      </c>
      <c r="B91" s="2" t="s">
        <v>442</v>
      </c>
      <c r="C91" s="19" t="s">
        <v>443</v>
      </c>
      <c r="D91" s="44" t="s">
        <v>444</v>
      </c>
      <c r="E91" s="2" t="s">
        <v>182</v>
      </c>
      <c r="F91" s="68" t="s">
        <v>226</v>
      </c>
      <c r="G91" s="48" t="s">
        <v>445</v>
      </c>
      <c r="H91" s="5" t="s">
        <v>228</v>
      </c>
      <c r="I91" s="116" t="s">
        <v>229</v>
      </c>
      <c r="J91" s="6" t="s">
        <v>145</v>
      </c>
      <c r="K91" s="6" t="s">
        <v>446</v>
      </c>
      <c r="L91" s="3"/>
      <c r="M91" s="16" t="s">
        <v>255</v>
      </c>
      <c r="N91" s="3" t="str">
        <f t="shared" si="1"/>
        <v/>
      </c>
      <c r="O91" s="3" t="s">
        <v>202</v>
      </c>
      <c r="P91" s="3" t="s">
        <v>256</v>
      </c>
      <c r="Q91" s="3">
        <v>2025</v>
      </c>
      <c r="R91" s="6" t="s">
        <v>447</v>
      </c>
      <c r="S91" s="6" t="s">
        <v>45</v>
      </c>
      <c r="Y91" t="s">
        <v>47</v>
      </c>
    </row>
    <row r="92" spans="1:25" ht="28.8">
      <c r="A92">
        <v>65</v>
      </c>
      <c r="B92" s="2" t="s">
        <v>194</v>
      </c>
      <c r="C92" s="19" t="s">
        <v>195</v>
      </c>
      <c r="D92" s="44" t="s">
        <v>196</v>
      </c>
      <c r="E92" s="2" t="s">
        <v>182</v>
      </c>
      <c r="F92" s="68" t="s">
        <v>360</v>
      </c>
      <c r="G92" s="48" t="s">
        <v>361</v>
      </c>
      <c r="H92" s="5" t="s">
        <v>449</v>
      </c>
      <c r="I92" s="116" t="s">
        <v>450</v>
      </c>
      <c r="J92" s="6" t="s">
        <v>48</v>
      </c>
      <c r="K92" s="6" t="s">
        <v>451</v>
      </c>
      <c r="L92" s="3"/>
      <c r="M92" s="16" t="s">
        <v>255</v>
      </c>
      <c r="N92" s="3" t="str">
        <f t="shared" si="1"/>
        <v/>
      </c>
      <c r="O92" s="3" t="s">
        <v>202</v>
      </c>
      <c r="P92" s="3" t="s">
        <v>256</v>
      </c>
      <c r="Q92" s="3">
        <v>2025</v>
      </c>
      <c r="R92" s="6" t="s">
        <v>315</v>
      </c>
      <c r="S92" s="6" t="s">
        <v>366</v>
      </c>
      <c r="Y92" t="s">
        <v>47</v>
      </c>
    </row>
    <row r="93" spans="1:25" ht="28.8">
      <c r="A93">
        <v>66</v>
      </c>
      <c r="B93" s="2" t="s">
        <v>452</v>
      </c>
      <c r="C93" s="19" t="s">
        <v>453</v>
      </c>
      <c r="D93" s="44" t="s">
        <v>454</v>
      </c>
      <c r="E93" s="2" t="s">
        <v>182</v>
      </c>
      <c r="F93" s="68" t="s">
        <v>360</v>
      </c>
      <c r="G93" s="48" t="s">
        <v>361</v>
      </c>
      <c r="H93" s="5" t="s">
        <v>449</v>
      </c>
      <c r="I93" s="116" t="s">
        <v>450</v>
      </c>
      <c r="J93" s="6" t="s">
        <v>145</v>
      </c>
      <c r="K93" s="6" t="s">
        <v>455</v>
      </c>
      <c r="L93" s="3"/>
      <c r="M93" s="16" t="s">
        <v>255</v>
      </c>
      <c r="N93" s="3" t="str">
        <f t="shared" si="1"/>
        <v/>
      </c>
      <c r="O93" s="3" t="s">
        <v>202</v>
      </c>
      <c r="P93" s="3" t="s">
        <v>256</v>
      </c>
      <c r="Q93" s="3">
        <v>2025</v>
      </c>
      <c r="R93" s="6" t="s">
        <v>315</v>
      </c>
      <c r="S93" s="6" t="s">
        <v>45</v>
      </c>
      <c r="Y93" t="s">
        <v>47</v>
      </c>
    </row>
    <row r="94" spans="1:25" ht="28.8">
      <c r="A94">
        <v>67</v>
      </c>
      <c r="B94" s="2" t="s">
        <v>456</v>
      </c>
      <c r="C94" s="19" t="s">
        <v>195</v>
      </c>
      <c r="D94" s="44" t="s">
        <v>457</v>
      </c>
      <c r="E94" s="2" t="s">
        <v>182</v>
      </c>
      <c r="F94" s="68" t="s">
        <v>360</v>
      </c>
      <c r="G94" s="48" t="s">
        <v>361</v>
      </c>
      <c r="H94" s="5" t="s">
        <v>449</v>
      </c>
      <c r="I94" s="116" t="s">
        <v>450</v>
      </c>
      <c r="J94" s="6" t="s">
        <v>145</v>
      </c>
      <c r="K94" s="6" t="s">
        <v>458</v>
      </c>
      <c r="L94" s="3"/>
      <c r="M94" s="16" t="s">
        <v>255</v>
      </c>
      <c r="N94" s="3" t="str">
        <f t="shared" si="1"/>
        <v/>
      </c>
      <c r="O94" s="3" t="s">
        <v>202</v>
      </c>
      <c r="P94" s="3" t="s">
        <v>256</v>
      </c>
      <c r="Q94" s="3">
        <v>2025</v>
      </c>
      <c r="R94" s="6" t="s">
        <v>315</v>
      </c>
      <c r="S94" s="6" t="s">
        <v>45</v>
      </c>
      <c r="Y94" t="s">
        <v>47</v>
      </c>
    </row>
    <row r="95" spans="1:25" ht="21.6">
      <c r="A95">
        <v>68</v>
      </c>
      <c r="B95" s="2" t="s">
        <v>459</v>
      </c>
      <c r="C95" s="19" t="s">
        <v>460</v>
      </c>
      <c r="D95" s="44" t="s">
        <v>383</v>
      </c>
      <c r="E95" s="2" t="s">
        <v>182</v>
      </c>
      <c r="F95" s="68" t="s">
        <v>370</v>
      </c>
      <c r="G95" s="48" t="s">
        <v>461</v>
      </c>
      <c r="J95" s="6" t="s">
        <v>48</v>
      </c>
      <c r="K95" s="6" t="s">
        <v>462</v>
      </c>
      <c r="L95" s="3"/>
      <c r="M95" s="16" t="s">
        <v>255</v>
      </c>
      <c r="N95" s="3" t="str">
        <f t="shared" si="1"/>
        <v/>
      </c>
      <c r="O95" s="3"/>
      <c r="P95" s="3" t="s">
        <v>256</v>
      </c>
      <c r="Q95" s="3">
        <v>2025</v>
      </c>
      <c r="R95" s="6" t="s">
        <v>422</v>
      </c>
      <c r="S95" s="6" t="s">
        <v>45</v>
      </c>
      <c r="T95" t="s">
        <v>463</v>
      </c>
      <c r="Y95" t="s">
        <v>47</v>
      </c>
    </row>
    <row r="96" spans="1:25" ht="28.8">
      <c r="A96">
        <v>68</v>
      </c>
      <c r="B96" s="2" t="s">
        <v>459</v>
      </c>
      <c r="C96" s="19" t="s">
        <v>460</v>
      </c>
      <c r="D96" s="44" t="s">
        <v>383</v>
      </c>
      <c r="E96" s="2" t="s">
        <v>182</v>
      </c>
      <c r="F96" s="68" t="s">
        <v>370</v>
      </c>
      <c r="G96" s="48" t="s">
        <v>461</v>
      </c>
      <c r="H96" s="5" t="s">
        <v>464</v>
      </c>
      <c r="J96" s="6" t="s">
        <v>145</v>
      </c>
      <c r="K96" s="6" t="s">
        <v>462</v>
      </c>
      <c r="L96" s="3"/>
      <c r="M96" s="16" t="s">
        <v>255</v>
      </c>
      <c r="N96" s="3" t="str">
        <f t="shared" si="1"/>
        <v/>
      </c>
      <c r="O96" s="3"/>
      <c r="P96" s="3" t="s">
        <v>256</v>
      </c>
      <c r="Q96" s="3">
        <v>2025</v>
      </c>
      <c r="R96" s="6" t="s">
        <v>422</v>
      </c>
      <c r="S96" s="6" t="s">
        <v>45</v>
      </c>
      <c r="T96" t="s">
        <v>463</v>
      </c>
      <c r="Y96" t="s">
        <v>47</v>
      </c>
    </row>
    <row r="97" spans="1:29" ht="21.6">
      <c r="A97">
        <v>69</v>
      </c>
      <c r="B97" s="2" t="s">
        <v>465</v>
      </c>
      <c r="C97" s="19" t="s">
        <v>466</v>
      </c>
      <c r="D97" s="44" t="s">
        <v>467</v>
      </c>
      <c r="E97" s="2" t="s">
        <v>33</v>
      </c>
      <c r="F97" s="68" t="s">
        <v>468</v>
      </c>
      <c r="G97" s="48" t="s">
        <v>469</v>
      </c>
      <c r="H97" s="5" t="s">
        <v>143</v>
      </c>
      <c r="I97" s="117" t="s">
        <v>144</v>
      </c>
      <c r="J97" s="6" t="s">
        <v>145</v>
      </c>
      <c r="K97" s="6" t="s">
        <v>470</v>
      </c>
      <c r="L97" s="3" t="s">
        <v>40</v>
      </c>
      <c r="M97" s="16" t="s">
        <v>471</v>
      </c>
      <c r="N97" s="3" t="str">
        <f t="shared" si="1"/>
        <v>1  Year</v>
      </c>
      <c r="O97" s="3" t="s">
        <v>42</v>
      </c>
      <c r="P97" s="3" t="s">
        <v>472</v>
      </c>
      <c r="Q97" s="3">
        <v>2025</v>
      </c>
      <c r="R97" s="6" t="s">
        <v>44</v>
      </c>
      <c r="S97" s="6" t="s">
        <v>45</v>
      </c>
      <c r="T97" s="4" t="s">
        <v>473</v>
      </c>
      <c r="U97" t="s">
        <v>145</v>
      </c>
      <c r="W97" s="81">
        <v>0.73263888888888884</v>
      </c>
      <c r="X97" t="s">
        <v>163</v>
      </c>
      <c r="Y97" t="s">
        <v>103</v>
      </c>
      <c r="AB97" t="s">
        <v>105</v>
      </c>
      <c r="AC97" s="80"/>
    </row>
    <row r="98" spans="1:29" ht="21.6">
      <c r="A98">
        <v>70</v>
      </c>
      <c r="B98" s="2" t="s">
        <v>474</v>
      </c>
      <c r="C98" s="19" t="s">
        <v>139</v>
      </c>
      <c r="D98" s="44" t="s">
        <v>467</v>
      </c>
      <c r="E98" s="2" t="s">
        <v>33</v>
      </c>
      <c r="F98" s="68" t="s">
        <v>468</v>
      </c>
      <c r="G98" s="48" t="s">
        <v>469</v>
      </c>
      <c r="H98" s="5" t="s">
        <v>143</v>
      </c>
      <c r="I98" s="117" t="s">
        <v>144</v>
      </c>
      <c r="J98" s="6" t="s">
        <v>145</v>
      </c>
      <c r="K98" s="6" t="s">
        <v>475</v>
      </c>
      <c r="L98" s="3" t="s">
        <v>40</v>
      </c>
      <c r="M98" s="16" t="s">
        <v>471</v>
      </c>
      <c r="N98" s="3" t="str">
        <f t="shared" si="1"/>
        <v>1  Year</v>
      </c>
      <c r="O98" s="3" t="s">
        <v>42</v>
      </c>
      <c r="P98" s="3" t="s">
        <v>472</v>
      </c>
      <c r="Q98" s="3">
        <v>2025</v>
      </c>
      <c r="R98" s="6" t="s">
        <v>44</v>
      </c>
      <c r="S98" s="6" t="s">
        <v>45</v>
      </c>
      <c r="T98" s="4" t="s">
        <v>476</v>
      </c>
      <c r="U98" s="46" t="s">
        <v>162</v>
      </c>
      <c r="W98" s="81">
        <v>0.49722222222222223</v>
      </c>
      <c r="X98" t="s">
        <v>163</v>
      </c>
      <c r="Y98" t="s">
        <v>47</v>
      </c>
      <c r="Z98" t="s">
        <v>104</v>
      </c>
      <c r="AA98" s="4" t="s">
        <v>477</v>
      </c>
      <c r="AB98" t="s">
        <v>165</v>
      </c>
      <c r="AC98" t="s">
        <v>166</v>
      </c>
    </row>
    <row r="99" spans="1:29" ht="28.8">
      <c r="A99">
        <v>71</v>
      </c>
      <c r="B99" s="2" t="s">
        <v>478</v>
      </c>
      <c r="C99" s="19" t="s">
        <v>479</v>
      </c>
      <c r="D99" s="44" t="s">
        <v>480</v>
      </c>
      <c r="E99" s="2" t="s">
        <v>33</v>
      </c>
      <c r="F99" s="68" t="s">
        <v>481</v>
      </c>
      <c r="G99" s="48" t="s">
        <v>482</v>
      </c>
      <c r="H99" s="5" t="s">
        <v>483</v>
      </c>
      <c r="I99" s="116" t="s">
        <v>484</v>
      </c>
      <c r="J99" s="6" t="s">
        <v>38</v>
      </c>
      <c r="K99" s="6" t="s">
        <v>485</v>
      </c>
      <c r="L99" s="3" t="s">
        <v>40</v>
      </c>
      <c r="M99" s="16" t="s">
        <v>471</v>
      </c>
      <c r="N99" s="3" t="str">
        <f t="shared" si="1"/>
        <v>1  Year</v>
      </c>
      <c r="O99" s="3" t="s">
        <v>42</v>
      </c>
      <c r="P99" s="3" t="s">
        <v>472</v>
      </c>
      <c r="Q99" s="3">
        <v>2025</v>
      </c>
      <c r="R99" s="6" t="s">
        <v>44</v>
      </c>
      <c r="S99" s="6" t="s">
        <v>45</v>
      </c>
      <c r="T99" s="4" t="s">
        <v>486</v>
      </c>
      <c r="Y99" t="s">
        <v>47</v>
      </c>
    </row>
    <row r="100" spans="1:29" ht="28.8">
      <c r="A100">
        <v>72</v>
      </c>
      <c r="B100" s="2" t="s">
        <v>487</v>
      </c>
      <c r="C100" s="19" t="s">
        <v>488</v>
      </c>
      <c r="D100" s="44" t="s">
        <v>489</v>
      </c>
      <c r="E100" s="2" t="s">
        <v>52</v>
      </c>
      <c r="F100" s="68" t="s">
        <v>481</v>
      </c>
      <c r="G100" s="48" t="s">
        <v>482</v>
      </c>
      <c r="H100" s="5" t="s">
        <v>483</v>
      </c>
      <c r="I100" s="116" t="s">
        <v>484</v>
      </c>
      <c r="J100" s="6" t="s">
        <v>38</v>
      </c>
      <c r="K100" s="6" t="s">
        <v>490</v>
      </c>
      <c r="L100" s="3"/>
      <c r="M100" s="16" t="s">
        <v>471</v>
      </c>
      <c r="N100" s="3" t="str">
        <f t="shared" si="1"/>
        <v/>
      </c>
      <c r="O100" s="3" t="s">
        <v>42</v>
      </c>
      <c r="P100" s="3" t="s">
        <v>472</v>
      </c>
      <c r="Q100" s="3">
        <v>2025</v>
      </c>
      <c r="R100" s="6" t="s">
        <v>44</v>
      </c>
      <c r="S100" s="6" t="s">
        <v>45</v>
      </c>
      <c r="T100" s="4" t="s">
        <v>491</v>
      </c>
      <c r="Y100" t="s">
        <v>47</v>
      </c>
    </row>
    <row r="101" spans="1:29" ht="21.6">
      <c r="A101">
        <v>73</v>
      </c>
      <c r="B101" s="2" t="s">
        <v>492</v>
      </c>
      <c r="C101" s="19" t="s">
        <v>493</v>
      </c>
      <c r="D101" s="44" t="s">
        <v>494</v>
      </c>
      <c r="E101" s="2" t="s">
        <v>182</v>
      </c>
      <c r="F101" s="68" t="s">
        <v>495</v>
      </c>
      <c r="G101" s="48" t="s">
        <v>496</v>
      </c>
      <c r="J101" s="6" t="s">
        <v>145</v>
      </c>
      <c r="K101" s="6" t="s">
        <v>497</v>
      </c>
      <c r="L101" s="3" t="s">
        <v>40</v>
      </c>
      <c r="M101" s="16" t="s">
        <v>471</v>
      </c>
      <c r="N101" s="3" t="str">
        <f t="shared" si="1"/>
        <v>1  Year</v>
      </c>
      <c r="O101" s="3" t="s">
        <v>42</v>
      </c>
      <c r="P101" s="3" t="s">
        <v>472</v>
      </c>
      <c r="Q101" s="3">
        <v>2025</v>
      </c>
      <c r="R101" s="6" t="s">
        <v>498</v>
      </c>
      <c r="S101" s="6" t="s">
        <v>45</v>
      </c>
      <c r="T101" s="4" t="s">
        <v>499</v>
      </c>
      <c r="Y101" t="s">
        <v>47</v>
      </c>
    </row>
    <row r="102" spans="1:29" ht="21.6">
      <c r="A102">
        <v>74</v>
      </c>
      <c r="B102" s="2" t="s">
        <v>500</v>
      </c>
      <c r="C102" s="19" t="s">
        <v>501</v>
      </c>
      <c r="D102" s="44" t="s">
        <v>502</v>
      </c>
      <c r="E102" s="2" t="s">
        <v>33</v>
      </c>
      <c r="F102" s="68" t="s">
        <v>503</v>
      </c>
      <c r="G102" s="48" t="s">
        <v>504</v>
      </c>
      <c r="I102" s="116" t="s">
        <v>505</v>
      </c>
      <c r="J102" s="6" t="s">
        <v>88</v>
      </c>
      <c r="K102" s="6" t="s">
        <v>506</v>
      </c>
      <c r="L102" s="3" t="s">
        <v>90</v>
      </c>
      <c r="M102" s="16" t="s">
        <v>471</v>
      </c>
      <c r="N102" s="3" t="str">
        <f t="shared" si="1"/>
        <v>2 Years</v>
      </c>
      <c r="O102" s="3" t="s">
        <v>42</v>
      </c>
      <c r="P102" s="3" t="s">
        <v>472</v>
      </c>
      <c r="Q102" s="3">
        <v>2025</v>
      </c>
      <c r="R102" s="6" t="s">
        <v>44</v>
      </c>
      <c r="S102" s="6" t="s">
        <v>356</v>
      </c>
      <c r="T102" s="4" t="s">
        <v>507</v>
      </c>
      <c r="Y102" t="s">
        <v>47</v>
      </c>
    </row>
    <row r="103" spans="1:29" ht="21.6">
      <c r="A103">
        <v>74</v>
      </c>
      <c r="B103" s="2" t="s">
        <v>500</v>
      </c>
      <c r="C103" s="19" t="s">
        <v>501</v>
      </c>
      <c r="D103" s="44" t="s">
        <v>502</v>
      </c>
      <c r="E103" s="2" t="s">
        <v>33</v>
      </c>
      <c r="F103" s="68" t="s">
        <v>503</v>
      </c>
      <c r="G103" s="48" t="s">
        <v>504</v>
      </c>
      <c r="I103" s="116" t="s">
        <v>505</v>
      </c>
      <c r="J103" s="6" t="s">
        <v>159</v>
      </c>
      <c r="K103" s="6" t="s">
        <v>506</v>
      </c>
      <c r="L103" s="3" t="s">
        <v>90</v>
      </c>
      <c r="M103" s="16" t="s">
        <v>471</v>
      </c>
      <c r="N103" s="3" t="str">
        <f t="shared" si="1"/>
        <v>2 Years</v>
      </c>
      <c r="O103" s="3" t="s">
        <v>42</v>
      </c>
      <c r="P103" s="3" t="s">
        <v>472</v>
      </c>
      <c r="Q103" s="3">
        <v>2025</v>
      </c>
      <c r="R103" s="6" t="s">
        <v>44</v>
      </c>
      <c r="S103" s="6" t="s">
        <v>356</v>
      </c>
      <c r="T103" s="4" t="s">
        <v>507</v>
      </c>
      <c r="Y103" t="s">
        <v>47</v>
      </c>
    </row>
    <row r="104" spans="1:29" ht="21.6">
      <c r="A104">
        <v>74</v>
      </c>
      <c r="B104" s="2" t="s">
        <v>500</v>
      </c>
      <c r="C104" s="19" t="s">
        <v>501</v>
      </c>
      <c r="D104" s="44" t="s">
        <v>502</v>
      </c>
      <c r="E104" t="s">
        <v>33</v>
      </c>
      <c r="F104" s="68" t="s">
        <v>503</v>
      </c>
      <c r="G104" s="48" t="s">
        <v>504</v>
      </c>
      <c r="I104" s="116" t="s">
        <v>505</v>
      </c>
      <c r="J104" s="6" t="s">
        <v>92</v>
      </c>
      <c r="K104" s="6" t="s">
        <v>506</v>
      </c>
      <c r="L104" s="3" t="s">
        <v>90</v>
      </c>
      <c r="M104" s="16" t="s">
        <v>471</v>
      </c>
      <c r="N104" s="3" t="str">
        <f t="shared" si="1"/>
        <v>2 Years</v>
      </c>
      <c r="O104" s="3" t="s">
        <v>42</v>
      </c>
      <c r="P104" s="3" t="s">
        <v>472</v>
      </c>
      <c r="Q104" s="3">
        <v>2025</v>
      </c>
      <c r="R104" s="6" t="s">
        <v>44</v>
      </c>
      <c r="S104" s="6" t="s">
        <v>356</v>
      </c>
      <c r="T104" s="4" t="s">
        <v>507</v>
      </c>
      <c r="Y104" t="s">
        <v>47</v>
      </c>
    </row>
    <row r="105" spans="1:29" ht="21.6">
      <c r="A105">
        <v>75</v>
      </c>
      <c r="B105" s="2" t="s">
        <v>508</v>
      </c>
      <c r="C105" s="19" t="s">
        <v>509</v>
      </c>
      <c r="D105" s="44" t="s">
        <v>510</v>
      </c>
      <c r="E105" s="2" t="s">
        <v>33</v>
      </c>
      <c r="F105" s="68" t="s">
        <v>511</v>
      </c>
      <c r="G105" s="48" t="s">
        <v>512</v>
      </c>
      <c r="I105" s="116" t="s">
        <v>513</v>
      </c>
      <c r="J105" s="6" t="s">
        <v>88</v>
      </c>
      <c r="K105" s="6" t="s">
        <v>514</v>
      </c>
      <c r="L105" s="3" t="s">
        <v>40</v>
      </c>
      <c r="M105" s="16" t="s">
        <v>471</v>
      </c>
      <c r="N105" s="3" t="str">
        <f t="shared" si="1"/>
        <v>1  Year</v>
      </c>
      <c r="O105" s="3" t="s">
        <v>42</v>
      </c>
      <c r="P105" s="3" t="s">
        <v>472</v>
      </c>
      <c r="Q105" s="3">
        <v>2025</v>
      </c>
      <c r="R105" s="6" t="s">
        <v>498</v>
      </c>
      <c r="S105" s="6" t="s">
        <v>45</v>
      </c>
      <c r="T105" s="4" t="s">
        <v>515</v>
      </c>
      <c r="Y105" t="s">
        <v>47</v>
      </c>
    </row>
    <row r="106" spans="1:29" ht="21.6">
      <c r="A106">
        <v>75</v>
      </c>
      <c r="B106" s="2" t="s">
        <v>508</v>
      </c>
      <c r="C106" s="19" t="s">
        <v>509</v>
      </c>
      <c r="D106" s="44" t="s">
        <v>510</v>
      </c>
      <c r="E106" s="2" t="s">
        <v>33</v>
      </c>
      <c r="F106" s="68" t="s">
        <v>511</v>
      </c>
      <c r="G106" s="48" t="s">
        <v>512</v>
      </c>
      <c r="I106" s="116" t="s">
        <v>513</v>
      </c>
      <c r="J106" s="6" t="s">
        <v>145</v>
      </c>
      <c r="K106" s="6" t="s">
        <v>514</v>
      </c>
      <c r="L106" s="3" t="s">
        <v>40</v>
      </c>
      <c r="M106" s="16" t="s">
        <v>471</v>
      </c>
      <c r="N106" s="3" t="str">
        <f t="shared" si="1"/>
        <v>1  Year</v>
      </c>
      <c r="O106" s="3" t="s">
        <v>42</v>
      </c>
      <c r="P106" s="3" t="s">
        <v>472</v>
      </c>
      <c r="Q106" s="3">
        <v>2025</v>
      </c>
      <c r="R106" s="6" t="s">
        <v>498</v>
      </c>
      <c r="S106" s="6" t="s">
        <v>45</v>
      </c>
      <c r="T106" s="4" t="s">
        <v>515</v>
      </c>
      <c r="Y106" t="s">
        <v>47</v>
      </c>
    </row>
    <row r="107" spans="1:29" ht="21.6">
      <c r="A107">
        <v>75</v>
      </c>
      <c r="B107" s="2" t="s">
        <v>508</v>
      </c>
      <c r="C107" s="19" t="s">
        <v>509</v>
      </c>
      <c r="D107" s="44" t="s">
        <v>510</v>
      </c>
      <c r="E107" s="2" t="s">
        <v>33</v>
      </c>
      <c r="F107" s="68" t="s">
        <v>511</v>
      </c>
      <c r="G107" s="48" t="s">
        <v>512</v>
      </c>
      <c r="I107" s="116" t="s">
        <v>513</v>
      </c>
      <c r="J107" s="6" t="s">
        <v>48</v>
      </c>
      <c r="K107" s="6" t="s">
        <v>514</v>
      </c>
      <c r="L107" s="3" t="s">
        <v>40</v>
      </c>
      <c r="M107" s="16" t="s">
        <v>471</v>
      </c>
      <c r="N107" s="3" t="str">
        <f t="shared" si="1"/>
        <v>1  Year</v>
      </c>
      <c r="O107" s="3" t="s">
        <v>42</v>
      </c>
      <c r="P107" s="3" t="s">
        <v>472</v>
      </c>
      <c r="Q107" s="3">
        <v>2025</v>
      </c>
      <c r="R107" s="6" t="s">
        <v>498</v>
      </c>
      <c r="S107" s="6" t="s">
        <v>45</v>
      </c>
      <c r="T107" s="4" t="s">
        <v>515</v>
      </c>
      <c r="Y107" t="s">
        <v>47</v>
      </c>
    </row>
    <row r="108" spans="1:29" ht="21.6">
      <c r="A108">
        <v>76</v>
      </c>
      <c r="B108" s="2" t="s">
        <v>516</v>
      </c>
      <c r="C108" s="19" t="s">
        <v>517</v>
      </c>
      <c r="D108" s="44" t="s">
        <v>518</v>
      </c>
      <c r="E108" s="2" t="s">
        <v>33</v>
      </c>
      <c r="F108" s="68" t="s">
        <v>251</v>
      </c>
      <c r="G108" s="48" t="s">
        <v>519</v>
      </c>
      <c r="H108" s="5" t="s">
        <v>253</v>
      </c>
      <c r="J108" s="6" t="s">
        <v>92</v>
      </c>
      <c r="K108" s="6" t="s">
        <v>520</v>
      </c>
      <c r="L108" s="3"/>
      <c r="M108" s="16" t="s">
        <v>471</v>
      </c>
      <c r="N108" s="3" t="str">
        <f t="shared" si="1"/>
        <v/>
      </c>
      <c r="O108" s="3" t="s">
        <v>42</v>
      </c>
      <c r="P108" s="3" t="s">
        <v>472</v>
      </c>
      <c r="Q108" s="3">
        <v>2025</v>
      </c>
      <c r="R108" s="6" t="s">
        <v>498</v>
      </c>
      <c r="S108" s="6" t="s">
        <v>521</v>
      </c>
      <c r="T108" s="4" t="s">
        <v>522</v>
      </c>
      <c r="Y108" t="s">
        <v>47</v>
      </c>
    </row>
    <row r="109" spans="1:29" ht="21.6">
      <c r="A109">
        <v>77</v>
      </c>
      <c r="B109" s="2" t="s">
        <v>523</v>
      </c>
      <c r="C109" s="19" t="s">
        <v>524</v>
      </c>
      <c r="D109" s="44" t="s">
        <v>525</v>
      </c>
      <c r="E109" s="2" t="s">
        <v>33</v>
      </c>
      <c r="F109" s="68" t="s">
        <v>526</v>
      </c>
      <c r="G109" s="48" t="s">
        <v>527</v>
      </c>
      <c r="H109" s="5" t="s">
        <v>528</v>
      </c>
      <c r="I109" s="116" t="s">
        <v>529</v>
      </c>
      <c r="J109" s="6" t="s">
        <v>145</v>
      </c>
      <c r="K109" s="6" t="s">
        <v>530</v>
      </c>
      <c r="L109" s="3" t="s">
        <v>40</v>
      </c>
      <c r="M109" s="16" t="s">
        <v>471</v>
      </c>
      <c r="N109" s="3" t="str">
        <f t="shared" si="1"/>
        <v>1  Year</v>
      </c>
      <c r="O109" s="3" t="s">
        <v>42</v>
      </c>
      <c r="P109" s="3" t="s">
        <v>472</v>
      </c>
      <c r="Q109" s="3">
        <v>2025</v>
      </c>
      <c r="R109" s="6" t="s">
        <v>498</v>
      </c>
      <c r="S109" s="6" t="s">
        <v>45</v>
      </c>
      <c r="T109" s="4" t="s">
        <v>531</v>
      </c>
      <c r="Y109" t="s">
        <v>47</v>
      </c>
    </row>
    <row r="110" spans="1:29" ht="21.6">
      <c r="A110">
        <v>78</v>
      </c>
      <c r="B110" s="2" t="s">
        <v>532</v>
      </c>
      <c r="C110" s="19" t="s">
        <v>533</v>
      </c>
      <c r="D110" s="44" t="s">
        <v>534</v>
      </c>
      <c r="E110" s="2" t="s">
        <v>33</v>
      </c>
      <c r="F110" s="68" t="s">
        <v>535</v>
      </c>
      <c r="G110" s="48" t="s">
        <v>536</v>
      </c>
      <c r="H110" s="5" t="s">
        <v>537</v>
      </c>
      <c r="J110" s="6" t="s">
        <v>88</v>
      </c>
      <c r="K110" s="6" t="s">
        <v>538</v>
      </c>
      <c r="L110" s="3" t="s">
        <v>40</v>
      </c>
      <c r="M110" s="16" t="s">
        <v>471</v>
      </c>
      <c r="N110" s="3" t="str">
        <f t="shared" si="1"/>
        <v>1  Year</v>
      </c>
      <c r="O110" s="3" t="s">
        <v>42</v>
      </c>
      <c r="P110" s="3" t="s">
        <v>472</v>
      </c>
      <c r="Q110" s="3">
        <v>2025</v>
      </c>
      <c r="R110" s="6" t="s">
        <v>498</v>
      </c>
      <c r="S110" s="6" t="s">
        <v>45</v>
      </c>
      <c r="T110" s="4" t="s">
        <v>539</v>
      </c>
      <c r="Y110" t="s">
        <v>47</v>
      </c>
    </row>
    <row r="111" spans="1:29" ht="21.6">
      <c r="A111">
        <v>79</v>
      </c>
      <c r="B111" s="2" t="s">
        <v>540</v>
      </c>
      <c r="C111" s="19" t="s">
        <v>118</v>
      </c>
      <c r="D111" s="44" t="s">
        <v>541</v>
      </c>
      <c r="E111" s="2" t="s">
        <v>52</v>
      </c>
      <c r="F111" s="68" t="s">
        <v>542</v>
      </c>
      <c r="G111" s="48" t="s">
        <v>543</v>
      </c>
      <c r="H111" s="5" t="s">
        <v>122</v>
      </c>
      <c r="I111" s="116" t="s">
        <v>265</v>
      </c>
      <c r="J111" s="6" t="s">
        <v>271</v>
      </c>
      <c r="K111" s="6" t="s">
        <v>544</v>
      </c>
      <c r="L111" s="3"/>
      <c r="M111" s="16" t="s">
        <v>471</v>
      </c>
      <c r="N111" s="3" t="str">
        <f t="shared" si="1"/>
        <v/>
      </c>
      <c r="O111" s="3" t="s">
        <v>42</v>
      </c>
      <c r="P111" s="3" t="s">
        <v>472</v>
      </c>
      <c r="Q111" s="3">
        <v>2025</v>
      </c>
      <c r="R111" s="6" t="s">
        <v>498</v>
      </c>
      <c r="S111" s="6" t="s">
        <v>45</v>
      </c>
      <c r="T111" s="4" t="s">
        <v>545</v>
      </c>
      <c r="Y111" t="s">
        <v>47</v>
      </c>
    </row>
    <row r="112" spans="1:29" ht="21.6">
      <c r="A112">
        <v>80</v>
      </c>
      <c r="B112" s="2" t="s">
        <v>546</v>
      </c>
      <c r="C112" s="19" t="s">
        <v>547</v>
      </c>
      <c r="D112" s="44" t="s">
        <v>548</v>
      </c>
      <c r="E112" s="2" t="s">
        <v>33</v>
      </c>
      <c r="F112" s="68" t="s">
        <v>549</v>
      </c>
      <c r="G112" s="48" t="s">
        <v>550</v>
      </c>
      <c r="H112" s="5" t="s">
        <v>551</v>
      </c>
      <c r="I112" s="116" t="s">
        <v>552</v>
      </c>
      <c r="J112" s="6" t="s">
        <v>88</v>
      </c>
      <c r="K112" s="6" t="s">
        <v>553</v>
      </c>
      <c r="L112" s="3" t="s">
        <v>40</v>
      </c>
      <c r="M112" s="16" t="s">
        <v>471</v>
      </c>
      <c r="N112" s="3" t="str">
        <f t="shared" si="1"/>
        <v>1  Year</v>
      </c>
      <c r="O112" s="3" t="s">
        <v>42</v>
      </c>
      <c r="P112" s="3" t="s">
        <v>472</v>
      </c>
      <c r="Q112" s="3">
        <v>2025</v>
      </c>
      <c r="R112" s="6" t="s">
        <v>498</v>
      </c>
      <c r="S112" s="6" t="s">
        <v>45</v>
      </c>
      <c r="T112" s="4" t="s">
        <v>554</v>
      </c>
      <c r="Y112" t="s">
        <v>47</v>
      </c>
    </row>
    <row r="113" spans="1:25" ht="31.8">
      <c r="A113">
        <v>81</v>
      </c>
      <c r="B113" s="2" t="s">
        <v>546</v>
      </c>
      <c r="C113" s="19" t="s">
        <v>547</v>
      </c>
      <c r="D113" s="44" t="s">
        <v>548</v>
      </c>
      <c r="E113" s="2" t="s">
        <v>33</v>
      </c>
      <c r="F113" s="68" t="s">
        <v>549</v>
      </c>
      <c r="G113" s="48" t="s">
        <v>550</v>
      </c>
      <c r="H113" s="5" t="s">
        <v>551</v>
      </c>
      <c r="I113" s="116" t="s">
        <v>552</v>
      </c>
      <c r="J113" s="6" t="s">
        <v>92</v>
      </c>
      <c r="K113" s="6" t="s">
        <v>553</v>
      </c>
      <c r="L113" s="3"/>
      <c r="M113" s="16" t="s">
        <v>471</v>
      </c>
      <c r="N113" s="3" t="str">
        <f t="shared" si="1"/>
        <v/>
      </c>
      <c r="O113" s="3" t="s">
        <v>42</v>
      </c>
      <c r="P113" s="3" t="s">
        <v>472</v>
      </c>
      <c r="Q113" s="3">
        <v>2025</v>
      </c>
      <c r="R113" s="6" t="s">
        <v>498</v>
      </c>
      <c r="S113" s="6" t="s">
        <v>555</v>
      </c>
      <c r="T113" s="4" t="s">
        <v>556</v>
      </c>
      <c r="Y113" t="s">
        <v>47</v>
      </c>
    </row>
    <row r="114" spans="1:25" ht="21.6">
      <c r="A114">
        <v>82</v>
      </c>
      <c r="B114" s="2" t="s">
        <v>557</v>
      </c>
      <c r="C114" s="19" t="s">
        <v>558</v>
      </c>
      <c r="D114" s="44" t="s">
        <v>559</v>
      </c>
      <c r="E114" s="2" t="s">
        <v>182</v>
      </c>
      <c r="F114" s="68" t="s">
        <v>495</v>
      </c>
      <c r="G114" s="48" t="s">
        <v>496</v>
      </c>
      <c r="J114" s="6" t="s">
        <v>145</v>
      </c>
      <c r="K114" s="6" t="s">
        <v>560</v>
      </c>
      <c r="L114" s="3" t="s">
        <v>40</v>
      </c>
      <c r="M114" s="16" t="s">
        <v>471</v>
      </c>
      <c r="N114" s="3" t="str">
        <f t="shared" si="1"/>
        <v>1  Year</v>
      </c>
      <c r="O114" s="3" t="s">
        <v>42</v>
      </c>
      <c r="P114" s="3" t="s">
        <v>472</v>
      </c>
      <c r="Q114" s="3">
        <v>2025</v>
      </c>
      <c r="R114" s="6" t="s">
        <v>498</v>
      </c>
      <c r="S114" s="6" t="s">
        <v>45</v>
      </c>
      <c r="T114" s="4" t="s">
        <v>561</v>
      </c>
      <c r="Y114" t="s">
        <v>47</v>
      </c>
    </row>
    <row r="115" spans="1:25" ht="21.6">
      <c r="A115">
        <v>83</v>
      </c>
      <c r="B115" s="2" t="s">
        <v>562</v>
      </c>
      <c r="C115" s="19" t="s">
        <v>563</v>
      </c>
      <c r="D115" s="44" t="s">
        <v>494</v>
      </c>
      <c r="E115" s="2" t="s">
        <v>182</v>
      </c>
      <c r="F115" s="68" t="s">
        <v>564</v>
      </c>
      <c r="G115" s="48" t="s">
        <v>565</v>
      </c>
      <c r="H115" s="5" t="s">
        <v>566</v>
      </c>
      <c r="J115" s="6" t="s">
        <v>88</v>
      </c>
      <c r="K115" s="6" t="s">
        <v>567</v>
      </c>
      <c r="L115" s="3" t="s">
        <v>40</v>
      </c>
      <c r="M115" s="16" t="s">
        <v>471</v>
      </c>
      <c r="N115" s="3" t="str">
        <f t="shared" si="1"/>
        <v>1  Year</v>
      </c>
      <c r="O115" s="3" t="s">
        <v>42</v>
      </c>
      <c r="P115" s="3" t="s">
        <v>472</v>
      </c>
      <c r="Q115" s="3">
        <v>2025</v>
      </c>
      <c r="R115" s="6" t="s">
        <v>498</v>
      </c>
      <c r="S115" s="6" t="s">
        <v>45</v>
      </c>
      <c r="T115" s="4" t="s">
        <v>568</v>
      </c>
      <c r="Y115" t="s">
        <v>47</v>
      </c>
    </row>
    <row r="116" spans="1:25" ht="21.6">
      <c r="A116">
        <v>83</v>
      </c>
      <c r="B116" s="2" t="s">
        <v>562</v>
      </c>
      <c r="C116" s="19" t="s">
        <v>563</v>
      </c>
      <c r="D116" s="44" t="s">
        <v>494</v>
      </c>
      <c r="E116" s="2" t="s">
        <v>182</v>
      </c>
      <c r="F116" s="68" t="s">
        <v>564</v>
      </c>
      <c r="G116" s="48" t="s">
        <v>565</v>
      </c>
      <c r="H116" s="5" t="s">
        <v>566</v>
      </c>
      <c r="J116" s="6" t="s">
        <v>92</v>
      </c>
      <c r="K116" s="6" t="s">
        <v>567</v>
      </c>
      <c r="L116" s="3" t="s">
        <v>40</v>
      </c>
      <c r="M116" s="16" t="s">
        <v>471</v>
      </c>
      <c r="N116" s="3" t="str">
        <f t="shared" si="1"/>
        <v>1  Year</v>
      </c>
      <c r="O116" s="3" t="s">
        <v>42</v>
      </c>
      <c r="P116" s="3" t="s">
        <v>472</v>
      </c>
      <c r="Q116" s="3">
        <v>2025</v>
      </c>
      <c r="R116" s="6" t="s">
        <v>498</v>
      </c>
      <c r="S116" s="6" t="s">
        <v>45</v>
      </c>
      <c r="T116" s="4" t="s">
        <v>568</v>
      </c>
      <c r="Y116" t="s">
        <v>47</v>
      </c>
    </row>
    <row r="117" spans="1:25" ht="21.6">
      <c r="A117">
        <v>83</v>
      </c>
      <c r="B117" s="2" t="s">
        <v>562</v>
      </c>
      <c r="C117" s="19" t="s">
        <v>563</v>
      </c>
      <c r="D117" s="44" t="s">
        <v>494</v>
      </c>
      <c r="E117" s="2" t="s">
        <v>182</v>
      </c>
      <c r="F117" s="68" t="s">
        <v>564</v>
      </c>
      <c r="G117" s="48" t="s">
        <v>565</v>
      </c>
      <c r="H117" s="5" t="s">
        <v>566</v>
      </c>
      <c r="J117" s="6" t="s">
        <v>48</v>
      </c>
      <c r="K117" s="6" t="s">
        <v>567</v>
      </c>
      <c r="L117" s="3" t="s">
        <v>40</v>
      </c>
      <c r="M117" s="16" t="s">
        <v>471</v>
      </c>
      <c r="N117" s="3" t="str">
        <f t="shared" si="1"/>
        <v>1  Year</v>
      </c>
      <c r="O117" s="3" t="s">
        <v>42</v>
      </c>
      <c r="P117" s="3" t="s">
        <v>472</v>
      </c>
      <c r="Q117" s="3">
        <v>2025</v>
      </c>
      <c r="R117" s="6" t="s">
        <v>498</v>
      </c>
      <c r="S117" s="6" t="s">
        <v>45</v>
      </c>
      <c r="T117" s="4" t="s">
        <v>568</v>
      </c>
      <c r="Y117" t="s">
        <v>47</v>
      </c>
    </row>
    <row r="118" spans="1:25" ht="21.6">
      <c r="A118">
        <v>84</v>
      </c>
      <c r="B118" s="2" t="s">
        <v>569</v>
      </c>
      <c r="C118" s="19" t="s">
        <v>570</v>
      </c>
      <c r="D118" s="44" t="s">
        <v>571</v>
      </c>
      <c r="E118" s="2" t="s">
        <v>33</v>
      </c>
      <c r="F118" s="68" t="s">
        <v>251</v>
      </c>
      <c r="G118" s="48" t="s">
        <v>519</v>
      </c>
      <c r="H118" s="5" t="s">
        <v>253</v>
      </c>
      <c r="J118" s="6" t="s">
        <v>48</v>
      </c>
      <c r="K118" s="6" t="s">
        <v>572</v>
      </c>
      <c r="L118" s="3" t="s">
        <v>40</v>
      </c>
      <c r="M118" s="16" t="s">
        <v>471</v>
      </c>
      <c r="N118" s="3" t="str">
        <f t="shared" si="1"/>
        <v>1  Year</v>
      </c>
      <c r="O118" s="3" t="s">
        <v>42</v>
      </c>
      <c r="P118" s="3" t="s">
        <v>472</v>
      </c>
      <c r="Q118" s="3">
        <v>2025</v>
      </c>
      <c r="R118" s="6" t="s">
        <v>498</v>
      </c>
      <c r="S118" s="6" t="s">
        <v>573</v>
      </c>
      <c r="T118" s="4" t="s">
        <v>574</v>
      </c>
      <c r="Y118" t="s">
        <v>47</v>
      </c>
    </row>
    <row r="119" spans="1:25" ht="21.6">
      <c r="A119">
        <v>85</v>
      </c>
      <c r="B119" s="2" t="s">
        <v>575</v>
      </c>
      <c r="C119" s="19" t="s">
        <v>576</v>
      </c>
      <c r="D119" s="44" t="s">
        <v>494</v>
      </c>
      <c r="E119" s="2" t="s">
        <v>182</v>
      </c>
      <c r="F119" s="68" t="s">
        <v>577</v>
      </c>
      <c r="G119" s="48" t="s">
        <v>578</v>
      </c>
      <c r="H119" s="5" t="s">
        <v>579</v>
      </c>
      <c r="I119" s="116" t="s">
        <v>580</v>
      </c>
      <c r="J119" s="6" t="s">
        <v>88</v>
      </c>
      <c r="K119" s="6" t="s">
        <v>581</v>
      </c>
      <c r="L119" s="3" t="s">
        <v>40</v>
      </c>
      <c r="M119" s="16" t="s">
        <v>471</v>
      </c>
      <c r="N119" s="3" t="str">
        <f t="shared" si="1"/>
        <v>1  Year</v>
      </c>
      <c r="O119" s="3" t="s">
        <v>42</v>
      </c>
      <c r="P119" s="3" t="s">
        <v>472</v>
      </c>
      <c r="Q119" s="3">
        <v>2025</v>
      </c>
      <c r="R119" s="6" t="s">
        <v>498</v>
      </c>
      <c r="S119" s="6" t="s">
        <v>45</v>
      </c>
      <c r="T119" s="4" t="s">
        <v>582</v>
      </c>
      <c r="Y119" t="s">
        <v>47</v>
      </c>
    </row>
    <row r="120" spans="1:25" ht="21.6">
      <c r="A120">
        <v>85</v>
      </c>
      <c r="B120" s="2" t="s">
        <v>575</v>
      </c>
      <c r="C120" s="19" t="s">
        <v>576</v>
      </c>
      <c r="D120" s="44" t="s">
        <v>494</v>
      </c>
      <c r="E120" s="2" t="s">
        <v>182</v>
      </c>
      <c r="F120" s="68" t="s">
        <v>577</v>
      </c>
      <c r="G120" s="48" t="s">
        <v>578</v>
      </c>
      <c r="H120" s="5" t="s">
        <v>579</v>
      </c>
      <c r="I120" s="116" t="s">
        <v>580</v>
      </c>
      <c r="J120" s="6" t="s">
        <v>92</v>
      </c>
      <c r="K120" s="6" t="s">
        <v>581</v>
      </c>
      <c r="L120" s="3" t="s">
        <v>40</v>
      </c>
      <c r="M120" s="16" t="s">
        <v>471</v>
      </c>
      <c r="N120" s="3" t="str">
        <f t="shared" si="1"/>
        <v>1  Year</v>
      </c>
      <c r="O120" s="3" t="s">
        <v>42</v>
      </c>
      <c r="P120" s="3" t="s">
        <v>472</v>
      </c>
      <c r="Q120" s="3">
        <v>2025</v>
      </c>
      <c r="R120" s="6" t="s">
        <v>498</v>
      </c>
      <c r="S120" s="6" t="s">
        <v>45</v>
      </c>
      <c r="T120" s="4" t="s">
        <v>582</v>
      </c>
      <c r="Y120" t="s">
        <v>47</v>
      </c>
    </row>
    <row r="121" spans="1:25" ht="21.6">
      <c r="A121">
        <v>85</v>
      </c>
      <c r="B121" s="2" t="s">
        <v>575</v>
      </c>
      <c r="C121" s="19" t="s">
        <v>576</v>
      </c>
      <c r="D121" s="44" t="s">
        <v>494</v>
      </c>
      <c r="E121" s="2" t="s">
        <v>182</v>
      </c>
      <c r="F121" s="68" t="s">
        <v>577</v>
      </c>
      <c r="G121" s="48" t="s">
        <v>578</v>
      </c>
      <c r="H121" s="5" t="s">
        <v>579</v>
      </c>
      <c r="I121" s="116" t="s">
        <v>580</v>
      </c>
      <c r="J121" s="6" t="s">
        <v>38</v>
      </c>
      <c r="K121" s="6" t="s">
        <v>581</v>
      </c>
      <c r="L121" s="3" t="s">
        <v>40</v>
      </c>
      <c r="M121" s="16" t="s">
        <v>471</v>
      </c>
      <c r="N121" s="3" t="str">
        <f t="shared" si="1"/>
        <v>1  Year</v>
      </c>
      <c r="O121" s="3" t="s">
        <v>42</v>
      </c>
      <c r="P121" s="3" t="s">
        <v>472</v>
      </c>
      <c r="Q121" s="3">
        <v>2025</v>
      </c>
      <c r="R121" s="6" t="s">
        <v>498</v>
      </c>
      <c r="S121" s="6" t="s">
        <v>45</v>
      </c>
      <c r="T121" s="4" t="s">
        <v>582</v>
      </c>
      <c r="Y121" t="s">
        <v>47</v>
      </c>
    </row>
    <row r="122" spans="1:25" ht="21.6">
      <c r="A122">
        <v>85</v>
      </c>
      <c r="B122" s="2" t="s">
        <v>575</v>
      </c>
      <c r="C122" s="19" t="s">
        <v>576</v>
      </c>
      <c r="D122" s="44" t="s">
        <v>494</v>
      </c>
      <c r="E122" s="2" t="s">
        <v>182</v>
      </c>
      <c r="F122" s="68" t="s">
        <v>577</v>
      </c>
      <c r="G122" s="48" t="s">
        <v>578</v>
      </c>
      <c r="H122" s="5" t="s">
        <v>579</v>
      </c>
      <c r="I122" s="116" t="s">
        <v>580</v>
      </c>
      <c r="J122" s="6" t="s">
        <v>48</v>
      </c>
      <c r="K122" s="6" t="s">
        <v>581</v>
      </c>
      <c r="L122" s="3" t="s">
        <v>40</v>
      </c>
      <c r="M122" s="16" t="s">
        <v>471</v>
      </c>
      <c r="N122" s="3" t="str">
        <f t="shared" si="1"/>
        <v>1  Year</v>
      </c>
      <c r="O122" s="3" t="s">
        <v>42</v>
      </c>
      <c r="P122" s="3" t="s">
        <v>472</v>
      </c>
      <c r="Q122" s="3">
        <v>2025</v>
      </c>
      <c r="R122" s="6" t="s">
        <v>498</v>
      </c>
      <c r="S122" s="6" t="s">
        <v>45</v>
      </c>
      <c r="T122" s="4" t="s">
        <v>582</v>
      </c>
      <c r="Y122" t="s">
        <v>47</v>
      </c>
    </row>
    <row r="123" spans="1:25" ht="31.8">
      <c r="A123">
        <v>86</v>
      </c>
      <c r="B123" s="7" t="s">
        <v>583</v>
      </c>
      <c r="C123" s="19" t="s">
        <v>584</v>
      </c>
      <c r="D123" s="44" t="s">
        <v>585</v>
      </c>
      <c r="E123" s="7"/>
      <c r="F123" s="68" t="s">
        <v>77</v>
      </c>
      <c r="G123" s="48" t="s">
        <v>586</v>
      </c>
      <c r="J123" s="6" t="s">
        <v>57</v>
      </c>
      <c r="K123" s="6" t="s">
        <v>587</v>
      </c>
      <c r="L123" s="3" t="s">
        <v>90</v>
      </c>
      <c r="M123" s="16" t="s">
        <v>471</v>
      </c>
      <c r="N123" s="3" t="str">
        <f t="shared" si="1"/>
        <v>2 Years</v>
      </c>
      <c r="O123" s="3" t="s">
        <v>42</v>
      </c>
      <c r="P123" s="3" t="s">
        <v>472</v>
      </c>
      <c r="Q123" s="3">
        <v>2025</v>
      </c>
      <c r="R123" s="6" t="s">
        <v>44</v>
      </c>
      <c r="S123" s="6" t="s">
        <v>45</v>
      </c>
      <c r="T123" s="4" t="s">
        <v>588</v>
      </c>
      <c r="Y123" t="s">
        <v>47</v>
      </c>
    </row>
    <row r="124" spans="1:25" ht="21.6">
      <c r="A124">
        <v>87</v>
      </c>
      <c r="B124" s="2" t="s">
        <v>589</v>
      </c>
      <c r="C124" s="19" t="s">
        <v>590</v>
      </c>
      <c r="D124" s="44" t="s">
        <v>292</v>
      </c>
      <c r="E124" s="2"/>
      <c r="F124" s="68" t="s">
        <v>591</v>
      </c>
      <c r="G124" s="48" t="s">
        <v>592</v>
      </c>
      <c r="I124" s="116" t="s">
        <v>593</v>
      </c>
      <c r="J124" s="6" t="s">
        <v>145</v>
      </c>
      <c r="K124" s="6" t="s">
        <v>594</v>
      </c>
      <c r="L124" s="3" t="s">
        <v>40</v>
      </c>
      <c r="M124" s="16" t="s">
        <v>471</v>
      </c>
      <c r="N124" s="3" t="str">
        <f t="shared" si="1"/>
        <v>1  Year</v>
      </c>
      <c r="O124" s="3" t="s">
        <v>42</v>
      </c>
      <c r="P124" s="3" t="s">
        <v>472</v>
      </c>
      <c r="Q124" s="3">
        <v>2025</v>
      </c>
      <c r="R124" s="6" t="s">
        <v>80</v>
      </c>
      <c r="S124" s="6" t="s">
        <v>45</v>
      </c>
      <c r="T124" s="4" t="s">
        <v>595</v>
      </c>
      <c r="Y124" t="s">
        <v>47</v>
      </c>
    </row>
    <row r="125" spans="1:25" ht="21.6">
      <c r="A125">
        <v>88</v>
      </c>
      <c r="B125" s="2" t="s">
        <v>596</v>
      </c>
      <c r="C125" s="19" t="s">
        <v>547</v>
      </c>
      <c r="D125" s="44" t="s">
        <v>548</v>
      </c>
      <c r="E125" s="2"/>
      <c r="F125" s="68" t="s">
        <v>549</v>
      </c>
      <c r="G125" s="48" t="s">
        <v>597</v>
      </c>
      <c r="H125" s="5" t="s">
        <v>551</v>
      </c>
      <c r="I125" s="116" t="s">
        <v>552</v>
      </c>
      <c r="J125" s="6" t="s">
        <v>48</v>
      </c>
      <c r="K125" s="6" t="s">
        <v>598</v>
      </c>
      <c r="L125" s="3" t="s">
        <v>40</v>
      </c>
      <c r="M125" s="16" t="s">
        <v>471</v>
      </c>
      <c r="N125" s="3" t="str">
        <f t="shared" si="1"/>
        <v>1  Year</v>
      </c>
      <c r="O125" s="3" t="s">
        <v>42</v>
      </c>
      <c r="P125" s="3" t="s">
        <v>472</v>
      </c>
      <c r="Q125" s="3">
        <v>2025</v>
      </c>
      <c r="R125" s="6" t="s">
        <v>80</v>
      </c>
      <c r="S125" s="6" t="s">
        <v>203</v>
      </c>
      <c r="T125" s="4" t="s">
        <v>554</v>
      </c>
      <c r="Y125" t="s">
        <v>47</v>
      </c>
    </row>
    <row r="126" spans="1:25" ht="31.8">
      <c r="A126">
        <v>89</v>
      </c>
      <c r="B126" s="2" t="s">
        <v>599</v>
      </c>
      <c r="C126" s="19" t="s">
        <v>600</v>
      </c>
      <c r="D126" s="44" t="s">
        <v>32</v>
      </c>
      <c r="E126" s="2"/>
      <c r="F126" s="68" t="s">
        <v>601</v>
      </c>
      <c r="G126" s="48" t="s">
        <v>602</v>
      </c>
      <c r="H126" s="5" t="s">
        <v>603</v>
      </c>
      <c r="I126" s="116" t="s">
        <v>604</v>
      </c>
      <c r="J126" s="6" t="s">
        <v>57</v>
      </c>
      <c r="K126" s="6" t="s">
        <v>605</v>
      </c>
      <c r="L126" s="3" t="s">
        <v>40</v>
      </c>
      <c r="M126" s="16" t="s">
        <v>471</v>
      </c>
      <c r="N126" s="3" t="str">
        <f t="shared" si="1"/>
        <v>1  Year</v>
      </c>
      <c r="O126" s="3" t="s">
        <v>42</v>
      </c>
      <c r="P126" s="3" t="s">
        <v>472</v>
      </c>
      <c r="Q126" s="3">
        <v>2025</v>
      </c>
      <c r="R126" s="6" t="s">
        <v>80</v>
      </c>
      <c r="S126" s="6" t="s">
        <v>45</v>
      </c>
      <c r="T126" s="4" t="s">
        <v>606</v>
      </c>
      <c r="Y126" t="s">
        <v>47</v>
      </c>
    </row>
    <row r="127" spans="1:25" ht="21.6">
      <c r="A127">
        <v>90</v>
      </c>
      <c r="B127" s="2" t="s">
        <v>607</v>
      </c>
      <c r="C127" s="19" t="s">
        <v>608</v>
      </c>
      <c r="D127" s="44" t="s">
        <v>609</v>
      </c>
      <c r="E127" s="2"/>
      <c r="F127" s="68" t="s">
        <v>610</v>
      </c>
      <c r="G127" s="48" t="s">
        <v>611</v>
      </c>
      <c r="J127" s="6" t="s">
        <v>145</v>
      </c>
      <c r="K127" s="6" t="s">
        <v>612</v>
      </c>
      <c r="L127" s="3" t="s">
        <v>40</v>
      </c>
      <c r="M127" s="16" t="s">
        <v>471</v>
      </c>
      <c r="N127" s="3" t="str">
        <f t="shared" si="1"/>
        <v>1  Year</v>
      </c>
      <c r="O127" s="3" t="s">
        <v>42</v>
      </c>
      <c r="P127" s="3" t="s">
        <v>472</v>
      </c>
      <c r="Q127" s="3">
        <v>2025</v>
      </c>
      <c r="R127" s="6" t="s">
        <v>80</v>
      </c>
      <c r="S127" s="6" t="s">
        <v>45</v>
      </c>
      <c r="T127" s="4" t="s">
        <v>613</v>
      </c>
      <c r="Y127" t="s">
        <v>47</v>
      </c>
    </row>
    <row r="128" spans="1:25" ht="21.6">
      <c r="A128">
        <v>91</v>
      </c>
      <c r="B128" s="2" t="s">
        <v>614</v>
      </c>
      <c r="C128" s="19" t="s">
        <v>615</v>
      </c>
      <c r="D128" s="44" t="s">
        <v>616</v>
      </c>
      <c r="E128" s="2"/>
      <c r="F128" s="68" t="s">
        <v>610</v>
      </c>
      <c r="G128" s="48" t="s">
        <v>611</v>
      </c>
      <c r="J128" s="6" t="s">
        <v>145</v>
      </c>
      <c r="K128" s="6" t="s">
        <v>617</v>
      </c>
      <c r="L128" s="3" t="s">
        <v>40</v>
      </c>
      <c r="M128" s="16" t="s">
        <v>471</v>
      </c>
      <c r="N128" s="3" t="str">
        <f t="shared" si="1"/>
        <v>1  Year</v>
      </c>
      <c r="O128" s="3" t="s">
        <v>42</v>
      </c>
      <c r="P128" s="3" t="s">
        <v>472</v>
      </c>
      <c r="Q128" s="3">
        <v>2025</v>
      </c>
      <c r="R128" s="6" t="s">
        <v>80</v>
      </c>
      <c r="S128" s="6" t="s">
        <v>45</v>
      </c>
      <c r="T128" s="4" t="s">
        <v>618</v>
      </c>
      <c r="Y128" t="s">
        <v>47</v>
      </c>
    </row>
    <row r="129" spans="1:25">
      <c r="A129">
        <v>92</v>
      </c>
      <c r="B129" s="2" t="s">
        <v>619</v>
      </c>
      <c r="C129" s="19" t="s">
        <v>620</v>
      </c>
      <c r="D129" s="44" t="s">
        <v>621</v>
      </c>
      <c r="E129" s="2"/>
      <c r="F129" s="68" t="s">
        <v>622</v>
      </c>
      <c r="G129" s="48" t="s">
        <v>623</v>
      </c>
      <c r="H129" s="77"/>
      <c r="I129" s="118" t="s">
        <v>624</v>
      </c>
      <c r="J129" s="6" t="s">
        <v>92</v>
      </c>
      <c r="K129" s="6" t="s">
        <v>625</v>
      </c>
      <c r="L129" s="3" t="s">
        <v>40</v>
      </c>
      <c r="M129" s="16" t="s">
        <v>471</v>
      </c>
      <c r="N129" s="3" t="str">
        <f t="shared" si="1"/>
        <v>1  Year</v>
      </c>
      <c r="O129" s="3" t="s">
        <v>42</v>
      </c>
      <c r="P129" s="3" t="s">
        <v>472</v>
      </c>
      <c r="Q129" s="3">
        <v>2025</v>
      </c>
      <c r="R129" s="6" t="s">
        <v>44</v>
      </c>
      <c r="S129" s="6" t="s">
        <v>45</v>
      </c>
      <c r="T129" s="4" t="s">
        <v>626</v>
      </c>
      <c r="Y129" t="s">
        <v>47</v>
      </c>
    </row>
    <row r="130" spans="1:25">
      <c r="A130">
        <v>92</v>
      </c>
      <c r="B130" s="2" t="s">
        <v>619</v>
      </c>
      <c r="C130" s="19" t="s">
        <v>620</v>
      </c>
      <c r="D130" s="44" t="s">
        <v>621</v>
      </c>
      <c r="E130" s="2"/>
      <c r="F130" s="68" t="s">
        <v>622</v>
      </c>
      <c r="G130" s="48" t="s">
        <v>623</v>
      </c>
      <c r="H130" s="77"/>
      <c r="I130" s="118" t="s">
        <v>624</v>
      </c>
      <c r="J130" s="6" t="s">
        <v>48</v>
      </c>
      <c r="K130" s="6" t="s">
        <v>625</v>
      </c>
      <c r="L130" s="3" t="s">
        <v>40</v>
      </c>
      <c r="M130" s="16" t="s">
        <v>471</v>
      </c>
      <c r="N130" s="3" t="str">
        <f t="shared" si="1"/>
        <v>1  Year</v>
      </c>
      <c r="O130" s="3" t="s">
        <v>42</v>
      </c>
      <c r="P130" s="3" t="s">
        <v>472</v>
      </c>
      <c r="Q130" s="3">
        <v>2025</v>
      </c>
      <c r="R130" s="6" t="s">
        <v>44</v>
      </c>
      <c r="S130" s="6" t="s">
        <v>45</v>
      </c>
      <c r="T130" s="4" t="s">
        <v>626</v>
      </c>
      <c r="Y130" t="s">
        <v>47</v>
      </c>
    </row>
    <row r="131" spans="1:25" ht="21.6">
      <c r="A131">
        <v>93</v>
      </c>
      <c r="B131" s="2" t="s">
        <v>627</v>
      </c>
      <c r="C131" s="19" t="s">
        <v>628</v>
      </c>
      <c r="D131" s="44" t="s">
        <v>629</v>
      </c>
      <c r="E131" s="2"/>
      <c r="F131" s="68" t="s">
        <v>630</v>
      </c>
      <c r="G131" s="48" t="s">
        <v>631</v>
      </c>
      <c r="H131" s="5" t="s">
        <v>632</v>
      </c>
      <c r="I131" s="116" t="s">
        <v>633</v>
      </c>
      <c r="J131" s="6" t="s">
        <v>38</v>
      </c>
      <c r="K131" s="6" t="s">
        <v>634</v>
      </c>
      <c r="L131" s="3" t="s">
        <v>40</v>
      </c>
      <c r="M131" s="16" t="s">
        <v>471</v>
      </c>
      <c r="N131" s="3" t="str">
        <f t="shared" ref="N131:N194" si="2">IF(L131="New","1  Year",IF(L131="Promotional","15 Weeks",IF(L131="Revalidation","2 Years","")))</f>
        <v>1  Year</v>
      </c>
      <c r="O131" s="3" t="s">
        <v>42</v>
      </c>
      <c r="P131" s="3" t="s">
        <v>472</v>
      </c>
      <c r="Q131" s="3">
        <v>2025</v>
      </c>
      <c r="R131" s="6" t="s">
        <v>44</v>
      </c>
      <c r="S131" s="6" t="s">
        <v>45</v>
      </c>
      <c r="T131" s="4" t="s">
        <v>635</v>
      </c>
      <c r="Y131" t="s">
        <v>47</v>
      </c>
    </row>
    <row r="132" spans="1:25" ht="21.6">
      <c r="A132">
        <v>93</v>
      </c>
      <c r="B132" s="2" t="s">
        <v>627</v>
      </c>
      <c r="C132" s="19" t="s">
        <v>628</v>
      </c>
      <c r="D132" s="44" t="s">
        <v>629</v>
      </c>
      <c r="E132" s="2"/>
      <c r="F132" s="68" t="s">
        <v>630</v>
      </c>
      <c r="G132" s="48" t="s">
        <v>631</v>
      </c>
      <c r="H132" s="5" t="s">
        <v>632</v>
      </c>
      <c r="I132" s="116" t="s">
        <v>633</v>
      </c>
      <c r="J132" s="6" t="s">
        <v>145</v>
      </c>
      <c r="K132" s="6" t="s">
        <v>634</v>
      </c>
      <c r="L132" s="3" t="s">
        <v>40</v>
      </c>
      <c r="M132" s="16" t="s">
        <v>471</v>
      </c>
      <c r="N132" s="3" t="str">
        <f t="shared" si="2"/>
        <v>1  Year</v>
      </c>
      <c r="O132" s="3" t="s">
        <v>42</v>
      </c>
      <c r="P132" s="3" t="s">
        <v>472</v>
      </c>
      <c r="Q132" s="3">
        <v>2025</v>
      </c>
      <c r="R132" s="6" t="s">
        <v>44</v>
      </c>
      <c r="S132" s="6" t="s">
        <v>45</v>
      </c>
      <c r="T132" s="4" t="s">
        <v>635</v>
      </c>
      <c r="Y132" t="s">
        <v>47</v>
      </c>
    </row>
    <row r="133" spans="1:25" ht="21.6">
      <c r="A133">
        <v>93</v>
      </c>
      <c r="B133" s="2" t="s">
        <v>627</v>
      </c>
      <c r="C133" s="19" t="s">
        <v>628</v>
      </c>
      <c r="D133" s="44" t="s">
        <v>629</v>
      </c>
      <c r="E133" s="2"/>
      <c r="F133" s="68" t="s">
        <v>630</v>
      </c>
      <c r="G133" s="48" t="s">
        <v>631</v>
      </c>
      <c r="H133" s="5" t="s">
        <v>632</v>
      </c>
      <c r="I133" s="116" t="s">
        <v>633</v>
      </c>
      <c r="J133" s="6" t="s">
        <v>48</v>
      </c>
      <c r="K133" s="6" t="s">
        <v>634</v>
      </c>
      <c r="L133" s="3" t="s">
        <v>40</v>
      </c>
      <c r="M133" s="16" t="s">
        <v>471</v>
      </c>
      <c r="N133" s="3" t="str">
        <f t="shared" si="2"/>
        <v>1  Year</v>
      </c>
      <c r="O133" s="3" t="s">
        <v>42</v>
      </c>
      <c r="P133" s="3" t="s">
        <v>472</v>
      </c>
      <c r="Q133" s="3">
        <v>2025</v>
      </c>
      <c r="R133" s="6" t="s">
        <v>44</v>
      </c>
      <c r="S133" s="6" t="s">
        <v>45</v>
      </c>
      <c r="T133" s="4" t="s">
        <v>635</v>
      </c>
      <c r="Y133" t="s">
        <v>47</v>
      </c>
    </row>
    <row r="134" spans="1:25" ht="21.6">
      <c r="A134">
        <v>93</v>
      </c>
      <c r="B134" s="2" t="s">
        <v>627</v>
      </c>
      <c r="C134" s="19" t="s">
        <v>628</v>
      </c>
      <c r="D134" s="44" t="s">
        <v>629</v>
      </c>
      <c r="E134" s="2"/>
      <c r="F134" s="68" t="s">
        <v>630</v>
      </c>
      <c r="G134" s="48" t="s">
        <v>631</v>
      </c>
      <c r="H134" s="5" t="s">
        <v>632</v>
      </c>
      <c r="I134" s="116" t="s">
        <v>633</v>
      </c>
      <c r="J134" s="6" t="s">
        <v>159</v>
      </c>
      <c r="K134" s="6" t="s">
        <v>634</v>
      </c>
      <c r="L134" s="3" t="s">
        <v>40</v>
      </c>
      <c r="M134" s="16" t="s">
        <v>471</v>
      </c>
      <c r="N134" s="3" t="str">
        <f t="shared" si="2"/>
        <v>1  Year</v>
      </c>
      <c r="O134" s="3" t="s">
        <v>42</v>
      </c>
      <c r="P134" s="3" t="s">
        <v>472</v>
      </c>
      <c r="Q134" s="3">
        <v>2025</v>
      </c>
      <c r="R134" s="6" t="s">
        <v>44</v>
      </c>
      <c r="S134" s="6" t="s">
        <v>45</v>
      </c>
      <c r="T134" s="4" t="s">
        <v>635</v>
      </c>
      <c r="Y134" t="s">
        <v>47</v>
      </c>
    </row>
    <row r="135" spans="1:25" ht="52.2">
      <c r="A135">
        <v>94</v>
      </c>
      <c r="B135" s="2" t="s">
        <v>636</v>
      </c>
      <c r="C135" s="19" t="s">
        <v>637</v>
      </c>
      <c r="D135" s="44" t="s">
        <v>638</v>
      </c>
      <c r="E135" s="2"/>
      <c r="F135" s="68" t="s">
        <v>639</v>
      </c>
      <c r="G135" s="48" t="s">
        <v>640</v>
      </c>
      <c r="H135" s="5" t="s">
        <v>641</v>
      </c>
      <c r="I135" s="116" t="s">
        <v>642</v>
      </c>
      <c r="J135" s="6" t="s">
        <v>88</v>
      </c>
      <c r="K135" s="6" t="s">
        <v>643</v>
      </c>
      <c r="L135" s="3" t="s">
        <v>40</v>
      </c>
      <c r="M135" s="16" t="s">
        <v>471</v>
      </c>
      <c r="N135" s="3" t="str">
        <f t="shared" si="2"/>
        <v>1  Year</v>
      </c>
      <c r="O135" s="3" t="s">
        <v>42</v>
      </c>
      <c r="P135" s="3" t="s">
        <v>472</v>
      </c>
      <c r="Q135" s="3">
        <v>2025</v>
      </c>
      <c r="R135" s="6" t="s">
        <v>44</v>
      </c>
      <c r="S135" s="6" t="s">
        <v>45</v>
      </c>
      <c r="T135" s="4" t="s">
        <v>644</v>
      </c>
      <c r="Y135" t="s">
        <v>47</v>
      </c>
    </row>
    <row r="136" spans="1:25" ht="52.2">
      <c r="A136">
        <v>94</v>
      </c>
      <c r="B136" s="2" t="s">
        <v>636</v>
      </c>
      <c r="C136" s="19" t="s">
        <v>637</v>
      </c>
      <c r="D136" s="44" t="s">
        <v>638</v>
      </c>
      <c r="E136" s="2"/>
      <c r="F136" s="68" t="s">
        <v>639</v>
      </c>
      <c r="G136" s="48" t="s">
        <v>640</v>
      </c>
      <c r="H136" s="5" t="s">
        <v>641</v>
      </c>
      <c r="I136" s="116" t="s">
        <v>642</v>
      </c>
      <c r="J136" s="6" t="s">
        <v>145</v>
      </c>
      <c r="K136" s="6" t="s">
        <v>643</v>
      </c>
      <c r="L136" s="3" t="s">
        <v>40</v>
      </c>
      <c r="M136" s="16" t="s">
        <v>471</v>
      </c>
      <c r="N136" s="3" t="str">
        <f t="shared" si="2"/>
        <v>1  Year</v>
      </c>
      <c r="O136" s="3" t="s">
        <v>42</v>
      </c>
      <c r="P136" s="3" t="s">
        <v>472</v>
      </c>
      <c r="Q136" s="3">
        <v>2025</v>
      </c>
      <c r="R136" s="6" t="s">
        <v>44</v>
      </c>
      <c r="S136" s="6" t="s">
        <v>45</v>
      </c>
      <c r="T136" s="4" t="s">
        <v>644</v>
      </c>
      <c r="Y136" t="s">
        <v>47</v>
      </c>
    </row>
    <row r="137" spans="1:25" ht="52.2">
      <c r="A137">
        <v>94</v>
      </c>
      <c r="B137" s="2" t="s">
        <v>636</v>
      </c>
      <c r="C137" s="19" t="s">
        <v>637</v>
      </c>
      <c r="D137" s="44" t="s">
        <v>638</v>
      </c>
      <c r="E137" s="2"/>
      <c r="F137" s="68" t="s">
        <v>639</v>
      </c>
      <c r="G137" s="48" t="s">
        <v>640</v>
      </c>
      <c r="H137" s="5" t="s">
        <v>641</v>
      </c>
      <c r="I137" s="116" t="s">
        <v>642</v>
      </c>
      <c r="J137" s="6" t="s">
        <v>159</v>
      </c>
      <c r="K137" s="6" t="s">
        <v>643</v>
      </c>
      <c r="L137" s="3" t="s">
        <v>40</v>
      </c>
      <c r="M137" s="16" t="s">
        <v>471</v>
      </c>
      <c r="N137" s="3" t="str">
        <f t="shared" si="2"/>
        <v>1  Year</v>
      </c>
      <c r="O137" s="3" t="s">
        <v>42</v>
      </c>
      <c r="P137" s="3" t="s">
        <v>472</v>
      </c>
      <c r="Q137" s="3">
        <v>2025</v>
      </c>
      <c r="R137" s="6" t="s">
        <v>44</v>
      </c>
      <c r="S137" s="6" t="s">
        <v>45</v>
      </c>
      <c r="T137" s="4" t="s">
        <v>644</v>
      </c>
      <c r="Y137" t="s">
        <v>47</v>
      </c>
    </row>
    <row r="138" spans="1:25" ht="52.2">
      <c r="A138">
        <v>94</v>
      </c>
      <c r="B138" s="2" t="s">
        <v>636</v>
      </c>
      <c r="C138" s="19" t="s">
        <v>637</v>
      </c>
      <c r="D138" s="44" t="s">
        <v>638</v>
      </c>
      <c r="E138" s="2"/>
      <c r="F138" s="68" t="s">
        <v>639</v>
      </c>
      <c r="G138" s="48" t="s">
        <v>640</v>
      </c>
      <c r="H138" s="5" t="s">
        <v>641</v>
      </c>
      <c r="I138" s="116" t="s">
        <v>642</v>
      </c>
      <c r="J138" s="6" t="s">
        <v>92</v>
      </c>
      <c r="K138" s="6" t="s">
        <v>643</v>
      </c>
      <c r="L138" s="3" t="s">
        <v>40</v>
      </c>
      <c r="M138" s="16" t="s">
        <v>471</v>
      </c>
      <c r="N138" s="3" t="str">
        <f t="shared" si="2"/>
        <v>1  Year</v>
      </c>
      <c r="O138" s="3" t="s">
        <v>42</v>
      </c>
      <c r="P138" s="3" t="s">
        <v>472</v>
      </c>
      <c r="Q138" s="3">
        <v>2025</v>
      </c>
      <c r="R138" s="6" t="s">
        <v>44</v>
      </c>
      <c r="S138" s="6" t="s">
        <v>45</v>
      </c>
      <c r="T138" s="4" t="s">
        <v>644</v>
      </c>
      <c r="Y138" t="s">
        <v>47</v>
      </c>
    </row>
    <row r="139" spans="1:25" ht="31.8">
      <c r="A139">
        <v>95</v>
      </c>
      <c r="B139" s="2" t="s">
        <v>645</v>
      </c>
      <c r="C139" s="19" t="s">
        <v>646</v>
      </c>
      <c r="D139" s="44" t="s">
        <v>585</v>
      </c>
      <c r="E139" s="2"/>
      <c r="F139" s="68" t="s">
        <v>77</v>
      </c>
      <c r="G139" s="48" t="s">
        <v>586</v>
      </c>
      <c r="H139" s="5" t="s">
        <v>647</v>
      </c>
      <c r="I139" s="116" t="s">
        <v>648</v>
      </c>
      <c r="J139" s="6" t="s">
        <v>57</v>
      </c>
      <c r="K139" s="6" t="s">
        <v>649</v>
      </c>
      <c r="L139" s="3" t="s">
        <v>90</v>
      </c>
      <c r="M139" s="16" t="s">
        <v>471</v>
      </c>
      <c r="N139" s="3" t="str">
        <f t="shared" si="2"/>
        <v>2 Years</v>
      </c>
      <c r="O139" s="3" t="s">
        <v>42</v>
      </c>
      <c r="P139" s="3" t="s">
        <v>472</v>
      </c>
      <c r="Q139" s="3">
        <v>2025</v>
      </c>
      <c r="R139" s="6" t="s">
        <v>44</v>
      </c>
      <c r="S139" s="6" t="s">
        <v>45</v>
      </c>
      <c r="T139" s="4" t="s">
        <v>650</v>
      </c>
      <c r="Y139" t="s">
        <v>47</v>
      </c>
    </row>
    <row r="140" spans="1:25" ht="28.8">
      <c r="A140">
        <v>96</v>
      </c>
      <c r="B140" s="2" t="s">
        <v>651</v>
      </c>
      <c r="C140" s="19" t="s">
        <v>652</v>
      </c>
      <c r="D140" s="44" t="s">
        <v>653</v>
      </c>
      <c r="E140" s="2"/>
      <c r="F140" s="68" t="s">
        <v>654</v>
      </c>
      <c r="G140" s="48" t="s">
        <v>655</v>
      </c>
      <c r="I140" s="116" t="s">
        <v>220</v>
      </c>
      <c r="J140" s="6" t="s">
        <v>48</v>
      </c>
      <c r="K140" s="6" t="s">
        <v>656</v>
      </c>
      <c r="L140" s="3" t="s">
        <v>40</v>
      </c>
      <c r="M140" s="16" t="s">
        <v>471</v>
      </c>
      <c r="N140" s="3" t="str">
        <f t="shared" si="2"/>
        <v>1  Year</v>
      </c>
      <c r="O140" s="3" t="s">
        <v>202</v>
      </c>
      <c r="P140" s="3" t="s">
        <v>472</v>
      </c>
      <c r="Q140" s="3">
        <v>2025</v>
      </c>
      <c r="R140" s="6" t="s">
        <v>498</v>
      </c>
      <c r="S140" s="6" t="s">
        <v>45</v>
      </c>
      <c r="T140" s="5" t="s">
        <v>657</v>
      </c>
      <c r="Y140" t="s">
        <v>47</v>
      </c>
    </row>
    <row r="141" spans="1:25" ht="28.8">
      <c r="A141">
        <v>97</v>
      </c>
      <c r="B141" s="2" t="s">
        <v>658</v>
      </c>
      <c r="C141" s="19" t="s">
        <v>659</v>
      </c>
      <c r="D141" s="44" t="s">
        <v>660</v>
      </c>
      <c r="E141" s="2"/>
      <c r="F141" s="68" t="s">
        <v>654</v>
      </c>
      <c r="G141" s="48" t="s">
        <v>655</v>
      </c>
      <c r="I141" s="116" t="s">
        <v>220</v>
      </c>
      <c r="J141" s="6" t="s">
        <v>48</v>
      </c>
      <c r="K141" s="6" t="s">
        <v>661</v>
      </c>
      <c r="L141" s="3" t="s">
        <v>40</v>
      </c>
      <c r="M141" s="16" t="s">
        <v>471</v>
      </c>
      <c r="N141" s="3" t="str">
        <f t="shared" si="2"/>
        <v>1  Year</v>
      </c>
      <c r="O141" s="3" t="s">
        <v>202</v>
      </c>
      <c r="P141" s="3" t="s">
        <v>472</v>
      </c>
      <c r="Q141" s="3">
        <v>2025</v>
      </c>
      <c r="R141" s="6" t="s">
        <v>498</v>
      </c>
      <c r="S141" s="6" t="s">
        <v>45</v>
      </c>
      <c r="T141" s="5" t="s">
        <v>662</v>
      </c>
      <c r="Y141" t="s">
        <v>47</v>
      </c>
    </row>
    <row r="142" spans="1:25" ht="28.8">
      <c r="A142">
        <v>98</v>
      </c>
      <c r="B142" s="2" t="s">
        <v>663</v>
      </c>
      <c r="C142" s="19" t="s">
        <v>664</v>
      </c>
      <c r="D142" s="44" t="s">
        <v>665</v>
      </c>
      <c r="E142" s="2"/>
      <c r="F142" s="68" t="s">
        <v>511</v>
      </c>
      <c r="G142" s="48" t="s">
        <v>512</v>
      </c>
      <c r="I142" s="116" t="s">
        <v>513</v>
      </c>
      <c r="J142" s="6" t="s">
        <v>48</v>
      </c>
      <c r="K142" s="6" t="s">
        <v>666</v>
      </c>
      <c r="L142" s="3" t="s">
        <v>40</v>
      </c>
      <c r="M142" s="16" t="s">
        <v>471</v>
      </c>
      <c r="N142" s="3" t="str">
        <f t="shared" si="2"/>
        <v>1  Year</v>
      </c>
      <c r="O142" s="3" t="s">
        <v>202</v>
      </c>
      <c r="P142" s="3" t="s">
        <v>472</v>
      </c>
      <c r="Q142" s="3">
        <v>2025</v>
      </c>
      <c r="R142" s="6" t="s">
        <v>498</v>
      </c>
      <c r="S142" s="6" t="s">
        <v>45</v>
      </c>
      <c r="T142" s="5" t="s">
        <v>667</v>
      </c>
      <c r="Y142" t="s">
        <v>47</v>
      </c>
    </row>
    <row r="143" spans="1:25" ht="21.6">
      <c r="A143">
        <v>99</v>
      </c>
      <c r="B143" s="2" t="s">
        <v>668</v>
      </c>
      <c r="C143" s="19" t="s">
        <v>669</v>
      </c>
      <c r="D143" s="44" t="s">
        <v>670</v>
      </c>
      <c r="E143" s="2"/>
      <c r="F143" s="68" t="s">
        <v>654</v>
      </c>
      <c r="G143" s="48" t="s">
        <v>655</v>
      </c>
      <c r="I143" s="116" t="s">
        <v>220</v>
      </c>
      <c r="J143" s="6" t="s">
        <v>48</v>
      </c>
      <c r="K143" s="6" t="s">
        <v>671</v>
      </c>
      <c r="L143" s="3" t="s">
        <v>40</v>
      </c>
      <c r="M143" s="16" t="s">
        <v>471</v>
      </c>
      <c r="N143" s="3" t="str">
        <f t="shared" si="2"/>
        <v>1  Year</v>
      </c>
      <c r="O143" s="3" t="s">
        <v>202</v>
      </c>
      <c r="P143" s="3" t="s">
        <v>472</v>
      </c>
      <c r="Q143" s="3">
        <v>2025</v>
      </c>
      <c r="R143" s="6" t="s">
        <v>498</v>
      </c>
      <c r="S143" s="6" t="s">
        <v>45</v>
      </c>
      <c r="T143" s="4" t="s">
        <v>672</v>
      </c>
      <c r="Y143" t="s">
        <v>47</v>
      </c>
    </row>
    <row r="144" spans="1:25" ht="21.6">
      <c r="A144">
        <v>100</v>
      </c>
      <c r="B144" s="2" t="s">
        <v>668</v>
      </c>
      <c r="C144" s="19" t="s">
        <v>669</v>
      </c>
      <c r="D144" s="44" t="s">
        <v>670</v>
      </c>
      <c r="E144" s="2"/>
      <c r="F144" s="68" t="s">
        <v>654</v>
      </c>
      <c r="G144" s="48" t="s">
        <v>655</v>
      </c>
      <c r="I144" s="116" t="s">
        <v>220</v>
      </c>
      <c r="J144" s="6" t="s">
        <v>48</v>
      </c>
      <c r="K144" s="6" t="s">
        <v>673</v>
      </c>
      <c r="L144" s="3" t="s">
        <v>40</v>
      </c>
      <c r="M144" s="16" t="s">
        <v>471</v>
      </c>
      <c r="N144" s="3" t="str">
        <f t="shared" si="2"/>
        <v>1  Year</v>
      </c>
      <c r="O144" s="3" t="s">
        <v>202</v>
      </c>
      <c r="P144" s="3" t="s">
        <v>472</v>
      </c>
      <c r="Q144" s="3">
        <v>2025</v>
      </c>
      <c r="R144" s="6" t="s">
        <v>498</v>
      </c>
      <c r="S144" s="6" t="s">
        <v>45</v>
      </c>
      <c r="T144" s="4" t="s">
        <v>672</v>
      </c>
      <c r="Y144" t="s">
        <v>47</v>
      </c>
    </row>
    <row r="145" spans="1:25" ht="21.6">
      <c r="A145">
        <v>101</v>
      </c>
      <c r="B145" s="2" t="s">
        <v>668</v>
      </c>
      <c r="C145" s="19" t="s">
        <v>669</v>
      </c>
      <c r="D145" s="44" t="s">
        <v>670</v>
      </c>
      <c r="E145" s="2"/>
      <c r="F145" s="68" t="s">
        <v>654</v>
      </c>
      <c r="G145" s="48" t="s">
        <v>655</v>
      </c>
      <c r="I145" s="116" t="s">
        <v>220</v>
      </c>
      <c r="J145" s="6" t="s">
        <v>48</v>
      </c>
      <c r="K145" s="6" t="s">
        <v>674</v>
      </c>
      <c r="L145" s="3" t="s">
        <v>40</v>
      </c>
      <c r="M145" s="16" t="s">
        <v>471</v>
      </c>
      <c r="N145" s="3" t="str">
        <f t="shared" si="2"/>
        <v>1  Year</v>
      </c>
      <c r="O145" s="3" t="s">
        <v>202</v>
      </c>
      <c r="P145" s="3" t="s">
        <v>472</v>
      </c>
      <c r="Q145" s="3">
        <v>2025</v>
      </c>
      <c r="R145" s="6" t="s">
        <v>498</v>
      </c>
      <c r="S145" s="6" t="s">
        <v>45</v>
      </c>
      <c r="T145" s="4" t="s">
        <v>672</v>
      </c>
      <c r="Y145" t="s">
        <v>47</v>
      </c>
    </row>
    <row r="146" spans="1:25" ht="21.6">
      <c r="A146">
        <v>102</v>
      </c>
      <c r="B146" s="2" t="s">
        <v>668</v>
      </c>
      <c r="C146" s="19" t="s">
        <v>669</v>
      </c>
      <c r="D146" s="44" t="s">
        <v>670</v>
      </c>
      <c r="E146" s="2"/>
      <c r="F146" s="68" t="s">
        <v>654</v>
      </c>
      <c r="G146" s="48" t="s">
        <v>655</v>
      </c>
      <c r="I146" s="116" t="s">
        <v>220</v>
      </c>
      <c r="J146" s="6" t="s">
        <v>48</v>
      </c>
      <c r="K146" s="6" t="s">
        <v>675</v>
      </c>
      <c r="L146" s="3" t="s">
        <v>40</v>
      </c>
      <c r="M146" s="16" t="s">
        <v>471</v>
      </c>
      <c r="N146" s="3" t="str">
        <f t="shared" si="2"/>
        <v>1  Year</v>
      </c>
      <c r="O146" s="3" t="s">
        <v>202</v>
      </c>
      <c r="P146" s="3" t="s">
        <v>472</v>
      </c>
      <c r="Q146" s="3">
        <v>2025</v>
      </c>
      <c r="R146" s="6" t="s">
        <v>498</v>
      </c>
      <c r="S146" s="6" t="s">
        <v>45</v>
      </c>
      <c r="T146" s="4" t="s">
        <v>672</v>
      </c>
      <c r="Y146" t="s">
        <v>47</v>
      </c>
    </row>
    <row r="147" spans="1:25" ht="28.8">
      <c r="A147">
        <v>103</v>
      </c>
      <c r="B147" s="2" t="s">
        <v>676</v>
      </c>
      <c r="C147" s="19" t="s">
        <v>677</v>
      </c>
      <c r="D147" s="44" t="s">
        <v>678</v>
      </c>
      <c r="E147" s="2"/>
      <c r="F147" s="68" t="s">
        <v>679</v>
      </c>
      <c r="G147" s="48" t="s">
        <v>680</v>
      </c>
      <c r="H147" s="4" t="s">
        <v>372</v>
      </c>
      <c r="I147" s="119" t="s">
        <v>681</v>
      </c>
      <c r="J147" s="6" t="s">
        <v>48</v>
      </c>
      <c r="K147" s="6" t="s">
        <v>682</v>
      </c>
      <c r="L147" s="3" t="s">
        <v>40</v>
      </c>
      <c r="M147" s="16" t="s">
        <v>471</v>
      </c>
      <c r="N147" s="3" t="str">
        <f t="shared" si="2"/>
        <v>1  Year</v>
      </c>
      <c r="O147" s="3" t="s">
        <v>202</v>
      </c>
      <c r="P147" s="3" t="s">
        <v>472</v>
      </c>
      <c r="Q147" s="3">
        <v>2025</v>
      </c>
      <c r="R147" s="6" t="s">
        <v>498</v>
      </c>
      <c r="S147" s="6" t="s">
        <v>45</v>
      </c>
      <c r="T147" s="5" t="s">
        <v>683</v>
      </c>
      <c r="Y147" t="s">
        <v>47</v>
      </c>
    </row>
    <row r="148" spans="1:25" ht="28.8">
      <c r="A148">
        <v>103</v>
      </c>
      <c r="B148" s="2" t="s">
        <v>676</v>
      </c>
      <c r="C148" s="19" t="s">
        <v>677</v>
      </c>
      <c r="D148" s="44" t="s">
        <v>678</v>
      </c>
      <c r="E148" s="2"/>
      <c r="F148" s="68" t="s">
        <v>679</v>
      </c>
      <c r="G148" s="48" t="s">
        <v>680</v>
      </c>
      <c r="H148" s="4" t="s">
        <v>372</v>
      </c>
      <c r="I148" s="119" t="s">
        <v>681</v>
      </c>
      <c r="J148" s="6" t="s">
        <v>145</v>
      </c>
      <c r="K148" s="6" t="s">
        <v>682</v>
      </c>
      <c r="L148" s="3" t="s">
        <v>40</v>
      </c>
      <c r="M148" s="16" t="s">
        <v>471</v>
      </c>
      <c r="N148" s="3" t="str">
        <f t="shared" si="2"/>
        <v>1  Year</v>
      </c>
      <c r="O148" s="3" t="s">
        <v>202</v>
      </c>
      <c r="P148" s="3" t="s">
        <v>472</v>
      </c>
      <c r="Q148" s="3">
        <v>2025</v>
      </c>
      <c r="R148" s="6" t="s">
        <v>498</v>
      </c>
      <c r="S148" s="6" t="s">
        <v>45</v>
      </c>
      <c r="T148" s="5" t="s">
        <v>683</v>
      </c>
      <c r="Y148" t="s">
        <v>47</v>
      </c>
    </row>
    <row r="149" spans="1:25" ht="31.8">
      <c r="A149">
        <v>104</v>
      </c>
      <c r="B149" s="2" t="s">
        <v>684</v>
      </c>
      <c r="C149" s="19" t="s">
        <v>685</v>
      </c>
      <c r="D149" s="44" t="s">
        <v>686</v>
      </c>
      <c r="E149" s="2"/>
      <c r="F149" s="68" t="s">
        <v>687</v>
      </c>
      <c r="G149" s="48" t="s">
        <v>688</v>
      </c>
      <c r="I149" s="116" t="s">
        <v>689</v>
      </c>
      <c r="J149" s="6" t="s">
        <v>48</v>
      </c>
      <c r="K149" s="6" t="s">
        <v>690</v>
      </c>
      <c r="L149" s="3" t="s">
        <v>40</v>
      </c>
      <c r="M149" s="16" t="s">
        <v>471</v>
      </c>
      <c r="N149" s="3" t="str">
        <f t="shared" si="2"/>
        <v>1  Year</v>
      </c>
      <c r="O149" s="3" t="s">
        <v>202</v>
      </c>
      <c r="P149" s="3" t="s">
        <v>472</v>
      </c>
      <c r="Q149" s="3">
        <v>2025</v>
      </c>
      <c r="R149" s="6" t="s">
        <v>498</v>
      </c>
      <c r="S149" s="6" t="s">
        <v>691</v>
      </c>
      <c r="T149" s="4" t="s">
        <v>692</v>
      </c>
      <c r="Y149" t="s">
        <v>47</v>
      </c>
    </row>
    <row r="150" spans="1:25" ht="31.8">
      <c r="A150">
        <v>105</v>
      </c>
      <c r="B150" s="2" t="s">
        <v>684</v>
      </c>
      <c r="C150" s="19" t="s">
        <v>685</v>
      </c>
      <c r="D150" s="44" t="s">
        <v>693</v>
      </c>
      <c r="E150" s="2"/>
      <c r="F150" s="68" t="s">
        <v>687</v>
      </c>
      <c r="G150" s="48" t="s">
        <v>688</v>
      </c>
      <c r="I150" s="116" t="s">
        <v>689</v>
      </c>
      <c r="J150" s="6" t="s">
        <v>92</v>
      </c>
      <c r="K150" s="6" t="s">
        <v>690</v>
      </c>
      <c r="L150" s="3" t="s">
        <v>40</v>
      </c>
      <c r="M150" s="16" t="s">
        <v>471</v>
      </c>
      <c r="N150" s="3" t="str">
        <f t="shared" si="2"/>
        <v>1  Year</v>
      </c>
      <c r="O150" s="3" t="s">
        <v>202</v>
      </c>
      <c r="P150" s="3" t="s">
        <v>472</v>
      </c>
      <c r="Q150" s="3">
        <v>2025</v>
      </c>
      <c r="R150" s="6" t="s">
        <v>498</v>
      </c>
      <c r="S150" s="6" t="s">
        <v>691</v>
      </c>
      <c r="T150" s="4" t="s">
        <v>694</v>
      </c>
      <c r="Y150" t="s">
        <v>47</v>
      </c>
    </row>
    <row r="151" spans="1:25" ht="28.8">
      <c r="A151">
        <v>106</v>
      </c>
      <c r="B151" s="2" t="s">
        <v>695</v>
      </c>
      <c r="C151" s="19" t="s">
        <v>696</v>
      </c>
      <c r="D151" s="44" t="s">
        <v>389</v>
      </c>
      <c r="E151" s="2"/>
      <c r="F151" s="68" t="s">
        <v>697</v>
      </c>
      <c r="G151" s="48" t="s">
        <v>698</v>
      </c>
      <c r="H151" s="5" t="s">
        <v>699</v>
      </c>
      <c r="I151" s="116" t="s">
        <v>700</v>
      </c>
      <c r="J151" s="6" t="s">
        <v>159</v>
      </c>
      <c r="K151" s="6" t="s">
        <v>701</v>
      </c>
      <c r="L151" s="3" t="s">
        <v>40</v>
      </c>
      <c r="M151" s="16" t="s">
        <v>471</v>
      </c>
      <c r="N151" s="3" t="str">
        <f t="shared" si="2"/>
        <v>1  Year</v>
      </c>
      <c r="O151" s="3" t="s">
        <v>202</v>
      </c>
      <c r="P151" s="3" t="s">
        <v>472</v>
      </c>
      <c r="Q151" s="3">
        <v>2025</v>
      </c>
      <c r="R151" s="6" t="s">
        <v>498</v>
      </c>
      <c r="S151" s="6" t="s">
        <v>45</v>
      </c>
      <c r="T151" s="4" t="s">
        <v>702</v>
      </c>
      <c r="Y151" t="s">
        <v>47</v>
      </c>
    </row>
    <row r="152" spans="1:25" ht="28.8">
      <c r="A152">
        <v>107</v>
      </c>
      <c r="B152" s="2" t="s">
        <v>703</v>
      </c>
      <c r="C152" s="19" t="s">
        <v>704</v>
      </c>
      <c r="D152" s="44" t="s">
        <v>705</v>
      </c>
      <c r="E152" s="2"/>
      <c r="F152" s="68" t="s">
        <v>435</v>
      </c>
      <c r="G152" s="48" t="s">
        <v>706</v>
      </c>
      <c r="H152" s="5" t="s">
        <v>707</v>
      </c>
      <c r="I152" s="116" t="s">
        <v>438</v>
      </c>
      <c r="J152" s="6" t="s">
        <v>48</v>
      </c>
      <c r="K152" s="6" t="s">
        <v>708</v>
      </c>
      <c r="L152" s="3" t="s">
        <v>40</v>
      </c>
      <c r="M152" s="16" t="s">
        <v>471</v>
      </c>
      <c r="N152" s="3" t="str">
        <f t="shared" si="2"/>
        <v>1  Year</v>
      </c>
      <c r="O152" s="3" t="s">
        <v>202</v>
      </c>
      <c r="P152" s="3" t="s">
        <v>472</v>
      </c>
      <c r="Q152" s="3">
        <v>2025</v>
      </c>
      <c r="R152" s="6" t="s">
        <v>44</v>
      </c>
      <c r="S152" s="6" t="s">
        <v>709</v>
      </c>
      <c r="T152" s="4" t="s">
        <v>710</v>
      </c>
      <c r="Y152" t="s">
        <v>47</v>
      </c>
    </row>
    <row r="153" spans="1:25" ht="28.8">
      <c r="A153">
        <v>107</v>
      </c>
      <c r="B153" s="2" t="s">
        <v>703</v>
      </c>
      <c r="C153" s="19" t="s">
        <v>704</v>
      </c>
      <c r="D153" s="44" t="s">
        <v>705</v>
      </c>
      <c r="E153" s="2"/>
      <c r="F153" s="68" t="s">
        <v>435</v>
      </c>
      <c r="G153" s="48" t="s">
        <v>706</v>
      </c>
      <c r="H153" s="5" t="s">
        <v>707</v>
      </c>
      <c r="I153" s="116" t="s">
        <v>438</v>
      </c>
      <c r="J153" s="6" t="s">
        <v>145</v>
      </c>
      <c r="K153" s="6" t="s">
        <v>708</v>
      </c>
      <c r="L153" s="3" t="s">
        <v>40</v>
      </c>
      <c r="M153" s="16" t="s">
        <v>471</v>
      </c>
      <c r="N153" s="3" t="str">
        <f t="shared" si="2"/>
        <v>1  Year</v>
      </c>
      <c r="O153" s="3" t="s">
        <v>202</v>
      </c>
      <c r="P153" s="3" t="s">
        <v>472</v>
      </c>
      <c r="Q153" s="3">
        <v>2025</v>
      </c>
      <c r="R153" s="6" t="s">
        <v>44</v>
      </c>
      <c r="S153" s="6" t="s">
        <v>709</v>
      </c>
      <c r="T153" s="4" t="s">
        <v>710</v>
      </c>
      <c r="Y153" t="s">
        <v>47</v>
      </c>
    </row>
    <row r="154" spans="1:25" ht="28.8">
      <c r="A154">
        <v>108</v>
      </c>
      <c r="B154" s="2" t="s">
        <v>711</v>
      </c>
      <c r="C154" s="19" t="s">
        <v>712</v>
      </c>
      <c r="D154" s="44" t="s">
        <v>415</v>
      </c>
      <c r="E154" s="2"/>
      <c r="F154" s="68" t="s">
        <v>679</v>
      </c>
      <c r="G154" s="48" t="s">
        <v>713</v>
      </c>
      <c r="I154" s="116" t="s">
        <v>681</v>
      </c>
      <c r="J154" s="6" t="s">
        <v>88</v>
      </c>
      <c r="K154" s="6" t="s">
        <v>714</v>
      </c>
      <c r="L154" s="3" t="s">
        <v>40</v>
      </c>
      <c r="M154" s="16" t="s">
        <v>471</v>
      </c>
      <c r="N154" s="3" t="str">
        <f t="shared" si="2"/>
        <v>1  Year</v>
      </c>
      <c r="O154" s="3" t="s">
        <v>202</v>
      </c>
      <c r="P154" s="3" t="s">
        <v>472</v>
      </c>
      <c r="Q154" s="3">
        <v>2025</v>
      </c>
      <c r="R154" s="6" t="s">
        <v>498</v>
      </c>
      <c r="S154" s="6" t="s">
        <v>45</v>
      </c>
      <c r="T154" s="5" t="s">
        <v>715</v>
      </c>
      <c r="Y154" t="s">
        <v>47</v>
      </c>
    </row>
    <row r="155" spans="1:25" ht="28.8">
      <c r="A155">
        <v>108</v>
      </c>
      <c r="B155" s="2" t="s">
        <v>711</v>
      </c>
      <c r="C155" s="19" t="s">
        <v>712</v>
      </c>
      <c r="D155" s="44" t="s">
        <v>415</v>
      </c>
      <c r="E155" s="2"/>
      <c r="F155" s="68" t="s">
        <v>679</v>
      </c>
      <c r="G155" s="48" t="s">
        <v>713</v>
      </c>
      <c r="I155" s="116" t="s">
        <v>681</v>
      </c>
      <c r="J155" s="6" t="s">
        <v>145</v>
      </c>
      <c r="K155" s="6" t="s">
        <v>714</v>
      </c>
      <c r="L155" s="3" t="s">
        <v>40</v>
      </c>
      <c r="M155" s="16" t="s">
        <v>471</v>
      </c>
      <c r="N155" s="3" t="str">
        <f t="shared" si="2"/>
        <v>1  Year</v>
      </c>
      <c r="O155" s="3" t="s">
        <v>202</v>
      </c>
      <c r="P155" s="3" t="s">
        <v>472</v>
      </c>
      <c r="Q155" s="3">
        <v>2025</v>
      </c>
      <c r="R155" s="6" t="s">
        <v>498</v>
      </c>
      <c r="S155" s="6" t="s">
        <v>45</v>
      </c>
      <c r="T155" s="5" t="s">
        <v>715</v>
      </c>
      <c r="Y155" t="s">
        <v>47</v>
      </c>
    </row>
    <row r="156" spans="1:25" ht="28.8">
      <c r="A156">
        <v>109</v>
      </c>
      <c r="B156" s="2" t="s">
        <v>716</v>
      </c>
      <c r="C156" s="19" t="s">
        <v>717</v>
      </c>
      <c r="D156" s="44" t="s">
        <v>415</v>
      </c>
      <c r="E156" s="2"/>
      <c r="F156" s="68" t="s">
        <v>679</v>
      </c>
      <c r="G156" s="48" t="s">
        <v>713</v>
      </c>
      <c r="I156" s="116" t="s">
        <v>681</v>
      </c>
      <c r="J156" s="6" t="s">
        <v>48</v>
      </c>
      <c r="K156" s="6" t="s">
        <v>718</v>
      </c>
      <c r="L156" s="3" t="s">
        <v>40</v>
      </c>
      <c r="M156" s="16" t="s">
        <v>471</v>
      </c>
      <c r="N156" s="3" t="str">
        <f t="shared" si="2"/>
        <v>1  Year</v>
      </c>
      <c r="O156" s="3" t="s">
        <v>202</v>
      </c>
      <c r="P156" s="3" t="s">
        <v>472</v>
      </c>
      <c r="Q156" s="3">
        <v>2025</v>
      </c>
      <c r="R156" s="6" t="s">
        <v>498</v>
      </c>
      <c r="S156" s="6" t="s">
        <v>45</v>
      </c>
      <c r="T156" s="5" t="s">
        <v>719</v>
      </c>
      <c r="Y156" t="s">
        <v>47</v>
      </c>
    </row>
    <row r="157" spans="1:25" ht="28.8">
      <c r="A157">
        <v>109</v>
      </c>
      <c r="B157" s="2" t="s">
        <v>716</v>
      </c>
      <c r="C157" s="19" t="s">
        <v>717</v>
      </c>
      <c r="D157" s="44" t="s">
        <v>415</v>
      </c>
      <c r="E157" s="2"/>
      <c r="F157" s="68" t="s">
        <v>679</v>
      </c>
      <c r="G157" s="48" t="s">
        <v>713</v>
      </c>
      <c r="I157" s="116" t="s">
        <v>681</v>
      </c>
      <c r="J157" s="6" t="s">
        <v>145</v>
      </c>
      <c r="K157" s="6" t="s">
        <v>718</v>
      </c>
      <c r="L157" s="3" t="s">
        <v>40</v>
      </c>
      <c r="M157" s="16" t="s">
        <v>471</v>
      </c>
      <c r="N157" s="3" t="str">
        <f t="shared" si="2"/>
        <v>1  Year</v>
      </c>
      <c r="O157" s="3" t="s">
        <v>202</v>
      </c>
      <c r="P157" s="3" t="s">
        <v>472</v>
      </c>
      <c r="Q157" s="3">
        <v>2025</v>
      </c>
      <c r="R157" s="6" t="s">
        <v>498</v>
      </c>
      <c r="S157" s="6" t="s">
        <v>45</v>
      </c>
      <c r="T157" s="5" t="s">
        <v>719</v>
      </c>
      <c r="Y157" t="s">
        <v>47</v>
      </c>
    </row>
    <row r="158" spans="1:25" ht="21.6">
      <c r="A158">
        <v>110</v>
      </c>
      <c r="B158" s="2" t="s">
        <v>720</v>
      </c>
      <c r="C158" s="19" t="s">
        <v>721</v>
      </c>
      <c r="D158" s="44" t="s">
        <v>415</v>
      </c>
      <c r="E158" s="2"/>
      <c r="F158" s="68" t="s">
        <v>679</v>
      </c>
      <c r="G158" s="48" t="s">
        <v>713</v>
      </c>
      <c r="I158" s="116" t="s">
        <v>681</v>
      </c>
      <c r="J158" s="6" t="s">
        <v>48</v>
      </c>
      <c r="K158" s="6" t="s">
        <v>722</v>
      </c>
      <c r="L158" s="3" t="s">
        <v>40</v>
      </c>
      <c r="M158" s="16" t="s">
        <v>471</v>
      </c>
      <c r="N158" s="3" t="str">
        <f t="shared" si="2"/>
        <v>1  Year</v>
      </c>
      <c r="O158" s="3" t="s">
        <v>202</v>
      </c>
      <c r="P158" s="3" t="s">
        <v>472</v>
      </c>
      <c r="Q158" s="3">
        <v>2025</v>
      </c>
      <c r="R158" s="6" t="s">
        <v>498</v>
      </c>
      <c r="S158" s="6" t="s">
        <v>395</v>
      </c>
      <c r="T158" s="4" t="s">
        <v>723</v>
      </c>
      <c r="Y158" t="s">
        <v>47</v>
      </c>
    </row>
    <row r="159" spans="1:25" ht="21.6">
      <c r="A159">
        <v>110</v>
      </c>
      <c r="B159" s="2" t="s">
        <v>720</v>
      </c>
      <c r="C159" s="19" t="s">
        <v>721</v>
      </c>
      <c r="D159" s="44" t="s">
        <v>415</v>
      </c>
      <c r="E159" s="2"/>
      <c r="F159" s="68" t="s">
        <v>679</v>
      </c>
      <c r="G159" s="48" t="s">
        <v>713</v>
      </c>
      <c r="I159" s="116" t="s">
        <v>681</v>
      </c>
      <c r="J159" s="6" t="s">
        <v>145</v>
      </c>
      <c r="K159" s="6" t="s">
        <v>722</v>
      </c>
      <c r="L159" s="3" t="s">
        <v>40</v>
      </c>
      <c r="M159" s="16" t="s">
        <v>471</v>
      </c>
      <c r="N159" s="3" t="str">
        <f t="shared" si="2"/>
        <v>1  Year</v>
      </c>
      <c r="O159" s="3" t="s">
        <v>202</v>
      </c>
      <c r="P159" s="3" t="s">
        <v>472</v>
      </c>
      <c r="Q159" s="3">
        <v>2025</v>
      </c>
      <c r="R159" s="6" t="s">
        <v>498</v>
      </c>
      <c r="S159" s="6" t="s">
        <v>395</v>
      </c>
      <c r="T159" s="4" t="s">
        <v>723</v>
      </c>
      <c r="Y159" t="s">
        <v>47</v>
      </c>
    </row>
    <row r="160" spans="1:25" ht="21.6">
      <c r="A160">
        <v>111</v>
      </c>
      <c r="B160" s="2" t="s">
        <v>724</v>
      </c>
      <c r="C160" s="19" t="s">
        <v>725</v>
      </c>
      <c r="D160" s="44" t="s">
        <v>726</v>
      </c>
      <c r="E160" s="2"/>
      <c r="F160" s="68" t="s">
        <v>197</v>
      </c>
      <c r="G160" s="48" t="s">
        <v>727</v>
      </c>
      <c r="J160" s="6" t="s">
        <v>48</v>
      </c>
      <c r="K160" s="6" t="s">
        <v>728</v>
      </c>
      <c r="L160" s="3"/>
      <c r="M160" s="16" t="s">
        <v>471</v>
      </c>
      <c r="N160" s="3" t="str">
        <f t="shared" si="2"/>
        <v/>
      </c>
      <c r="O160" s="3" t="s">
        <v>202</v>
      </c>
      <c r="P160" s="3" t="s">
        <v>472</v>
      </c>
      <c r="Q160" s="3">
        <v>2025</v>
      </c>
      <c r="R160" s="6" t="s">
        <v>80</v>
      </c>
      <c r="S160" s="6" t="s">
        <v>45</v>
      </c>
      <c r="T160" s="4" t="s">
        <v>729</v>
      </c>
      <c r="Y160" t="s">
        <v>47</v>
      </c>
    </row>
    <row r="161" spans="1:25">
      <c r="A161">
        <v>112</v>
      </c>
      <c r="B161" s="2" t="s">
        <v>730</v>
      </c>
      <c r="C161" s="19" t="s">
        <v>731</v>
      </c>
      <c r="D161" s="44" t="s">
        <v>732</v>
      </c>
      <c r="E161" s="2"/>
      <c r="F161" s="68" t="s">
        <v>733</v>
      </c>
      <c r="G161" s="48" t="s">
        <v>734</v>
      </c>
      <c r="H161" s="5" t="s">
        <v>735</v>
      </c>
      <c r="I161" s="116" t="s">
        <v>736</v>
      </c>
      <c r="J161" s="6" t="s">
        <v>48</v>
      </c>
      <c r="K161" s="6" t="s">
        <v>737</v>
      </c>
      <c r="L161" s="3" t="s">
        <v>40</v>
      </c>
      <c r="M161" s="16" t="s">
        <v>471</v>
      </c>
      <c r="N161" s="3" t="str">
        <f t="shared" si="2"/>
        <v>1  Year</v>
      </c>
      <c r="O161" s="3" t="s">
        <v>202</v>
      </c>
      <c r="P161" s="3" t="s">
        <v>472</v>
      </c>
      <c r="Q161" s="3">
        <v>2025</v>
      </c>
      <c r="R161" s="6" t="s">
        <v>80</v>
      </c>
      <c r="S161" s="6" t="s">
        <v>45</v>
      </c>
      <c r="T161" s="4" t="s">
        <v>738</v>
      </c>
      <c r="Y161" t="s">
        <v>47</v>
      </c>
    </row>
    <row r="162" spans="1:25">
      <c r="A162">
        <v>113</v>
      </c>
      <c r="B162" s="2" t="s">
        <v>730</v>
      </c>
      <c r="C162" s="19" t="s">
        <v>731</v>
      </c>
      <c r="D162" s="44" t="s">
        <v>732</v>
      </c>
      <c r="E162" s="2"/>
      <c r="F162" s="68" t="s">
        <v>733</v>
      </c>
      <c r="G162" s="48" t="s">
        <v>734</v>
      </c>
      <c r="H162" s="5" t="s">
        <v>735</v>
      </c>
      <c r="I162" s="116" t="s">
        <v>736</v>
      </c>
      <c r="J162" s="6" t="s">
        <v>48</v>
      </c>
      <c r="K162" s="6" t="s">
        <v>739</v>
      </c>
      <c r="L162" s="3" t="s">
        <v>40</v>
      </c>
      <c r="M162" s="16" t="s">
        <v>471</v>
      </c>
      <c r="N162" s="3" t="str">
        <f t="shared" si="2"/>
        <v>1  Year</v>
      </c>
      <c r="O162" s="3" t="s">
        <v>202</v>
      </c>
      <c r="P162" s="3" t="s">
        <v>472</v>
      </c>
      <c r="Q162" s="3">
        <v>2025</v>
      </c>
      <c r="R162" s="6" t="s">
        <v>80</v>
      </c>
      <c r="S162" s="6" t="s">
        <v>45</v>
      </c>
      <c r="T162" s="4" t="s">
        <v>738</v>
      </c>
      <c r="Y162" t="s">
        <v>47</v>
      </c>
    </row>
    <row r="163" spans="1:25">
      <c r="A163">
        <v>114</v>
      </c>
      <c r="B163" s="2" t="s">
        <v>730</v>
      </c>
      <c r="C163" s="19" t="s">
        <v>731</v>
      </c>
      <c r="D163" s="44" t="s">
        <v>732</v>
      </c>
      <c r="E163" s="2"/>
      <c r="F163" s="68" t="s">
        <v>733</v>
      </c>
      <c r="G163" s="48" t="s">
        <v>734</v>
      </c>
      <c r="H163" s="5" t="s">
        <v>735</v>
      </c>
      <c r="I163" s="116" t="s">
        <v>736</v>
      </c>
      <c r="J163" s="6" t="s">
        <v>48</v>
      </c>
      <c r="K163" s="6" t="s">
        <v>740</v>
      </c>
      <c r="L163" s="3" t="s">
        <v>40</v>
      </c>
      <c r="M163" s="16" t="s">
        <v>471</v>
      </c>
      <c r="N163" s="3" t="str">
        <f t="shared" si="2"/>
        <v>1  Year</v>
      </c>
      <c r="O163" s="3" t="s">
        <v>202</v>
      </c>
      <c r="P163" s="3" t="s">
        <v>472</v>
      </c>
      <c r="Q163" s="3">
        <v>2025</v>
      </c>
      <c r="R163" s="6" t="s">
        <v>80</v>
      </c>
      <c r="S163" s="6" t="s">
        <v>45</v>
      </c>
      <c r="T163" s="4" t="s">
        <v>738</v>
      </c>
      <c r="Y163" t="s">
        <v>47</v>
      </c>
    </row>
    <row r="164" spans="1:25">
      <c r="A164">
        <v>115</v>
      </c>
      <c r="B164" s="2" t="s">
        <v>730</v>
      </c>
      <c r="C164" s="19" t="s">
        <v>731</v>
      </c>
      <c r="D164" s="44" t="s">
        <v>732</v>
      </c>
      <c r="E164" s="2"/>
      <c r="F164" s="68" t="s">
        <v>733</v>
      </c>
      <c r="G164" s="48" t="s">
        <v>734</v>
      </c>
      <c r="H164" s="5" t="s">
        <v>735</v>
      </c>
      <c r="I164" s="116" t="s">
        <v>736</v>
      </c>
      <c r="J164" s="6" t="s">
        <v>48</v>
      </c>
      <c r="K164" s="6" t="s">
        <v>741</v>
      </c>
      <c r="L164" s="3" t="s">
        <v>40</v>
      </c>
      <c r="M164" s="16" t="s">
        <v>471</v>
      </c>
      <c r="N164" s="3" t="str">
        <f t="shared" si="2"/>
        <v>1  Year</v>
      </c>
      <c r="O164" s="3" t="s">
        <v>202</v>
      </c>
      <c r="P164" s="3" t="s">
        <v>472</v>
      </c>
      <c r="Q164" s="3">
        <v>2025</v>
      </c>
      <c r="R164" s="6" t="s">
        <v>80</v>
      </c>
      <c r="S164" s="6" t="s">
        <v>45</v>
      </c>
      <c r="T164" s="4" t="s">
        <v>738</v>
      </c>
      <c r="Y164" t="s">
        <v>47</v>
      </c>
    </row>
    <row r="165" spans="1:25" ht="21.6">
      <c r="A165">
        <v>116</v>
      </c>
      <c r="B165" s="2" t="s">
        <v>742</v>
      </c>
      <c r="C165" s="19" t="s">
        <v>743</v>
      </c>
      <c r="D165" s="44" t="s">
        <v>114</v>
      </c>
      <c r="E165" s="2"/>
      <c r="F165" s="68" t="s">
        <v>744</v>
      </c>
      <c r="G165" s="48" t="s">
        <v>745</v>
      </c>
      <c r="H165" s="5" t="s">
        <v>746</v>
      </c>
      <c r="I165" s="116" t="s">
        <v>747</v>
      </c>
      <c r="J165" s="6" t="s">
        <v>145</v>
      </c>
      <c r="K165" s="6" t="s">
        <v>748</v>
      </c>
      <c r="L165" s="3" t="s">
        <v>40</v>
      </c>
      <c r="M165" s="16" t="s">
        <v>471</v>
      </c>
      <c r="N165" s="3" t="str">
        <f t="shared" si="2"/>
        <v>1  Year</v>
      </c>
      <c r="O165" s="3" t="s">
        <v>202</v>
      </c>
      <c r="P165" s="3" t="s">
        <v>472</v>
      </c>
      <c r="Q165" s="3">
        <v>2025</v>
      </c>
      <c r="R165" s="6" t="s">
        <v>80</v>
      </c>
      <c r="S165" s="6" t="s">
        <v>45</v>
      </c>
      <c r="T165" s="4" t="s">
        <v>749</v>
      </c>
      <c r="Y165" t="s">
        <v>47</v>
      </c>
    </row>
    <row r="166" spans="1:25" ht="43.2">
      <c r="A166">
        <v>117</v>
      </c>
      <c r="B166" s="2" t="s">
        <v>750</v>
      </c>
      <c r="C166" s="19" t="s">
        <v>751</v>
      </c>
      <c r="D166" s="44" t="s">
        <v>571</v>
      </c>
      <c r="E166" s="2"/>
      <c r="F166" s="68" t="s">
        <v>752</v>
      </c>
      <c r="G166" s="48" t="s">
        <v>753</v>
      </c>
      <c r="H166" s="5" t="s">
        <v>754</v>
      </c>
      <c r="I166" s="116" t="s">
        <v>755</v>
      </c>
      <c r="J166" s="6" t="s">
        <v>38</v>
      </c>
      <c r="K166" s="6" t="s">
        <v>756</v>
      </c>
      <c r="L166" s="3" t="s">
        <v>40</v>
      </c>
      <c r="M166" s="16" t="s">
        <v>757</v>
      </c>
      <c r="N166" s="3" t="str">
        <f t="shared" si="2"/>
        <v>1  Year</v>
      </c>
      <c r="O166" s="3" t="s">
        <v>42</v>
      </c>
      <c r="P166" s="3" t="s">
        <v>758</v>
      </c>
      <c r="Q166" s="3">
        <v>2025</v>
      </c>
      <c r="R166" s="6" t="s">
        <v>80</v>
      </c>
      <c r="S166" s="6" t="s">
        <v>45</v>
      </c>
      <c r="T166" s="5" t="s">
        <v>759</v>
      </c>
      <c r="Y166" t="s">
        <v>47</v>
      </c>
    </row>
    <row r="167" spans="1:25" ht="21.6">
      <c r="A167">
        <v>118</v>
      </c>
      <c r="B167" s="2" t="s">
        <v>760</v>
      </c>
      <c r="C167" s="19" t="s">
        <v>761</v>
      </c>
      <c r="D167" s="44" t="s">
        <v>762</v>
      </c>
      <c r="E167" s="2"/>
      <c r="F167" s="68" t="s">
        <v>763</v>
      </c>
      <c r="G167" s="48" t="s">
        <v>764</v>
      </c>
      <c r="J167" s="6" t="s">
        <v>48</v>
      </c>
      <c r="K167" s="6" t="s">
        <v>765</v>
      </c>
      <c r="L167" s="3" t="s">
        <v>40</v>
      </c>
      <c r="M167" s="16" t="s">
        <v>757</v>
      </c>
      <c r="N167" s="3" t="str">
        <f t="shared" si="2"/>
        <v>1  Year</v>
      </c>
      <c r="O167" s="3" t="s">
        <v>42</v>
      </c>
      <c r="P167" s="3" t="s">
        <v>758</v>
      </c>
      <c r="Q167" s="3">
        <v>2025</v>
      </c>
      <c r="R167" s="6" t="s">
        <v>80</v>
      </c>
      <c r="S167" s="6" t="s">
        <v>45</v>
      </c>
      <c r="T167" s="4" t="s">
        <v>766</v>
      </c>
      <c r="Y167" t="s">
        <v>47</v>
      </c>
    </row>
    <row r="168" spans="1:25" ht="28.8">
      <c r="A168">
        <v>119</v>
      </c>
      <c r="B168" s="2" t="s">
        <v>767</v>
      </c>
      <c r="C168" s="19" t="s">
        <v>768</v>
      </c>
      <c r="D168" s="44" t="s">
        <v>494</v>
      </c>
      <c r="E168" s="2"/>
      <c r="F168" s="68" t="s">
        <v>769</v>
      </c>
      <c r="G168" s="48" t="s">
        <v>770</v>
      </c>
      <c r="H168" s="5" t="s">
        <v>771</v>
      </c>
      <c r="I168" s="116" t="s">
        <v>772</v>
      </c>
      <c r="J168" s="6" t="s">
        <v>48</v>
      </c>
      <c r="K168" s="6" t="s">
        <v>773</v>
      </c>
      <c r="L168" s="3" t="s">
        <v>40</v>
      </c>
      <c r="M168" s="16" t="s">
        <v>757</v>
      </c>
      <c r="N168" s="3" t="str">
        <f t="shared" si="2"/>
        <v>1  Year</v>
      </c>
      <c r="O168" s="3" t="s">
        <v>42</v>
      </c>
      <c r="P168" s="3" t="s">
        <v>758</v>
      </c>
      <c r="Q168" s="3">
        <v>2025</v>
      </c>
      <c r="R168" s="6" t="s">
        <v>80</v>
      </c>
      <c r="S168" s="6" t="s">
        <v>45</v>
      </c>
      <c r="T168" s="4" t="s">
        <v>774</v>
      </c>
      <c r="Y168" t="s">
        <v>47</v>
      </c>
    </row>
    <row r="169" spans="1:25" ht="28.8">
      <c r="A169">
        <v>120</v>
      </c>
      <c r="B169" s="2" t="s">
        <v>775</v>
      </c>
      <c r="C169" s="19" t="s">
        <v>776</v>
      </c>
      <c r="D169" s="44" t="s">
        <v>525</v>
      </c>
      <c r="E169" s="2"/>
      <c r="F169" s="68" t="s">
        <v>777</v>
      </c>
      <c r="G169" s="48" t="s">
        <v>778</v>
      </c>
      <c r="H169" s="5" t="s">
        <v>779</v>
      </c>
      <c r="I169" s="116" t="s">
        <v>780</v>
      </c>
      <c r="J169" s="6" t="s">
        <v>92</v>
      </c>
      <c r="K169" s="6" t="s">
        <v>781</v>
      </c>
      <c r="L169" s="3" t="s">
        <v>40</v>
      </c>
      <c r="M169" s="16" t="s">
        <v>757</v>
      </c>
      <c r="N169" s="3" t="str">
        <f t="shared" si="2"/>
        <v>1  Year</v>
      </c>
      <c r="O169" s="3" t="s">
        <v>42</v>
      </c>
      <c r="P169" s="3" t="s">
        <v>758</v>
      </c>
      <c r="Q169" s="3">
        <v>2025</v>
      </c>
      <c r="R169" s="6" t="s">
        <v>80</v>
      </c>
      <c r="S169" s="6" t="s">
        <v>45</v>
      </c>
      <c r="T169" s="5" t="s">
        <v>782</v>
      </c>
      <c r="Y169" t="s">
        <v>47</v>
      </c>
    </row>
    <row r="170" spans="1:25" ht="28.8">
      <c r="A170">
        <v>120</v>
      </c>
      <c r="B170" s="2" t="s">
        <v>775</v>
      </c>
      <c r="C170" s="19" t="s">
        <v>776</v>
      </c>
      <c r="D170" s="44" t="s">
        <v>525</v>
      </c>
      <c r="E170" s="2"/>
      <c r="F170" s="68" t="s">
        <v>777</v>
      </c>
      <c r="G170" s="48" t="s">
        <v>778</v>
      </c>
      <c r="H170" s="5" t="s">
        <v>779</v>
      </c>
      <c r="I170" s="116" t="s">
        <v>780</v>
      </c>
      <c r="J170" s="6" t="s">
        <v>145</v>
      </c>
      <c r="K170" s="6" t="s">
        <v>781</v>
      </c>
      <c r="L170" s="3" t="s">
        <v>40</v>
      </c>
      <c r="M170" s="16" t="s">
        <v>757</v>
      </c>
      <c r="N170" s="3" t="str">
        <f t="shared" si="2"/>
        <v>1  Year</v>
      </c>
      <c r="O170" s="3" t="s">
        <v>42</v>
      </c>
      <c r="P170" s="3" t="s">
        <v>758</v>
      </c>
      <c r="Q170" s="3">
        <v>2025</v>
      </c>
      <c r="R170" s="6" t="s">
        <v>80</v>
      </c>
      <c r="S170" s="6" t="s">
        <v>45</v>
      </c>
      <c r="T170" s="5" t="s">
        <v>782</v>
      </c>
      <c r="Y170" t="s">
        <v>47</v>
      </c>
    </row>
    <row r="171" spans="1:25" ht="28.8">
      <c r="A171">
        <v>120</v>
      </c>
      <c r="B171" s="2" t="s">
        <v>775</v>
      </c>
      <c r="C171" s="19" t="s">
        <v>776</v>
      </c>
      <c r="D171" s="44" t="s">
        <v>525</v>
      </c>
      <c r="E171" s="2"/>
      <c r="F171" s="68" t="s">
        <v>777</v>
      </c>
      <c r="G171" s="48" t="s">
        <v>778</v>
      </c>
      <c r="H171" s="5" t="s">
        <v>779</v>
      </c>
      <c r="I171" s="116" t="s">
        <v>780</v>
      </c>
      <c r="J171" s="6" t="s">
        <v>48</v>
      </c>
      <c r="K171" s="6" t="s">
        <v>781</v>
      </c>
      <c r="L171" s="3" t="s">
        <v>40</v>
      </c>
      <c r="M171" s="16" t="s">
        <v>757</v>
      </c>
      <c r="N171" s="3" t="str">
        <f t="shared" si="2"/>
        <v>1  Year</v>
      </c>
      <c r="O171" s="3" t="s">
        <v>42</v>
      </c>
      <c r="P171" s="3" t="s">
        <v>758</v>
      </c>
      <c r="Q171" s="3">
        <v>2025</v>
      </c>
      <c r="R171" s="6" t="s">
        <v>80</v>
      </c>
      <c r="S171" s="6" t="s">
        <v>45</v>
      </c>
      <c r="T171" s="5" t="s">
        <v>782</v>
      </c>
      <c r="Y171" t="s">
        <v>47</v>
      </c>
    </row>
    <row r="172" spans="1:25" ht="28.8">
      <c r="A172">
        <v>121</v>
      </c>
      <c r="B172" s="2" t="s">
        <v>783</v>
      </c>
      <c r="C172" s="19" t="s">
        <v>784</v>
      </c>
      <c r="D172" s="44" t="s">
        <v>726</v>
      </c>
      <c r="E172" s="2"/>
      <c r="F172" s="68" t="s">
        <v>785</v>
      </c>
      <c r="G172" s="48" t="s">
        <v>786</v>
      </c>
      <c r="J172" s="6" t="s">
        <v>48</v>
      </c>
      <c r="K172" s="6" t="s">
        <v>787</v>
      </c>
      <c r="L172" s="3" t="s">
        <v>40</v>
      </c>
      <c r="M172" s="16" t="s">
        <v>757</v>
      </c>
      <c r="N172" s="3" t="str">
        <f t="shared" si="2"/>
        <v>1  Year</v>
      </c>
      <c r="O172" s="3" t="s">
        <v>42</v>
      </c>
      <c r="P172" s="3" t="s">
        <v>758</v>
      </c>
      <c r="Q172" s="3">
        <v>2025</v>
      </c>
      <c r="R172" s="6" t="s">
        <v>44</v>
      </c>
      <c r="S172" s="6" t="s">
        <v>45</v>
      </c>
      <c r="T172" s="5" t="s">
        <v>788</v>
      </c>
      <c r="Y172" t="s">
        <v>47</v>
      </c>
    </row>
    <row r="173" spans="1:25" ht="28.8">
      <c r="A173">
        <v>122</v>
      </c>
      <c r="B173" s="2" t="s">
        <v>789</v>
      </c>
      <c r="C173" s="19" t="s">
        <v>790</v>
      </c>
      <c r="D173" s="44" t="s">
        <v>791</v>
      </c>
      <c r="E173" s="2"/>
      <c r="F173" s="68" t="s">
        <v>777</v>
      </c>
      <c r="G173" s="48" t="s">
        <v>792</v>
      </c>
      <c r="H173" s="5" t="s">
        <v>779</v>
      </c>
      <c r="I173" s="116" t="s">
        <v>780</v>
      </c>
      <c r="J173" s="6" t="s">
        <v>88</v>
      </c>
      <c r="K173" s="6" t="s">
        <v>793</v>
      </c>
      <c r="L173" s="3" t="s">
        <v>40</v>
      </c>
      <c r="M173" s="16" t="s">
        <v>757</v>
      </c>
      <c r="N173" s="3" t="str">
        <f t="shared" si="2"/>
        <v>1  Year</v>
      </c>
      <c r="O173" s="3" t="s">
        <v>42</v>
      </c>
      <c r="P173" s="3" t="s">
        <v>758</v>
      </c>
      <c r="Q173" s="3">
        <v>2025</v>
      </c>
      <c r="R173" s="6" t="s">
        <v>44</v>
      </c>
      <c r="S173" s="6" t="s">
        <v>45</v>
      </c>
      <c r="T173" s="4" t="s">
        <v>794</v>
      </c>
      <c r="Y173" t="s">
        <v>47</v>
      </c>
    </row>
    <row r="174" spans="1:25" ht="21.6">
      <c r="A174">
        <v>123</v>
      </c>
      <c r="B174" s="2" t="s">
        <v>795</v>
      </c>
      <c r="C174" s="19" t="s">
        <v>796</v>
      </c>
      <c r="D174" s="44" t="s">
        <v>797</v>
      </c>
      <c r="E174" s="2"/>
      <c r="F174" s="68" t="s">
        <v>798</v>
      </c>
      <c r="G174" s="48" t="s">
        <v>799</v>
      </c>
      <c r="J174" s="6" t="s">
        <v>800</v>
      </c>
      <c r="K174" s="6" t="s">
        <v>801</v>
      </c>
      <c r="L174" s="3" t="s">
        <v>802</v>
      </c>
      <c r="M174" s="16" t="s">
        <v>757</v>
      </c>
      <c r="N174" s="3" t="str">
        <f t="shared" si="2"/>
        <v>15 Weeks</v>
      </c>
      <c r="O174" s="3" t="s">
        <v>42</v>
      </c>
      <c r="P174" s="3" t="s">
        <v>758</v>
      </c>
      <c r="Q174" s="3">
        <v>2025</v>
      </c>
      <c r="R174" s="6" t="s">
        <v>44</v>
      </c>
      <c r="S174" s="6" t="s">
        <v>45</v>
      </c>
      <c r="T174" s="4" t="s">
        <v>803</v>
      </c>
      <c r="Y174" t="s">
        <v>47</v>
      </c>
    </row>
    <row r="175" spans="1:25" ht="28.8">
      <c r="A175">
        <v>124</v>
      </c>
      <c r="B175" s="2" t="s">
        <v>804</v>
      </c>
      <c r="C175" s="19" t="s">
        <v>805</v>
      </c>
      <c r="D175" s="44" t="s">
        <v>207</v>
      </c>
      <c r="E175" s="2" t="s">
        <v>182</v>
      </c>
      <c r="F175" s="68" t="s">
        <v>806</v>
      </c>
      <c r="G175" s="48" t="s">
        <v>807</v>
      </c>
      <c r="H175" s="5" t="s">
        <v>808</v>
      </c>
      <c r="I175" s="117" t="s">
        <v>809</v>
      </c>
      <c r="J175" s="6" t="s">
        <v>92</v>
      </c>
      <c r="K175" s="6" t="s">
        <v>810</v>
      </c>
      <c r="L175" s="3" t="s">
        <v>40</v>
      </c>
      <c r="M175" s="16" t="s">
        <v>757</v>
      </c>
      <c r="N175" s="3" t="str">
        <f t="shared" si="2"/>
        <v>1  Year</v>
      </c>
      <c r="O175" s="3" t="s">
        <v>811</v>
      </c>
      <c r="P175" s="3" t="s">
        <v>758</v>
      </c>
      <c r="Q175" s="3">
        <v>2025</v>
      </c>
      <c r="R175" s="6" t="s">
        <v>44</v>
      </c>
      <c r="S175" s="6" t="s">
        <v>45</v>
      </c>
      <c r="T175" s="4" t="s">
        <v>812</v>
      </c>
      <c r="Y175" t="s">
        <v>47</v>
      </c>
    </row>
    <row r="176" spans="1:25" ht="28.8">
      <c r="A176">
        <v>124</v>
      </c>
      <c r="B176" s="2" t="s">
        <v>804</v>
      </c>
      <c r="C176" s="19" t="s">
        <v>805</v>
      </c>
      <c r="D176" s="44" t="s">
        <v>207</v>
      </c>
      <c r="E176" s="2" t="s">
        <v>182</v>
      </c>
      <c r="F176" s="68" t="s">
        <v>806</v>
      </c>
      <c r="G176" s="48" t="s">
        <v>807</v>
      </c>
      <c r="H176" s="5" t="s">
        <v>808</v>
      </c>
      <c r="I176" s="117" t="s">
        <v>809</v>
      </c>
      <c r="J176" s="6" t="s">
        <v>48</v>
      </c>
      <c r="K176" s="6" t="s">
        <v>810</v>
      </c>
      <c r="L176" s="3" t="s">
        <v>40</v>
      </c>
      <c r="M176" s="16" t="s">
        <v>757</v>
      </c>
      <c r="N176" s="3" t="str">
        <f t="shared" si="2"/>
        <v>1  Year</v>
      </c>
      <c r="O176" s="3" t="s">
        <v>811</v>
      </c>
      <c r="P176" s="3" t="s">
        <v>758</v>
      </c>
      <c r="Q176" s="3">
        <v>2025</v>
      </c>
      <c r="R176" s="6" t="s">
        <v>44</v>
      </c>
      <c r="S176" s="6" t="s">
        <v>45</v>
      </c>
      <c r="T176" s="4" t="s">
        <v>812</v>
      </c>
      <c r="Y176" t="s">
        <v>47</v>
      </c>
    </row>
    <row r="177" spans="1:29" ht="28.8">
      <c r="A177">
        <v>124</v>
      </c>
      <c r="B177" s="2" t="s">
        <v>804</v>
      </c>
      <c r="C177" s="19" t="s">
        <v>805</v>
      </c>
      <c r="D177" s="44" t="s">
        <v>207</v>
      </c>
      <c r="E177" s="2" t="s">
        <v>182</v>
      </c>
      <c r="F177" s="68" t="s">
        <v>806</v>
      </c>
      <c r="G177" s="48" t="s">
        <v>807</v>
      </c>
      <c r="H177" s="5" t="s">
        <v>808</v>
      </c>
      <c r="I177" s="117" t="s">
        <v>809</v>
      </c>
      <c r="J177" s="6" t="s">
        <v>145</v>
      </c>
      <c r="K177" s="6" t="s">
        <v>810</v>
      </c>
      <c r="L177" s="3" t="s">
        <v>40</v>
      </c>
      <c r="M177" s="16" t="s">
        <v>757</v>
      </c>
      <c r="N177" s="3" t="str">
        <f t="shared" si="2"/>
        <v>1  Year</v>
      </c>
      <c r="O177" s="3" t="s">
        <v>811</v>
      </c>
      <c r="P177" s="3" t="s">
        <v>758</v>
      </c>
      <c r="Q177" s="3">
        <v>2025</v>
      </c>
      <c r="R177" s="6" t="s">
        <v>44</v>
      </c>
      <c r="S177" s="6" t="s">
        <v>45</v>
      </c>
      <c r="T177" s="4" t="s">
        <v>812</v>
      </c>
      <c r="U177" t="s">
        <v>813</v>
      </c>
      <c r="W177" t="s">
        <v>814</v>
      </c>
      <c r="X177" t="s">
        <v>102</v>
      </c>
      <c r="Y177" s="79" t="s">
        <v>103</v>
      </c>
      <c r="Z177" t="s">
        <v>104</v>
      </c>
      <c r="AA177" s="4" t="s">
        <v>804</v>
      </c>
      <c r="AB177" t="s">
        <v>165</v>
      </c>
      <c r="AC177" s="80" t="s">
        <v>815</v>
      </c>
    </row>
    <row r="178" spans="1:29" ht="28.8">
      <c r="A178">
        <v>125</v>
      </c>
      <c r="B178" s="2" t="s">
        <v>816</v>
      </c>
      <c r="C178" s="19" t="s">
        <v>83</v>
      </c>
      <c r="D178" s="44" t="s">
        <v>817</v>
      </c>
      <c r="E178" s="2"/>
      <c r="F178" s="68" t="s">
        <v>818</v>
      </c>
      <c r="G178" s="48" t="s">
        <v>819</v>
      </c>
      <c r="J178" s="6" t="s">
        <v>48</v>
      </c>
      <c r="K178" s="6" t="s">
        <v>820</v>
      </c>
      <c r="L178" s="3" t="s">
        <v>90</v>
      </c>
      <c r="M178" s="16" t="s">
        <v>757</v>
      </c>
      <c r="N178" s="3" t="str">
        <f t="shared" si="2"/>
        <v>2 Years</v>
      </c>
      <c r="O178" s="3" t="s">
        <v>42</v>
      </c>
      <c r="P178" s="3" t="s">
        <v>758</v>
      </c>
      <c r="Q178" s="3">
        <v>2025</v>
      </c>
      <c r="R178" s="6" t="s">
        <v>44</v>
      </c>
      <c r="S178" s="6" t="s">
        <v>203</v>
      </c>
      <c r="T178" s="5" t="s">
        <v>821</v>
      </c>
      <c r="Y178" t="s">
        <v>47</v>
      </c>
    </row>
    <row r="179" spans="1:29" ht="21.6">
      <c r="A179">
        <v>126</v>
      </c>
      <c r="B179" s="2" t="s">
        <v>822</v>
      </c>
      <c r="C179" s="19" t="s">
        <v>823</v>
      </c>
      <c r="D179" s="44" t="s">
        <v>824</v>
      </c>
      <c r="E179" s="2"/>
      <c r="F179" s="68" t="s">
        <v>825</v>
      </c>
      <c r="G179" s="48" t="s">
        <v>826</v>
      </c>
      <c r="J179" s="6" t="s">
        <v>48</v>
      </c>
      <c r="K179" s="6" t="s">
        <v>827</v>
      </c>
      <c r="L179" s="3" t="s">
        <v>40</v>
      </c>
      <c r="M179" s="16" t="s">
        <v>757</v>
      </c>
      <c r="N179" s="3" t="str">
        <f t="shared" si="2"/>
        <v>1  Year</v>
      </c>
      <c r="O179" s="3" t="s">
        <v>42</v>
      </c>
      <c r="P179" s="3" t="s">
        <v>758</v>
      </c>
      <c r="Q179" s="3">
        <v>2025</v>
      </c>
      <c r="R179" s="6" t="s">
        <v>44</v>
      </c>
      <c r="S179" s="6" t="s">
        <v>45</v>
      </c>
      <c r="T179" s="4" t="s">
        <v>828</v>
      </c>
      <c r="Y179" t="s">
        <v>47</v>
      </c>
    </row>
    <row r="180" spans="1:29" ht="28.8">
      <c r="A180">
        <v>127</v>
      </c>
      <c r="B180" s="2" t="s">
        <v>829</v>
      </c>
      <c r="C180" s="19" t="s">
        <v>830</v>
      </c>
      <c r="D180" s="44" t="s">
        <v>831</v>
      </c>
      <c r="E180" s="2"/>
      <c r="F180" s="68" t="s">
        <v>832</v>
      </c>
      <c r="G180" s="48" t="s">
        <v>833</v>
      </c>
      <c r="J180" s="6" t="s">
        <v>38</v>
      </c>
      <c r="K180" s="6" t="s">
        <v>834</v>
      </c>
      <c r="L180" s="3" t="s">
        <v>90</v>
      </c>
      <c r="M180" s="16" t="s">
        <v>757</v>
      </c>
      <c r="N180" s="3" t="str">
        <f t="shared" si="2"/>
        <v>2 Years</v>
      </c>
      <c r="O180" s="3" t="s">
        <v>42</v>
      </c>
      <c r="P180" s="3" t="s">
        <v>758</v>
      </c>
      <c r="Q180" s="3">
        <v>2025</v>
      </c>
      <c r="R180" s="6" t="s">
        <v>44</v>
      </c>
      <c r="S180" s="6" t="s">
        <v>45</v>
      </c>
      <c r="T180" s="5" t="s">
        <v>835</v>
      </c>
      <c r="Y180" t="s">
        <v>47</v>
      </c>
    </row>
    <row r="181" spans="1:29" ht="31.8">
      <c r="A181">
        <v>128</v>
      </c>
      <c r="B181" s="2" t="s">
        <v>836</v>
      </c>
      <c r="C181" s="19" t="s">
        <v>837</v>
      </c>
      <c r="D181" s="44" t="s">
        <v>262</v>
      </c>
      <c r="E181" s="2"/>
      <c r="F181" s="68" t="s">
        <v>838</v>
      </c>
      <c r="G181" s="48" t="s">
        <v>839</v>
      </c>
      <c r="J181" s="6" t="s">
        <v>88</v>
      </c>
      <c r="K181" s="6" t="s">
        <v>840</v>
      </c>
      <c r="L181" s="3" t="s">
        <v>40</v>
      </c>
      <c r="M181" s="16" t="s">
        <v>757</v>
      </c>
      <c r="N181" s="3" t="str">
        <f t="shared" si="2"/>
        <v>1  Year</v>
      </c>
      <c r="O181" s="3" t="s">
        <v>42</v>
      </c>
      <c r="P181" s="3" t="s">
        <v>758</v>
      </c>
      <c r="Q181" s="3">
        <v>2025</v>
      </c>
      <c r="R181" s="6" t="s">
        <v>44</v>
      </c>
      <c r="S181" s="6" t="s">
        <v>841</v>
      </c>
      <c r="T181" s="4" t="s">
        <v>842</v>
      </c>
      <c r="Y181" t="s">
        <v>47</v>
      </c>
    </row>
    <row r="182" spans="1:29" ht="31.8">
      <c r="A182">
        <v>128</v>
      </c>
      <c r="B182" s="2" t="s">
        <v>836</v>
      </c>
      <c r="C182" s="19" t="s">
        <v>837</v>
      </c>
      <c r="D182" s="44" t="s">
        <v>262</v>
      </c>
      <c r="E182" s="2"/>
      <c r="F182" s="68" t="s">
        <v>838</v>
      </c>
      <c r="G182" s="48" t="s">
        <v>839</v>
      </c>
      <c r="J182" s="6" t="s">
        <v>92</v>
      </c>
      <c r="K182" s="6" t="s">
        <v>840</v>
      </c>
      <c r="L182" s="3" t="s">
        <v>40</v>
      </c>
      <c r="M182" s="16" t="s">
        <v>757</v>
      </c>
      <c r="N182" s="3" t="str">
        <f t="shared" si="2"/>
        <v>1  Year</v>
      </c>
      <c r="O182" s="3" t="s">
        <v>42</v>
      </c>
      <c r="P182" s="3" t="s">
        <v>758</v>
      </c>
      <c r="Q182" s="3">
        <v>2025</v>
      </c>
      <c r="R182" s="6" t="s">
        <v>44</v>
      </c>
      <c r="S182" s="6" t="s">
        <v>841</v>
      </c>
      <c r="T182" s="4" t="s">
        <v>842</v>
      </c>
      <c r="Y182" t="s">
        <v>47</v>
      </c>
    </row>
    <row r="183" spans="1:29" ht="31.8">
      <c r="A183">
        <v>128</v>
      </c>
      <c r="B183" s="2" t="s">
        <v>836</v>
      </c>
      <c r="C183" s="19" t="s">
        <v>837</v>
      </c>
      <c r="D183" s="44" t="s">
        <v>262</v>
      </c>
      <c r="E183" s="2"/>
      <c r="F183" s="68" t="s">
        <v>838</v>
      </c>
      <c r="G183" s="48" t="s">
        <v>839</v>
      </c>
      <c r="J183" s="6" t="s">
        <v>145</v>
      </c>
      <c r="K183" s="6" t="s">
        <v>840</v>
      </c>
      <c r="L183" s="3" t="s">
        <v>40</v>
      </c>
      <c r="M183" s="16" t="s">
        <v>757</v>
      </c>
      <c r="N183" s="3" t="str">
        <f t="shared" si="2"/>
        <v>1  Year</v>
      </c>
      <c r="O183" s="3" t="s">
        <v>42</v>
      </c>
      <c r="P183" s="3" t="s">
        <v>758</v>
      </c>
      <c r="Q183" s="3">
        <v>2025</v>
      </c>
      <c r="R183" s="6" t="s">
        <v>44</v>
      </c>
      <c r="S183" s="6" t="s">
        <v>841</v>
      </c>
      <c r="T183" s="4" t="s">
        <v>842</v>
      </c>
      <c r="Y183" t="s">
        <v>47</v>
      </c>
    </row>
    <row r="184" spans="1:29" ht="31.8">
      <c r="A184">
        <v>128</v>
      </c>
      <c r="B184" s="2" t="s">
        <v>836</v>
      </c>
      <c r="C184" s="19" t="s">
        <v>837</v>
      </c>
      <c r="D184" s="44" t="s">
        <v>262</v>
      </c>
      <c r="E184" s="2"/>
      <c r="F184" s="68" t="s">
        <v>838</v>
      </c>
      <c r="G184" s="48" t="s">
        <v>839</v>
      </c>
      <c r="J184" s="6" t="s">
        <v>48</v>
      </c>
      <c r="K184" s="6" t="s">
        <v>840</v>
      </c>
      <c r="L184" s="3" t="s">
        <v>40</v>
      </c>
      <c r="M184" s="16" t="s">
        <v>757</v>
      </c>
      <c r="N184" s="3" t="str">
        <f t="shared" si="2"/>
        <v>1  Year</v>
      </c>
      <c r="O184" s="3" t="s">
        <v>42</v>
      </c>
      <c r="P184" s="3" t="s">
        <v>758</v>
      </c>
      <c r="Q184" s="3">
        <v>2025</v>
      </c>
      <c r="R184" s="6" t="s">
        <v>44</v>
      </c>
      <c r="S184" s="6" t="s">
        <v>841</v>
      </c>
      <c r="T184" s="4" t="s">
        <v>842</v>
      </c>
      <c r="Y184" t="s">
        <v>47</v>
      </c>
    </row>
    <row r="185" spans="1:29" ht="31.8">
      <c r="A185">
        <v>129</v>
      </c>
      <c r="B185" s="2" t="s">
        <v>843</v>
      </c>
      <c r="C185" s="19" t="s">
        <v>844</v>
      </c>
      <c r="D185" s="44" t="s">
        <v>845</v>
      </c>
      <c r="E185" s="2"/>
      <c r="F185" s="68" t="s">
        <v>846</v>
      </c>
      <c r="G185" s="48" t="s">
        <v>847</v>
      </c>
      <c r="J185" s="6" t="s">
        <v>57</v>
      </c>
      <c r="K185" s="6" t="s">
        <v>848</v>
      </c>
      <c r="L185" s="3" t="s">
        <v>90</v>
      </c>
      <c r="M185" s="16" t="s">
        <v>757</v>
      </c>
      <c r="N185" s="3" t="str">
        <f t="shared" si="2"/>
        <v>2 Years</v>
      </c>
      <c r="O185" s="3" t="s">
        <v>42</v>
      </c>
      <c r="P185" s="3" t="s">
        <v>758</v>
      </c>
      <c r="Q185" s="3">
        <v>2025</v>
      </c>
      <c r="R185" s="6" t="s">
        <v>44</v>
      </c>
      <c r="S185" s="6" t="s">
        <v>45</v>
      </c>
      <c r="T185" s="4" t="s">
        <v>849</v>
      </c>
      <c r="Y185" t="s">
        <v>47</v>
      </c>
    </row>
    <row r="186" spans="1:29" ht="57.6">
      <c r="A186">
        <v>130</v>
      </c>
      <c r="B186" s="2" t="s">
        <v>850</v>
      </c>
      <c r="C186" s="19" t="s">
        <v>851</v>
      </c>
      <c r="D186" s="44" t="s">
        <v>548</v>
      </c>
      <c r="E186" s="2"/>
      <c r="F186" s="68" t="s">
        <v>852</v>
      </c>
      <c r="G186" s="48" t="s">
        <v>853</v>
      </c>
      <c r="J186" s="6" t="s">
        <v>145</v>
      </c>
      <c r="K186" s="6" t="s">
        <v>854</v>
      </c>
      <c r="L186" s="3" t="s">
        <v>40</v>
      </c>
      <c r="M186" s="16" t="s">
        <v>757</v>
      </c>
      <c r="N186" s="3" t="str">
        <f t="shared" si="2"/>
        <v>1  Year</v>
      </c>
      <c r="O186" s="3" t="s">
        <v>42</v>
      </c>
      <c r="P186" s="3" t="s">
        <v>758</v>
      </c>
      <c r="Q186" s="3">
        <v>2025</v>
      </c>
      <c r="R186" s="6" t="s">
        <v>44</v>
      </c>
      <c r="S186" s="6" t="s">
        <v>45</v>
      </c>
      <c r="T186" s="5" t="s">
        <v>855</v>
      </c>
      <c r="Y186" t="s">
        <v>47</v>
      </c>
    </row>
    <row r="187" spans="1:29" ht="57.6">
      <c r="A187">
        <v>131</v>
      </c>
      <c r="B187" s="2" t="s">
        <v>856</v>
      </c>
      <c r="C187" s="19" t="s">
        <v>857</v>
      </c>
      <c r="D187" s="44" t="s">
        <v>548</v>
      </c>
      <c r="E187" s="2"/>
      <c r="F187" s="68" t="s">
        <v>852</v>
      </c>
      <c r="G187" s="48" t="s">
        <v>853</v>
      </c>
      <c r="J187" s="6" t="s">
        <v>145</v>
      </c>
      <c r="K187" s="6" t="s">
        <v>858</v>
      </c>
      <c r="L187" s="3" t="s">
        <v>40</v>
      </c>
      <c r="M187" s="16" t="s">
        <v>757</v>
      </c>
      <c r="N187" s="3" t="str">
        <f t="shared" si="2"/>
        <v>1  Year</v>
      </c>
      <c r="O187" s="3" t="s">
        <v>42</v>
      </c>
      <c r="P187" s="3" t="s">
        <v>758</v>
      </c>
      <c r="Q187" s="3">
        <v>2025</v>
      </c>
      <c r="R187" s="6" t="s">
        <v>44</v>
      </c>
      <c r="S187" s="6" t="s">
        <v>45</v>
      </c>
      <c r="T187" s="5" t="s">
        <v>855</v>
      </c>
      <c r="Y187" t="s">
        <v>47</v>
      </c>
    </row>
    <row r="188" spans="1:29" ht="57.6">
      <c r="A188">
        <v>132</v>
      </c>
      <c r="B188" s="2" t="s">
        <v>859</v>
      </c>
      <c r="C188" s="19" t="s">
        <v>860</v>
      </c>
      <c r="D188" s="44" t="s">
        <v>548</v>
      </c>
      <c r="E188" s="2"/>
      <c r="F188" s="68" t="s">
        <v>852</v>
      </c>
      <c r="G188" s="48" t="s">
        <v>853</v>
      </c>
      <c r="J188" s="6" t="s">
        <v>145</v>
      </c>
      <c r="K188" s="6" t="s">
        <v>861</v>
      </c>
      <c r="L188" s="3" t="s">
        <v>40</v>
      </c>
      <c r="M188" s="16" t="s">
        <v>757</v>
      </c>
      <c r="N188" s="3" t="str">
        <f t="shared" si="2"/>
        <v>1  Year</v>
      </c>
      <c r="O188" s="3" t="s">
        <v>42</v>
      </c>
      <c r="P188" s="3" t="s">
        <v>758</v>
      </c>
      <c r="Q188" s="3">
        <v>2025</v>
      </c>
      <c r="R188" s="6" t="s">
        <v>44</v>
      </c>
      <c r="S188" s="6" t="s">
        <v>45</v>
      </c>
      <c r="T188" s="5" t="s">
        <v>855</v>
      </c>
      <c r="Y188" t="s">
        <v>47</v>
      </c>
    </row>
    <row r="189" spans="1:29" ht="21.6">
      <c r="A189">
        <v>133</v>
      </c>
      <c r="B189" s="2" t="s">
        <v>862</v>
      </c>
      <c r="C189" s="19" t="s">
        <v>863</v>
      </c>
      <c r="D189" s="44" t="s">
        <v>369</v>
      </c>
      <c r="E189" s="2"/>
      <c r="F189" s="68" t="s">
        <v>864</v>
      </c>
      <c r="G189" s="48" t="s">
        <v>865</v>
      </c>
      <c r="J189" s="6" t="s">
        <v>88</v>
      </c>
      <c r="K189" s="6" t="s">
        <v>866</v>
      </c>
      <c r="L189" s="3" t="s">
        <v>40</v>
      </c>
      <c r="M189" s="16" t="s">
        <v>757</v>
      </c>
      <c r="N189" s="3" t="str">
        <f t="shared" si="2"/>
        <v>1  Year</v>
      </c>
      <c r="O189" s="3" t="s">
        <v>202</v>
      </c>
      <c r="P189" s="3" t="s">
        <v>758</v>
      </c>
      <c r="Q189" s="3">
        <v>2025</v>
      </c>
      <c r="R189" s="6" t="s">
        <v>44</v>
      </c>
      <c r="S189" s="6" t="s">
        <v>45</v>
      </c>
      <c r="T189" s="4" t="s">
        <v>867</v>
      </c>
      <c r="Y189" t="s">
        <v>47</v>
      </c>
    </row>
    <row r="190" spans="1:29" ht="21.6">
      <c r="A190">
        <v>133</v>
      </c>
      <c r="B190" s="2" t="s">
        <v>862</v>
      </c>
      <c r="C190" s="19" t="s">
        <v>863</v>
      </c>
      <c r="D190" s="44" t="s">
        <v>369</v>
      </c>
      <c r="E190" s="2"/>
      <c r="F190" s="68" t="s">
        <v>864</v>
      </c>
      <c r="G190" s="48" t="s">
        <v>865</v>
      </c>
      <c r="J190" s="6" t="s">
        <v>145</v>
      </c>
      <c r="K190" s="6" t="s">
        <v>866</v>
      </c>
      <c r="L190" s="3" t="s">
        <v>40</v>
      </c>
      <c r="M190" s="16" t="s">
        <v>757</v>
      </c>
      <c r="N190" s="3" t="str">
        <f t="shared" si="2"/>
        <v>1  Year</v>
      </c>
      <c r="O190" s="3" t="s">
        <v>202</v>
      </c>
      <c r="P190" s="3" t="s">
        <v>758</v>
      </c>
      <c r="Q190" s="3">
        <v>2025</v>
      </c>
      <c r="R190" s="6" t="s">
        <v>44</v>
      </c>
      <c r="S190" s="6" t="s">
        <v>45</v>
      </c>
      <c r="T190" s="4" t="s">
        <v>867</v>
      </c>
      <c r="Y190" t="s">
        <v>47</v>
      </c>
    </row>
    <row r="191" spans="1:29" ht="28.8">
      <c r="A191">
        <v>134</v>
      </c>
      <c r="B191" s="2" t="s">
        <v>868</v>
      </c>
      <c r="C191" s="19" t="s">
        <v>368</v>
      </c>
      <c r="D191" s="44" t="s">
        <v>383</v>
      </c>
      <c r="E191" s="2"/>
      <c r="F191" s="68" t="s">
        <v>869</v>
      </c>
      <c r="G191" s="48" t="s">
        <v>870</v>
      </c>
      <c r="J191" s="6" t="s">
        <v>88</v>
      </c>
      <c r="K191" s="6" t="s">
        <v>871</v>
      </c>
      <c r="L191" s="3" t="s">
        <v>40</v>
      </c>
      <c r="M191" s="16" t="s">
        <v>757</v>
      </c>
      <c r="N191" s="3" t="str">
        <f t="shared" si="2"/>
        <v>1  Year</v>
      </c>
      <c r="O191" s="3" t="s">
        <v>202</v>
      </c>
      <c r="P191" s="3" t="s">
        <v>758</v>
      </c>
      <c r="Q191" s="3">
        <v>2025</v>
      </c>
      <c r="R191" s="6" t="s">
        <v>80</v>
      </c>
      <c r="S191" s="6" t="s">
        <v>45</v>
      </c>
      <c r="T191" s="5" t="s">
        <v>872</v>
      </c>
      <c r="Y191" t="s">
        <v>47</v>
      </c>
    </row>
    <row r="192" spans="1:29" ht="28.8">
      <c r="A192">
        <v>134</v>
      </c>
      <c r="B192" s="2" t="s">
        <v>868</v>
      </c>
      <c r="C192" s="19" t="s">
        <v>368</v>
      </c>
      <c r="D192" s="44" t="s">
        <v>383</v>
      </c>
      <c r="E192" s="2"/>
      <c r="F192" s="68" t="s">
        <v>869</v>
      </c>
      <c r="G192" s="48" t="s">
        <v>870</v>
      </c>
      <c r="J192" s="6" t="s">
        <v>145</v>
      </c>
      <c r="K192" s="6" t="s">
        <v>871</v>
      </c>
      <c r="L192" s="3" t="s">
        <v>40</v>
      </c>
      <c r="M192" s="16" t="s">
        <v>757</v>
      </c>
      <c r="N192" s="3" t="str">
        <f t="shared" si="2"/>
        <v>1  Year</v>
      </c>
      <c r="O192" s="3" t="s">
        <v>202</v>
      </c>
      <c r="P192" s="3" t="s">
        <v>758</v>
      </c>
      <c r="Q192" s="3">
        <v>2025</v>
      </c>
      <c r="R192" s="6" t="s">
        <v>80</v>
      </c>
      <c r="S192" s="6" t="s">
        <v>45</v>
      </c>
      <c r="T192" s="5" t="s">
        <v>872</v>
      </c>
      <c r="Y192" t="s">
        <v>47</v>
      </c>
    </row>
    <row r="193" spans="1:25" ht="21.6">
      <c r="A193">
        <v>135</v>
      </c>
      <c r="B193" s="2" t="s">
        <v>873</v>
      </c>
      <c r="C193" s="19" t="s">
        <v>874</v>
      </c>
      <c r="D193" s="44" t="s">
        <v>726</v>
      </c>
      <c r="E193" s="2"/>
      <c r="F193" s="68" t="s">
        <v>197</v>
      </c>
      <c r="G193" s="48" t="s">
        <v>875</v>
      </c>
      <c r="J193" s="6" t="s">
        <v>92</v>
      </c>
      <c r="K193" s="6" t="s">
        <v>876</v>
      </c>
      <c r="L193" s="3" t="s">
        <v>40</v>
      </c>
      <c r="M193" s="16" t="s">
        <v>757</v>
      </c>
      <c r="N193" s="3" t="str">
        <f t="shared" si="2"/>
        <v>1  Year</v>
      </c>
      <c r="O193" s="3" t="s">
        <v>202</v>
      </c>
      <c r="P193" s="3" t="s">
        <v>758</v>
      </c>
      <c r="Q193" s="3">
        <v>2025</v>
      </c>
      <c r="R193" s="6" t="s">
        <v>80</v>
      </c>
      <c r="S193" s="6" t="s">
        <v>45</v>
      </c>
      <c r="T193" s="5" t="s">
        <v>877</v>
      </c>
      <c r="Y193" t="s">
        <v>47</v>
      </c>
    </row>
    <row r="194" spans="1:25" ht="28.8">
      <c r="A194">
        <v>136</v>
      </c>
      <c r="B194" s="2" t="s">
        <v>878</v>
      </c>
      <c r="C194" s="19" t="s">
        <v>879</v>
      </c>
      <c r="D194" s="44" t="s">
        <v>369</v>
      </c>
      <c r="E194" s="2"/>
      <c r="F194" s="68" t="s">
        <v>880</v>
      </c>
      <c r="G194" s="48" t="s">
        <v>881</v>
      </c>
      <c r="J194" s="6" t="s">
        <v>48</v>
      </c>
      <c r="K194" s="6" t="s">
        <v>882</v>
      </c>
      <c r="L194" s="3" t="s">
        <v>40</v>
      </c>
      <c r="M194" s="16" t="s">
        <v>757</v>
      </c>
      <c r="N194" s="3" t="str">
        <f t="shared" si="2"/>
        <v>1  Year</v>
      </c>
      <c r="O194" s="3" t="s">
        <v>202</v>
      </c>
      <c r="P194" s="3" t="s">
        <v>758</v>
      </c>
      <c r="Q194" s="3">
        <v>2025</v>
      </c>
      <c r="R194" s="6" t="s">
        <v>80</v>
      </c>
      <c r="S194" s="6" t="s">
        <v>45</v>
      </c>
      <c r="T194" s="5" t="s">
        <v>883</v>
      </c>
      <c r="Y194" t="s">
        <v>47</v>
      </c>
    </row>
    <row r="195" spans="1:25" ht="28.8">
      <c r="A195">
        <v>137</v>
      </c>
      <c r="B195" s="2" t="s">
        <v>873</v>
      </c>
      <c r="C195" s="19" t="s">
        <v>874</v>
      </c>
      <c r="D195" s="44" t="s">
        <v>884</v>
      </c>
      <c r="E195" s="2"/>
      <c r="F195" s="68" t="s">
        <v>885</v>
      </c>
      <c r="G195" s="48" t="s">
        <v>886</v>
      </c>
      <c r="J195" s="6" t="s">
        <v>145</v>
      </c>
      <c r="K195" s="6" t="s">
        <v>887</v>
      </c>
      <c r="L195" s="3" t="s">
        <v>40</v>
      </c>
      <c r="M195" s="16" t="s">
        <v>757</v>
      </c>
      <c r="N195" s="3" t="str">
        <f t="shared" ref="N195:N259" si="3">IF(L195="New","1  Year",IF(L195="Promotional","15 Weeks",IF(L195="Revalidation","2 Years","")))</f>
        <v>1  Year</v>
      </c>
      <c r="O195" s="3" t="s">
        <v>202</v>
      </c>
      <c r="P195" s="3" t="s">
        <v>758</v>
      </c>
      <c r="Q195" s="3">
        <v>2025</v>
      </c>
      <c r="R195" s="6" t="s">
        <v>44</v>
      </c>
      <c r="S195" s="6" t="s">
        <v>45</v>
      </c>
      <c r="T195" s="5" t="s">
        <v>888</v>
      </c>
      <c r="Y195" t="s">
        <v>47</v>
      </c>
    </row>
    <row r="196" spans="1:25" ht="28.8">
      <c r="A196">
        <v>138</v>
      </c>
      <c r="B196" s="2" t="s">
        <v>889</v>
      </c>
      <c r="C196" s="19" t="s">
        <v>890</v>
      </c>
      <c r="D196" s="44" t="s">
        <v>891</v>
      </c>
      <c r="E196" s="2"/>
      <c r="F196" s="68" t="s">
        <v>885</v>
      </c>
      <c r="G196" s="48" t="s">
        <v>886</v>
      </c>
      <c r="J196" s="6" t="s">
        <v>145</v>
      </c>
      <c r="K196" s="6" t="s">
        <v>892</v>
      </c>
      <c r="L196" s="3" t="s">
        <v>40</v>
      </c>
      <c r="M196" s="16" t="s">
        <v>757</v>
      </c>
      <c r="N196" s="3" t="str">
        <f t="shared" si="3"/>
        <v>1  Year</v>
      </c>
      <c r="O196" s="3" t="s">
        <v>202</v>
      </c>
      <c r="P196" s="3" t="s">
        <v>758</v>
      </c>
      <c r="Q196" s="3">
        <v>2025</v>
      </c>
      <c r="R196" s="6" t="s">
        <v>44</v>
      </c>
      <c r="S196" s="6" t="s">
        <v>45</v>
      </c>
      <c r="T196" s="5" t="s">
        <v>893</v>
      </c>
      <c r="Y196" t="s">
        <v>47</v>
      </c>
    </row>
    <row r="197" spans="1:25" ht="31.8">
      <c r="A197">
        <v>139</v>
      </c>
      <c r="B197" s="2" t="s">
        <v>894</v>
      </c>
      <c r="C197" s="19" t="s">
        <v>895</v>
      </c>
      <c r="D197" s="44" t="s">
        <v>896</v>
      </c>
      <c r="E197" s="2"/>
      <c r="F197" s="68" t="s">
        <v>208</v>
      </c>
      <c r="G197" s="48" t="s">
        <v>897</v>
      </c>
      <c r="J197" s="6" t="s">
        <v>48</v>
      </c>
      <c r="K197" s="6" t="s">
        <v>898</v>
      </c>
      <c r="L197" s="3" t="s">
        <v>40</v>
      </c>
      <c r="M197" s="16" t="s">
        <v>757</v>
      </c>
      <c r="N197" s="3" t="str">
        <f t="shared" si="3"/>
        <v>1  Year</v>
      </c>
      <c r="O197" s="3" t="s">
        <v>202</v>
      </c>
      <c r="P197" s="3" t="s">
        <v>758</v>
      </c>
      <c r="Q197" s="3">
        <v>2025</v>
      </c>
      <c r="R197" s="6" t="s">
        <v>44</v>
      </c>
      <c r="S197" s="6" t="s">
        <v>45</v>
      </c>
      <c r="T197" s="5" t="s">
        <v>899</v>
      </c>
      <c r="Y197" t="s">
        <v>47</v>
      </c>
    </row>
    <row r="198" spans="1:25" ht="28.8">
      <c r="A198">
        <v>140</v>
      </c>
      <c r="B198" s="2" t="s">
        <v>900</v>
      </c>
      <c r="C198" s="19" t="s">
        <v>901</v>
      </c>
      <c r="D198" s="44" t="s">
        <v>902</v>
      </c>
      <c r="E198" s="2"/>
      <c r="F198" s="68" t="s">
        <v>226</v>
      </c>
      <c r="G198" s="48" t="s">
        <v>903</v>
      </c>
      <c r="J198" s="6" t="s">
        <v>145</v>
      </c>
      <c r="K198" s="6" t="s">
        <v>904</v>
      </c>
      <c r="L198" s="3" t="s">
        <v>90</v>
      </c>
      <c r="M198" s="16" t="s">
        <v>757</v>
      </c>
      <c r="N198" s="3" t="str">
        <f t="shared" si="3"/>
        <v>2 Years</v>
      </c>
      <c r="O198" s="3" t="s">
        <v>202</v>
      </c>
      <c r="P198" s="3" t="s">
        <v>758</v>
      </c>
      <c r="Q198" s="3">
        <v>2025</v>
      </c>
      <c r="R198" s="6" t="s">
        <v>44</v>
      </c>
      <c r="S198" s="6" t="s">
        <v>45</v>
      </c>
      <c r="T198" s="5" t="s">
        <v>905</v>
      </c>
      <c r="Y198" t="s">
        <v>47</v>
      </c>
    </row>
    <row r="199" spans="1:25" ht="21.6">
      <c r="A199">
        <v>141</v>
      </c>
      <c r="B199" s="2" t="s">
        <v>906</v>
      </c>
      <c r="C199" s="19" t="s">
        <v>907</v>
      </c>
      <c r="D199" s="44" t="s">
        <v>383</v>
      </c>
      <c r="E199" s="2"/>
      <c r="F199" s="68" t="s">
        <v>908</v>
      </c>
      <c r="G199" s="48" t="s">
        <v>909</v>
      </c>
      <c r="J199" s="6" t="s">
        <v>48</v>
      </c>
      <c r="K199" s="6" t="s">
        <v>910</v>
      </c>
      <c r="L199" s="3" t="s">
        <v>40</v>
      </c>
      <c r="M199" s="16" t="s">
        <v>757</v>
      </c>
      <c r="N199" s="3" t="str">
        <f t="shared" si="3"/>
        <v>1  Year</v>
      </c>
      <c r="O199" s="3" t="s">
        <v>202</v>
      </c>
      <c r="P199" s="3" t="s">
        <v>758</v>
      </c>
      <c r="Q199" s="3">
        <v>2025</v>
      </c>
      <c r="R199" s="6" t="s">
        <v>80</v>
      </c>
      <c r="S199" s="6" t="s">
        <v>45</v>
      </c>
      <c r="T199" s="4" t="s">
        <v>911</v>
      </c>
      <c r="Y199" t="s">
        <v>47</v>
      </c>
    </row>
    <row r="200" spans="1:25" ht="21.6">
      <c r="A200">
        <v>142</v>
      </c>
      <c r="B200" s="2" t="s">
        <v>912</v>
      </c>
      <c r="C200" s="19" t="s">
        <v>913</v>
      </c>
      <c r="D200" s="44" t="s">
        <v>383</v>
      </c>
      <c r="E200" s="2"/>
      <c r="F200" s="68" t="s">
        <v>908</v>
      </c>
      <c r="G200" s="48" t="s">
        <v>909</v>
      </c>
      <c r="J200" s="6" t="s">
        <v>48</v>
      </c>
      <c r="K200" s="6" t="s">
        <v>910</v>
      </c>
      <c r="L200" s="3" t="s">
        <v>40</v>
      </c>
      <c r="M200" s="16" t="s">
        <v>757</v>
      </c>
      <c r="N200" s="3" t="str">
        <f t="shared" si="3"/>
        <v>1  Year</v>
      </c>
      <c r="O200" s="3" t="s">
        <v>202</v>
      </c>
      <c r="P200" s="3" t="s">
        <v>758</v>
      </c>
      <c r="Q200" s="3">
        <v>2025</v>
      </c>
      <c r="R200" s="6" t="s">
        <v>80</v>
      </c>
      <c r="S200" s="6" t="s">
        <v>45</v>
      </c>
      <c r="T200" s="4" t="s">
        <v>911</v>
      </c>
      <c r="Y200" t="s">
        <v>47</v>
      </c>
    </row>
    <row r="201" spans="1:25" ht="21.6">
      <c r="A201">
        <v>143</v>
      </c>
      <c r="B201" s="2" t="s">
        <v>914</v>
      </c>
      <c r="C201" s="19" t="s">
        <v>915</v>
      </c>
      <c r="D201" s="44" t="s">
        <v>383</v>
      </c>
      <c r="E201" s="2"/>
      <c r="F201" s="68" t="s">
        <v>908</v>
      </c>
      <c r="G201" s="48" t="s">
        <v>909</v>
      </c>
      <c r="J201" s="6" t="s">
        <v>48</v>
      </c>
      <c r="K201" s="6" t="s">
        <v>910</v>
      </c>
      <c r="L201" s="3" t="s">
        <v>40</v>
      </c>
      <c r="M201" s="16" t="s">
        <v>757</v>
      </c>
      <c r="N201" s="3" t="str">
        <f t="shared" si="3"/>
        <v>1  Year</v>
      </c>
      <c r="O201" s="3" t="s">
        <v>202</v>
      </c>
      <c r="P201" s="3" t="s">
        <v>758</v>
      </c>
      <c r="Q201" s="3">
        <v>2025</v>
      </c>
      <c r="R201" s="6" t="s">
        <v>80</v>
      </c>
      <c r="S201" s="6" t="s">
        <v>45</v>
      </c>
      <c r="T201" s="4" t="s">
        <v>911</v>
      </c>
      <c r="Y201" t="s">
        <v>47</v>
      </c>
    </row>
    <row r="202" spans="1:25" ht="43.2">
      <c r="A202">
        <v>144</v>
      </c>
      <c r="B202" s="2" t="s">
        <v>916</v>
      </c>
      <c r="C202" s="19" t="s">
        <v>917</v>
      </c>
      <c r="D202" s="44" t="s">
        <v>918</v>
      </c>
      <c r="E202" s="2"/>
      <c r="F202" s="68" t="s">
        <v>919</v>
      </c>
      <c r="G202" s="48" t="s">
        <v>920</v>
      </c>
      <c r="J202" s="6" t="s">
        <v>48</v>
      </c>
      <c r="K202" s="6" t="s">
        <v>921</v>
      </c>
      <c r="L202" s="3" t="s">
        <v>40</v>
      </c>
      <c r="M202" s="16" t="s">
        <v>757</v>
      </c>
      <c r="N202" s="3" t="str">
        <f t="shared" si="3"/>
        <v>1  Year</v>
      </c>
      <c r="O202" s="3" t="s">
        <v>202</v>
      </c>
      <c r="P202" s="3" t="s">
        <v>758</v>
      </c>
      <c r="Q202" s="3">
        <v>2025</v>
      </c>
      <c r="R202" s="6" t="s">
        <v>44</v>
      </c>
      <c r="S202" s="6" t="s">
        <v>45</v>
      </c>
      <c r="T202" s="5" t="s">
        <v>759</v>
      </c>
      <c r="Y202" t="s">
        <v>47</v>
      </c>
    </row>
    <row r="203" spans="1:25" ht="21.6">
      <c r="A203">
        <v>145</v>
      </c>
      <c r="B203" s="2" t="s">
        <v>922</v>
      </c>
      <c r="C203" s="19" t="s">
        <v>923</v>
      </c>
      <c r="D203" s="44" t="s">
        <v>548</v>
      </c>
      <c r="E203" s="2"/>
      <c r="F203" s="68" t="s">
        <v>924</v>
      </c>
      <c r="G203" s="48" t="s">
        <v>925</v>
      </c>
      <c r="J203" s="6" t="s">
        <v>88</v>
      </c>
      <c r="K203" s="6" t="s">
        <v>926</v>
      </c>
      <c r="L203" s="3" t="s">
        <v>90</v>
      </c>
      <c r="M203" s="16" t="s">
        <v>927</v>
      </c>
      <c r="N203" s="3" t="str">
        <f t="shared" si="3"/>
        <v>2 Years</v>
      </c>
      <c r="O203" s="3" t="s">
        <v>42</v>
      </c>
      <c r="P203" s="3" t="s">
        <v>928</v>
      </c>
      <c r="Q203" s="3">
        <v>2025</v>
      </c>
      <c r="R203" s="6" t="s">
        <v>44</v>
      </c>
      <c r="S203" s="6" t="s">
        <v>45</v>
      </c>
      <c r="T203" s="4" t="s">
        <v>929</v>
      </c>
      <c r="Y203" t="s">
        <v>47</v>
      </c>
    </row>
    <row r="204" spans="1:25" ht="21.6">
      <c r="A204">
        <v>145</v>
      </c>
      <c r="B204" s="2" t="s">
        <v>922</v>
      </c>
      <c r="C204" s="19" t="s">
        <v>923</v>
      </c>
      <c r="D204" s="44" t="s">
        <v>548</v>
      </c>
      <c r="E204" s="2"/>
      <c r="F204" s="68" t="s">
        <v>924</v>
      </c>
      <c r="G204" s="48" t="s">
        <v>925</v>
      </c>
      <c r="J204" s="6" t="s">
        <v>92</v>
      </c>
      <c r="K204" s="6" t="s">
        <v>926</v>
      </c>
      <c r="L204" s="3" t="s">
        <v>90</v>
      </c>
      <c r="M204" s="16" t="s">
        <v>927</v>
      </c>
      <c r="N204" s="3" t="str">
        <f t="shared" si="3"/>
        <v>2 Years</v>
      </c>
      <c r="O204" s="3" t="s">
        <v>42</v>
      </c>
      <c r="P204" s="3" t="s">
        <v>928</v>
      </c>
      <c r="Q204" s="3">
        <v>2025</v>
      </c>
      <c r="R204" s="6" t="s">
        <v>44</v>
      </c>
      <c r="S204" s="6" t="s">
        <v>45</v>
      </c>
      <c r="T204" s="4" t="s">
        <v>929</v>
      </c>
      <c r="Y204" t="s">
        <v>47</v>
      </c>
    </row>
    <row r="205" spans="1:25" ht="21.6">
      <c r="A205">
        <v>145</v>
      </c>
      <c r="B205" s="2" t="s">
        <v>922</v>
      </c>
      <c r="C205" s="19" t="s">
        <v>923</v>
      </c>
      <c r="D205" s="44" t="s">
        <v>548</v>
      </c>
      <c r="E205" s="2"/>
      <c r="F205" s="68" t="s">
        <v>924</v>
      </c>
      <c r="G205" s="48" t="s">
        <v>925</v>
      </c>
      <c r="J205" s="6" t="s">
        <v>930</v>
      </c>
      <c r="K205" s="6" t="s">
        <v>926</v>
      </c>
      <c r="L205" s="3" t="s">
        <v>90</v>
      </c>
      <c r="M205" s="16" t="s">
        <v>927</v>
      </c>
      <c r="N205" s="3" t="str">
        <f t="shared" si="3"/>
        <v>2 Years</v>
      </c>
      <c r="O205" s="3" t="s">
        <v>42</v>
      </c>
      <c r="P205" s="3" t="s">
        <v>928</v>
      </c>
      <c r="Q205" s="3">
        <v>2025</v>
      </c>
      <c r="R205" s="6" t="s">
        <v>44</v>
      </c>
      <c r="S205" s="6" t="s">
        <v>45</v>
      </c>
      <c r="T205" s="4" t="s">
        <v>929</v>
      </c>
      <c r="Y205" t="s">
        <v>47</v>
      </c>
    </row>
    <row r="206" spans="1:25" ht="21.6">
      <c r="A206">
        <v>146</v>
      </c>
      <c r="B206" s="2" t="s">
        <v>931</v>
      </c>
      <c r="C206" s="19" t="s">
        <v>932</v>
      </c>
      <c r="D206" s="44" t="s">
        <v>933</v>
      </c>
      <c r="E206" s="2"/>
      <c r="F206" s="68" t="s">
        <v>924</v>
      </c>
      <c r="G206" s="48" t="s">
        <v>925</v>
      </c>
      <c r="J206" s="6" t="s">
        <v>88</v>
      </c>
      <c r="K206" s="6" t="s">
        <v>926</v>
      </c>
      <c r="L206" s="3" t="s">
        <v>90</v>
      </c>
      <c r="M206" s="16" t="s">
        <v>927</v>
      </c>
      <c r="N206" s="3" t="str">
        <f t="shared" si="3"/>
        <v>2 Years</v>
      </c>
      <c r="O206" s="3" t="s">
        <v>42</v>
      </c>
      <c r="P206" s="3" t="s">
        <v>928</v>
      </c>
      <c r="Q206" s="3">
        <v>2025</v>
      </c>
      <c r="R206" s="6" t="s">
        <v>44</v>
      </c>
      <c r="S206" s="6" t="s">
        <v>45</v>
      </c>
      <c r="T206" s="4" t="s">
        <v>929</v>
      </c>
      <c r="Y206" t="s">
        <v>47</v>
      </c>
    </row>
    <row r="207" spans="1:25" ht="21.6">
      <c r="A207">
        <v>146</v>
      </c>
      <c r="B207" s="2" t="s">
        <v>931</v>
      </c>
      <c r="C207" s="19" t="s">
        <v>932</v>
      </c>
      <c r="D207" s="44" t="s">
        <v>933</v>
      </c>
      <c r="E207" s="2"/>
      <c r="F207" s="68" t="s">
        <v>924</v>
      </c>
      <c r="G207" s="48" t="s">
        <v>925</v>
      </c>
      <c r="J207" s="6" t="s">
        <v>92</v>
      </c>
      <c r="K207" s="6" t="s">
        <v>926</v>
      </c>
      <c r="L207" s="3" t="s">
        <v>90</v>
      </c>
      <c r="M207" s="16" t="s">
        <v>927</v>
      </c>
      <c r="N207" s="3" t="str">
        <f t="shared" si="3"/>
        <v>2 Years</v>
      </c>
      <c r="O207" s="3" t="s">
        <v>42</v>
      </c>
      <c r="P207" s="3" t="s">
        <v>928</v>
      </c>
      <c r="Q207" s="3">
        <v>2025</v>
      </c>
      <c r="R207" s="6" t="s">
        <v>44</v>
      </c>
      <c r="S207" s="6" t="s">
        <v>45</v>
      </c>
      <c r="T207" s="4" t="s">
        <v>929</v>
      </c>
      <c r="Y207" t="s">
        <v>47</v>
      </c>
    </row>
    <row r="208" spans="1:25" ht="21.6">
      <c r="A208">
        <v>146</v>
      </c>
      <c r="B208" s="2" t="s">
        <v>931</v>
      </c>
      <c r="C208" s="19" t="s">
        <v>932</v>
      </c>
      <c r="D208" s="44" t="s">
        <v>933</v>
      </c>
      <c r="E208" s="2"/>
      <c r="F208" s="68" t="s">
        <v>924</v>
      </c>
      <c r="G208" s="48" t="s">
        <v>925</v>
      </c>
      <c r="J208" s="6" t="s">
        <v>930</v>
      </c>
      <c r="K208" s="6" t="s">
        <v>926</v>
      </c>
      <c r="L208" s="3" t="s">
        <v>90</v>
      </c>
      <c r="M208" s="16" t="s">
        <v>927</v>
      </c>
      <c r="N208" s="3" t="str">
        <f t="shared" si="3"/>
        <v>2 Years</v>
      </c>
      <c r="O208" s="3" t="s">
        <v>42</v>
      </c>
      <c r="P208" s="3" t="s">
        <v>928</v>
      </c>
      <c r="Q208" s="3">
        <v>2025</v>
      </c>
      <c r="R208" s="6" t="s">
        <v>44</v>
      </c>
      <c r="S208" s="6" t="s">
        <v>45</v>
      </c>
      <c r="T208" s="4" t="s">
        <v>929</v>
      </c>
      <c r="Y208" t="s">
        <v>47</v>
      </c>
    </row>
    <row r="209" spans="1:25" ht="21.6">
      <c r="A209">
        <v>147</v>
      </c>
      <c r="B209" s="2" t="s">
        <v>934</v>
      </c>
      <c r="C209" s="19" t="s">
        <v>935</v>
      </c>
      <c r="D209" s="44" t="s">
        <v>936</v>
      </c>
      <c r="E209" s="2"/>
      <c r="F209" s="68" t="s">
        <v>924</v>
      </c>
      <c r="G209" s="48" t="s">
        <v>925</v>
      </c>
      <c r="J209" s="6" t="s">
        <v>88</v>
      </c>
      <c r="K209" s="6" t="s">
        <v>926</v>
      </c>
      <c r="L209" s="3" t="s">
        <v>90</v>
      </c>
      <c r="M209" s="16" t="s">
        <v>927</v>
      </c>
      <c r="N209" s="3" t="str">
        <f t="shared" si="3"/>
        <v>2 Years</v>
      </c>
      <c r="O209" s="3" t="s">
        <v>42</v>
      </c>
      <c r="P209" s="3" t="s">
        <v>928</v>
      </c>
      <c r="Q209" s="3">
        <v>2025</v>
      </c>
      <c r="R209" s="6" t="s">
        <v>44</v>
      </c>
      <c r="S209" s="6" t="s">
        <v>45</v>
      </c>
      <c r="T209" s="4" t="s">
        <v>929</v>
      </c>
      <c r="Y209" t="s">
        <v>47</v>
      </c>
    </row>
    <row r="210" spans="1:25" ht="21.6">
      <c r="A210">
        <v>147</v>
      </c>
      <c r="B210" s="2" t="s">
        <v>934</v>
      </c>
      <c r="C210" s="19" t="s">
        <v>935</v>
      </c>
      <c r="D210" s="44" t="s">
        <v>936</v>
      </c>
      <c r="E210" s="2"/>
      <c r="F210" s="68" t="s">
        <v>924</v>
      </c>
      <c r="G210" s="48" t="s">
        <v>925</v>
      </c>
      <c r="J210" s="6" t="s">
        <v>92</v>
      </c>
      <c r="K210" s="6" t="s">
        <v>926</v>
      </c>
      <c r="L210" s="3" t="s">
        <v>90</v>
      </c>
      <c r="M210" s="16" t="s">
        <v>927</v>
      </c>
      <c r="N210" s="3" t="str">
        <f t="shared" si="3"/>
        <v>2 Years</v>
      </c>
      <c r="O210" s="3" t="s">
        <v>42</v>
      </c>
      <c r="P210" s="3" t="s">
        <v>928</v>
      </c>
      <c r="Q210" s="3">
        <v>2025</v>
      </c>
      <c r="R210" s="6" t="s">
        <v>44</v>
      </c>
      <c r="S210" s="6" t="s">
        <v>45</v>
      </c>
      <c r="T210" s="4" t="s">
        <v>929</v>
      </c>
      <c r="Y210" t="s">
        <v>47</v>
      </c>
    </row>
    <row r="211" spans="1:25" ht="21.6">
      <c r="A211">
        <v>147</v>
      </c>
      <c r="B211" s="2" t="s">
        <v>934</v>
      </c>
      <c r="C211" s="19" t="s">
        <v>935</v>
      </c>
      <c r="D211" s="44" t="s">
        <v>936</v>
      </c>
      <c r="E211" s="2"/>
      <c r="F211" s="68" t="s">
        <v>924</v>
      </c>
      <c r="G211" s="48" t="s">
        <v>925</v>
      </c>
      <c r="J211" s="6" t="s">
        <v>930</v>
      </c>
      <c r="K211" s="6" t="s">
        <v>926</v>
      </c>
      <c r="L211" s="3" t="s">
        <v>90</v>
      </c>
      <c r="M211" s="16" t="s">
        <v>927</v>
      </c>
      <c r="N211" s="3" t="str">
        <f t="shared" si="3"/>
        <v>2 Years</v>
      </c>
      <c r="O211" s="3" t="s">
        <v>42</v>
      </c>
      <c r="P211" s="3" t="s">
        <v>928</v>
      </c>
      <c r="Q211" s="3">
        <v>2025</v>
      </c>
      <c r="R211" s="6" t="s">
        <v>44</v>
      </c>
      <c r="S211" s="6" t="s">
        <v>45</v>
      </c>
      <c r="T211" s="4" t="s">
        <v>929</v>
      </c>
      <c r="Y211" t="s">
        <v>47</v>
      </c>
    </row>
    <row r="212" spans="1:25" ht="21.6">
      <c r="A212">
        <v>148</v>
      </c>
      <c r="B212" s="2" t="s">
        <v>937</v>
      </c>
      <c r="C212" s="19" t="s">
        <v>938</v>
      </c>
      <c r="D212" s="44" t="s">
        <v>311</v>
      </c>
      <c r="E212" s="2"/>
      <c r="F212" s="68" t="s">
        <v>832</v>
      </c>
      <c r="G212" s="48" t="s">
        <v>939</v>
      </c>
      <c r="J212" s="6" t="s">
        <v>38</v>
      </c>
      <c r="K212" s="6" t="s">
        <v>940</v>
      </c>
      <c r="L212" s="3" t="s">
        <v>40</v>
      </c>
      <c r="M212" s="16" t="s">
        <v>927</v>
      </c>
      <c r="N212" s="3" t="str">
        <f t="shared" si="3"/>
        <v>1  Year</v>
      </c>
      <c r="O212" s="3" t="s">
        <v>42</v>
      </c>
      <c r="P212" s="3" t="s">
        <v>928</v>
      </c>
      <c r="Q212" s="3">
        <v>2025</v>
      </c>
      <c r="R212" s="6" t="s">
        <v>44</v>
      </c>
      <c r="S212" s="6" t="s">
        <v>45</v>
      </c>
      <c r="T212" s="4" t="s">
        <v>941</v>
      </c>
      <c r="Y212" t="s">
        <v>47</v>
      </c>
    </row>
    <row r="213" spans="1:25" ht="28.8">
      <c r="A213">
        <v>149</v>
      </c>
      <c r="B213" s="2" t="s">
        <v>942</v>
      </c>
      <c r="C213" s="19" t="s">
        <v>943</v>
      </c>
      <c r="D213" s="44" t="s">
        <v>944</v>
      </c>
      <c r="E213" s="2"/>
      <c r="F213" s="68" t="s">
        <v>945</v>
      </c>
      <c r="G213" s="48" t="s">
        <v>946</v>
      </c>
      <c r="J213" s="6" t="s">
        <v>48</v>
      </c>
      <c r="K213" s="6" t="s">
        <v>947</v>
      </c>
      <c r="L213" s="3" t="s">
        <v>40</v>
      </c>
      <c r="M213" s="16" t="s">
        <v>927</v>
      </c>
      <c r="N213" s="3" t="str">
        <f t="shared" si="3"/>
        <v>1  Year</v>
      </c>
      <c r="O213" s="3" t="s">
        <v>42</v>
      </c>
      <c r="P213" s="3" t="s">
        <v>928</v>
      </c>
      <c r="Q213" s="3">
        <v>2025</v>
      </c>
      <c r="R213" s="6" t="s">
        <v>80</v>
      </c>
      <c r="S213" s="6" t="s">
        <v>45</v>
      </c>
      <c r="T213" s="5" t="s">
        <v>948</v>
      </c>
      <c r="Y213" t="s">
        <v>47</v>
      </c>
    </row>
    <row r="214" spans="1:25" ht="21.6">
      <c r="A214">
        <v>150</v>
      </c>
      <c r="B214" s="2" t="s">
        <v>949</v>
      </c>
      <c r="C214" s="19" t="s">
        <v>950</v>
      </c>
      <c r="D214" s="44" t="s">
        <v>288</v>
      </c>
      <c r="E214" s="2"/>
      <c r="F214" s="68" t="s">
        <v>951</v>
      </c>
      <c r="G214" s="48" t="s">
        <v>952</v>
      </c>
      <c r="J214" s="6" t="s">
        <v>88</v>
      </c>
      <c r="K214" s="6" t="s">
        <v>953</v>
      </c>
      <c r="L214" s="3" t="s">
        <v>40</v>
      </c>
      <c r="M214" s="16" t="s">
        <v>927</v>
      </c>
      <c r="N214" s="3" t="str">
        <f t="shared" si="3"/>
        <v>1  Year</v>
      </c>
      <c r="O214" s="3" t="s">
        <v>42</v>
      </c>
      <c r="P214" s="3" t="s">
        <v>928</v>
      </c>
      <c r="Q214" s="3">
        <v>2025</v>
      </c>
      <c r="R214" s="6" t="s">
        <v>80</v>
      </c>
      <c r="S214" s="6" t="s">
        <v>45</v>
      </c>
      <c r="T214" s="4" t="s">
        <v>954</v>
      </c>
      <c r="Y214" t="s">
        <v>47</v>
      </c>
    </row>
    <row r="215" spans="1:25" ht="21.6">
      <c r="A215">
        <v>150</v>
      </c>
      <c r="B215" s="2" t="s">
        <v>949</v>
      </c>
      <c r="C215" s="19" t="s">
        <v>950</v>
      </c>
      <c r="D215" s="44" t="s">
        <v>288</v>
      </c>
      <c r="E215" s="2"/>
      <c r="F215" s="68" t="s">
        <v>951</v>
      </c>
      <c r="G215" s="48" t="s">
        <v>952</v>
      </c>
      <c r="J215" s="6" t="s">
        <v>92</v>
      </c>
      <c r="K215" s="6" t="s">
        <v>953</v>
      </c>
      <c r="L215" s="3" t="s">
        <v>40</v>
      </c>
      <c r="M215" s="16" t="s">
        <v>927</v>
      </c>
      <c r="N215" s="3" t="str">
        <f t="shared" si="3"/>
        <v>1  Year</v>
      </c>
      <c r="O215" s="3" t="s">
        <v>42</v>
      </c>
      <c r="P215" s="3" t="s">
        <v>928</v>
      </c>
      <c r="Q215" s="3">
        <v>2025</v>
      </c>
      <c r="R215" s="6" t="s">
        <v>80</v>
      </c>
      <c r="S215" s="6" t="s">
        <v>45</v>
      </c>
      <c r="T215" s="4" t="s">
        <v>954</v>
      </c>
      <c r="Y215" t="s">
        <v>47</v>
      </c>
    </row>
    <row r="216" spans="1:25" ht="21.6">
      <c r="A216">
        <v>150</v>
      </c>
      <c r="B216" s="2" t="s">
        <v>949</v>
      </c>
      <c r="C216" s="19" t="s">
        <v>950</v>
      </c>
      <c r="D216" s="44" t="s">
        <v>288</v>
      </c>
      <c r="E216" s="2"/>
      <c r="F216" s="68" t="s">
        <v>951</v>
      </c>
      <c r="G216" s="48" t="s">
        <v>952</v>
      </c>
      <c r="J216" s="6" t="s">
        <v>930</v>
      </c>
      <c r="K216" s="6" t="s">
        <v>953</v>
      </c>
      <c r="L216" s="3" t="s">
        <v>40</v>
      </c>
      <c r="M216" s="16" t="s">
        <v>927</v>
      </c>
      <c r="N216" s="3" t="str">
        <f t="shared" si="3"/>
        <v>1  Year</v>
      </c>
      <c r="O216" s="3" t="s">
        <v>42</v>
      </c>
      <c r="P216" s="3" t="s">
        <v>928</v>
      </c>
      <c r="Q216" s="3">
        <v>2025</v>
      </c>
      <c r="R216" s="6" t="s">
        <v>80</v>
      </c>
      <c r="S216" s="6" t="s">
        <v>45</v>
      </c>
      <c r="T216" s="4" t="s">
        <v>954</v>
      </c>
      <c r="Y216" t="s">
        <v>47</v>
      </c>
    </row>
    <row r="217" spans="1:25" ht="21.6">
      <c r="A217">
        <v>151</v>
      </c>
      <c r="B217" s="2" t="s">
        <v>955</v>
      </c>
      <c r="C217" s="19" t="s">
        <v>956</v>
      </c>
      <c r="D217" s="44" t="s">
        <v>311</v>
      </c>
      <c r="E217" s="2"/>
      <c r="F217" s="68" t="s">
        <v>120</v>
      </c>
      <c r="G217" s="48" t="s">
        <v>957</v>
      </c>
      <c r="J217" s="6" t="s">
        <v>271</v>
      </c>
      <c r="K217" s="6" t="s">
        <v>958</v>
      </c>
      <c r="L217" s="3" t="s">
        <v>40</v>
      </c>
      <c r="M217" s="16" t="s">
        <v>927</v>
      </c>
      <c r="N217" s="3" t="str">
        <f t="shared" si="3"/>
        <v>1  Year</v>
      </c>
      <c r="O217" s="3" t="s">
        <v>42</v>
      </c>
      <c r="P217" s="3" t="s">
        <v>928</v>
      </c>
      <c r="Q217" s="3">
        <v>2025</v>
      </c>
      <c r="R217" s="6" t="s">
        <v>80</v>
      </c>
      <c r="S217" s="6" t="s">
        <v>45</v>
      </c>
      <c r="T217" s="4" t="s">
        <v>959</v>
      </c>
      <c r="Y217" t="s">
        <v>47</v>
      </c>
    </row>
    <row r="218" spans="1:25" ht="21.6">
      <c r="A218">
        <v>152</v>
      </c>
      <c r="B218" s="2" t="s">
        <v>960</v>
      </c>
      <c r="C218" s="19" t="s">
        <v>961</v>
      </c>
      <c r="D218" s="44" t="s">
        <v>962</v>
      </c>
      <c r="E218" s="2"/>
      <c r="F218" s="68" t="s">
        <v>120</v>
      </c>
      <c r="G218" s="48" t="s">
        <v>957</v>
      </c>
      <c r="J218" s="6" t="s">
        <v>57</v>
      </c>
      <c r="K218" s="6" t="s">
        <v>963</v>
      </c>
      <c r="L218" s="3" t="s">
        <v>40</v>
      </c>
      <c r="M218" s="16" t="s">
        <v>927</v>
      </c>
      <c r="N218" s="3" t="str">
        <f t="shared" si="3"/>
        <v>1  Year</v>
      </c>
      <c r="O218" s="3" t="s">
        <v>42</v>
      </c>
      <c r="P218" s="3" t="s">
        <v>928</v>
      </c>
      <c r="Q218" s="3">
        <v>2025</v>
      </c>
      <c r="R218" s="6" t="s">
        <v>80</v>
      </c>
      <c r="S218" s="6" t="s">
        <v>45</v>
      </c>
      <c r="T218" s="4" t="s">
        <v>964</v>
      </c>
      <c r="Y218" t="s">
        <v>47</v>
      </c>
    </row>
    <row r="219" spans="1:25" ht="21.6">
      <c r="A219">
        <v>153</v>
      </c>
      <c r="B219" s="2" t="s">
        <v>965</v>
      </c>
      <c r="C219" s="19" t="s">
        <v>524</v>
      </c>
      <c r="D219" s="44" t="s">
        <v>525</v>
      </c>
      <c r="E219" s="2"/>
      <c r="F219" s="68" t="s">
        <v>966</v>
      </c>
      <c r="G219" s="48" t="s">
        <v>967</v>
      </c>
      <c r="J219" s="6" t="s">
        <v>145</v>
      </c>
      <c r="K219" s="6" t="s">
        <v>968</v>
      </c>
      <c r="L219" s="3" t="s">
        <v>40</v>
      </c>
      <c r="M219" s="16" t="s">
        <v>927</v>
      </c>
      <c r="N219" s="3" t="str">
        <f t="shared" si="3"/>
        <v>1  Year</v>
      </c>
      <c r="O219" s="3" t="s">
        <v>42</v>
      </c>
      <c r="P219" s="3" t="s">
        <v>928</v>
      </c>
      <c r="Q219" s="3">
        <v>2025</v>
      </c>
      <c r="R219" s="6" t="s">
        <v>80</v>
      </c>
      <c r="S219" s="6" t="s">
        <v>45</v>
      </c>
      <c r="T219" s="4" t="s">
        <v>531</v>
      </c>
      <c r="Y219" t="s">
        <v>47</v>
      </c>
    </row>
    <row r="220" spans="1:25" ht="21.6">
      <c r="A220">
        <v>153</v>
      </c>
      <c r="B220" s="2" t="s">
        <v>965</v>
      </c>
      <c r="C220" s="19" t="s">
        <v>524</v>
      </c>
      <c r="D220" s="44" t="s">
        <v>525</v>
      </c>
      <c r="E220" s="2"/>
      <c r="F220" s="68" t="s">
        <v>966</v>
      </c>
      <c r="G220" s="48" t="s">
        <v>967</v>
      </c>
      <c r="J220" s="6" t="s">
        <v>57</v>
      </c>
      <c r="K220" s="6" t="s">
        <v>968</v>
      </c>
      <c r="L220" s="3" t="s">
        <v>40</v>
      </c>
      <c r="M220" s="16" t="s">
        <v>927</v>
      </c>
      <c r="N220" s="3" t="str">
        <f t="shared" si="3"/>
        <v>1  Year</v>
      </c>
      <c r="O220" s="3" t="s">
        <v>42</v>
      </c>
      <c r="P220" s="3" t="s">
        <v>928</v>
      </c>
      <c r="Q220" s="3">
        <v>2025</v>
      </c>
      <c r="R220" s="6" t="s">
        <v>80</v>
      </c>
      <c r="S220" s="6" t="s">
        <v>45</v>
      </c>
      <c r="T220" s="4" t="s">
        <v>531</v>
      </c>
      <c r="Y220" t="s">
        <v>47</v>
      </c>
    </row>
    <row r="221" spans="1:25" ht="21.6">
      <c r="A221">
        <v>154</v>
      </c>
      <c r="B221" s="2" t="s">
        <v>492</v>
      </c>
      <c r="C221" s="19" t="s">
        <v>493</v>
      </c>
      <c r="D221" s="44" t="s">
        <v>969</v>
      </c>
      <c r="E221" s="2"/>
      <c r="F221" s="68" t="s">
        <v>970</v>
      </c>
      <c r="G221" s="48" t="s">
        <v>971</v>
      </c>
      <c r="J221" s="6" t="s">
        <v>92</v>
      </c>
      <c r="K221" s="6" t="s">
        <v>972</v>
      </c>
      <c r="L221" s="3" t="s">
        <v>40</v>
      </c>
      <c r="M221" s="16" t="s">
        <v>927</v>
      </c>
      <c r="N221" s="3" t="str">
        <f t="shared" si="3"/>
        <v>1  Year</v>
      </c>
      <c r="O221" s="3" t="s">
        <v>42</v>
      </c>
      <c r="P221" s="3" t="s">
        <v>928</v>
      </c>
      <c r="Q221" s="3">
        <v>2025</v>
      </c>
      <c r="R221" s="6" t="s">
        <v>80</v>
      </c>
      <c r="S221" s="6" t="s">
        <v>973</v>
      </c>
      <c r="T221" s="5" t="s">
        <v>974</v>
      </c>
      <c r="Y221" t="s">
        <v>47</v>
      </c>
    </row>
    <row r="222" spans="1:25" ht="31.8">
      <c r="A222">
        <v>155</v>
      </c>
      <c r="B222" s="2" t="s">
        <v>975</v>
      </c>
      <c r="C222" s="19" t="s">
        <v>776</v>
      </c>
      <c r="D222" s="44" t="s">
        <v>976</v>
      </c>
      <c r="E222" s="2"/>
      <c r="F222" s="68" t="s">
        <v>977</v>
      </c>
      <c r="G222" s="48" t="s">
        <v>978</v>
      </c>
      <c r="J222" s="6" t="s">
        <v>88</v>
      </c>
      <c r="K222" s="6" t="s">
        <v>979</v>
      </c>
      <c r="L222" s="3" t="s">
        <v>40</v>
      </c>
      <c r="M222" s="16" t="s">
        <v>927</v>
      </c>
      <c r="N222" s="3" t="str">
        <f t="shared" si="3"/>
        <v>1  Year</v>
      </c>
      <c r="O222" s="3" t="s">
        <v>42</v>
      </c>
      <c r="P222" s="3" t="s">
        <v>928</v>
      </c>
      <c r="Q222" s="3">
        <v>2025</v>
      </c>
      <c r="R222" s="6" t="s">
        <v>80</v>
      </c>
      <c r="S222" s="6" t="s">
        <v>45</v>
      </c>
      <c r="T222" s="5" t="s">
        <v>782</v>
      </c>
      <c r="Y222" t="s">
        <v>47</v>
      </c>
    </row>
    <row r="223" spans="1:25" ht="31.8">
      <c r="A223">
        <v>156</v>
      </c>
      <c r="B223" s="2" t="s">
        <v>980</v>
      </c>
      <c r="C223" s="19" t="s">
        <v>790</v>
      </c>
      <c r="D223" s="44" t="s">
        <v>791</v>
      </c>
      <c r="E223" s="2"/>
      <c r="F223" s="68" t="s">
        <v>977</v>
      </c>
      <c r="G223" s="48" t="s">
        <v>978</v>
      </c>
      <c r="J223" s="6" t="s">
        <v>88</v>
      </c>
      <c r="K223" s="6" t="s">
        <v>981</v>
      </c>
      <c r="L223" s="3" t="s">
        <v>40</v>
      </c>
      <c r="M223" s="16" t="s">
        <v>927</v>
      </c>
      <c r="N223" s="3" t="str">
        <f t="shared" si="3"/>
        <v>1  Year</v>
      </c>
      <c r="O223" s="3" t="s">
        <v>42</v>
      </c>
      <c r="P223" s="3" t="s">
        <v>928</v>
      </c>
      <c r="Q223" s="3">
        <v>2025</v>
      </c>
      <c r="R223" s="6" t="s">
        <v>80</v>
      </c>
      <c r="S223" s="6" t="s">
        <v>45</v>
      </c>
      <c r="T223" s="4" t="s">
        <v>794</v>
      </c>
      <c r="Y223" t="s">
        <v>47</v>
      </c>
    </row>
    <row r="224" spans="1:25" ht="21.6">
      <c r="A224">
        <v>157</v>
      </c>
      <c r="B224" s="2" t="s">
        <v>557</v>
      </c>
      <c r="C224" s="19" t="s">
        <v>558</v>
      </c>
      <c r="D224" s="44" t="s">
        <v>311</v>
      </c>
      <c r="E224" s="2"/>
      <c r="F224" s="68" t="s">
        <v>970</v>
      </c>
      <c r="G224" s="48" t="s">
        <v>971</v>
      </c>
      <c r="J224" s="6" t="s">
        <v>92</v>
      </c>
      <c r="K224" s="6" t="s">
        <v>982</v>
      </c>
      <c r="L224" s="3" t="s">
        <v>40</v>
      </c>
      <c r="M224" s="16" t="s">
        <v>927</v>
      </c>
      <c r="N224" s="3" t="str">
        <f t="shared" si="3"/>
        <v>1  Year</v>
      </c>
      <c r="O224" s="3" t="s">
        <v>42</v>
      </c>
      <c r="P224" s="3" t="s">
        <v>928</v>
      </c>
      <c r="Q224" s="3">
        <v>2025</v>
      </c>
      <c r="R224" s="6" t="s">
        <v>80</v>
      </c>
      <c r="S224" s="6" t="s">
        <v>973</v>
      </c>
      <c r="T224" s="4" t="s">
        <v>983</v>
      </c>
      <c r="Y224" t="s">
        <v>47</v>
      </c>
    </row>
    <row r="225" spans="1:25" ht="28.8">
      <c r="A225">
        <v>158</v>
      </c>
      <c r="B225" s="2" t="s">
        <v>984</v>
      </c>
      <c r="C225" s="19" t="s">
        <v>985</v>
      </c>
      <c r="D225" s="44" t="s">
        <v>986</v>
      </c>
      <c r="E225" s="2"/>
      <c r="F225" s="68" t="s">
        <v>208</v>
      </c>
      <c r="G225" s="48" t="s">
        <v>987</v>
      </c>
      <c r="J225" s="6" t="s">
        <v>48</v>
      </c>
      <c r="K225" s="6" t="s">
        <v>988</v>
      </c>
      <c r="L225" s="3" t="s">
        <v>40</v>
      </c>
      <c r="M225" s="16" t="s">
        <v>927</v>
      </c>
      <c r="N225" s="3" t="str">
        <f t="shared" si="3"/>
        <v>1  Year</v>
      </c>
      <c r="O225" s="3" t="s">
        <v>42</v>
      </c>
      <c r="P225" s="3" t="s">
        <v>928</v>
      </c>
      <c r="Q225" s="3">
        <v>2025</v>
      </c>
      <c r="R225" s="6" t="s">
        <v>80</v>
      </c>
      <c r="S225" s="6" t="s">
        <v>45</v>
      </c>
      <c r="T225" s="5" t="s">
        <v>989</v>
      </c>
      <c r="Y225" t="s">
        <v>47</v>
      </c>
    </row>
    <row r="226" spans="1:25" ht="28.8">
      <c r="A226">
        <v>159</v>
      </c>
      <c r="B226" s="2" t="s">
        <v>990</v>
      </c>
      <c r="C226" s="19" t="s">
        <v>991</v>
      </c>
      <c r="D226" s="44" t="s">
        <v>986</v>
      </c>
      <c r="E226" s="2"/>
      <c r="F226" s="68" t="s">
        <v>208</v>
      </c>
      <c r="G226" s="48" t="s">
        <v>987</v>
      </c>
      <c r="J226" s="6" t="s">
        <v>48</v>
      </c>
      <c r="K226" s="6" t="s">
        <v>988</v>
      </c>
      <c r="L226" s="3" t="s">
        <v>40</v>
      </c>
      <c r="M226" s="16" t="s">
        <v>927</v>
      </c>
      <c r="N226" s="3" t="str">
        <f t="shared" si="3"/>
        <v>1  Year</v>
      </c>
      <c r="O226" s="3" t="s">
        <v>42</v>
      </c>
      <c r="P226" s="3" t="s">
        <v>928</v>
      </c>
      <c r="Q226" s="3">
        <v>2025</v>
      </c>
      <c r="R226" s="6" t="s">
        <v>80</v>
      </c>
      <c r="S226" s="6" t="s">
        <v>45</v>
      </c>
      <c r="T226" s="5" t="s">
        <v>989</v>
      </c>
      <c r="Y226" t="s">
        <v>47</v>
      </c>
    </row>
    <row r="227" spans="1:25" ht="31.8">
      <c r="A227">
        <v>160</v>
      </c>
      <c r="B227" s="2" t="s">
        <v>992</v>
      </c>
      <c r="C227" s="19" t="s">
        <v>993</v>
      </c>
      <c r="D227" s="44" t="s">
        <v>962</v>
      </c>
      <c r="E227" s="2"/>
      <c r="F227" s="68" t="s">
        <v>120</v>
      </c>
      <c r="G227" s="48" t="s">
        <v>994</v>
      </c>
      <c r="J227" s="6" t="s">
        <v>57</v>
      </c>
      <c r="K227" s="6" t="s">
        <v>995</v>
      </c>
      <c r="L227" s="3" t="s">
        <v>40</v>
      </c>
      <c r="M227" s="16" t="s">
        <v>927</v>
      </c>
      <c r="N227" s="3" t="str">
        <f t="shared" si="3"/>
        <v>1  Year</v>
      </c>
      <c r="O227" s="3" t="s">
        <v>42</v>
      </c>
      <c r="P227" s="3" t="s">
        <v>928</v>
      </c>
      <c r="Q227" s="3">
        <v>2025</v>
      </c>
      <c r="R227" s="6" t="s">
        <v>80</v>
      </c>
      <c r="S227" s="6" t="s">
        <v>45</v>
      </c>
      <c r="T227" s="5" t="s">
        <v>996</v>
      </c>
      <c r="Y227" t="s">
        <v>47</v>
      </c>
    </row>
    <row r="228" spans="1:25" ht="31.8">
      <c r="A228">
        <v>161</v>
      </c>
      <c r="B228" s="2" t="s">
        <v>997</v>
      </c>
      <c r="C228" s="19" t="s">
        <v>998</v>
      </c>
      <c r="D228" s="44" t="s">
        <v>962</v>
      </c>
      <c r="E228" s="2"/>
      <c r="F228" s="68" t="s">
        <v>120</v>
      </c>
      <c r="G228" s="48" t="s">
        <v>994</v>
      </c>
      <c r="H228" s="5" t="s">
        <v>122</v>
      </c>
      <c r="J228" s="6" t="s">
        <v>57</v>
      </c>
      <c r="K228" s="6" t="s">
        <v>995</v>
      </c>
      <c r="L228" s="3" t="s">
        <v>40</v>
      </c>
      <c r="M228" s="16" t="s">
        <v>927</v>
      </c>
      <c r="N228" s="3" t="str">
        <f t="shared" si="3"/>
        <v>1  Year</v>
      </c>
      <c r="O228" s="3" t="s">
        <v>42</v>
      </c>
      <c r="P228" s="3" t="s">
        <v>928</v>
      </c>
      <c r="Q228" s="3">
        <v>2025</v>
      </c>
      <c r="R228" s="6" t="s">
        <v>80</v>
      </c>
      <c r="S228" s="6" t="s">
        <v>45</v>
      </c>
      <c r="T228" s="5" t="s">
        <v>996</v>
      </c>
      <c r="Y228" t="s">
        <v>47</v>
      </c>
    </row>
    <row r="229" spans="1:25" ht="21.6">
      <c r="A229">
        <v>162</v>
      </c>
      <c r="B229" s="2" t="s">
        <v>999</v>
      </c>
      <c r="C229" s="19" t="s">
        <v>1000</v>
      </c>
      <c r="D229" s="44" t="s">
        <v>1001</v>
      </c>
      <c r="E229" s="2"/>
      <c r="F229" s="68" t="s">
        <v>120</v>
      </c>
      <c r="G229" s="48" t="s">
        <v>994</v>
      </c>
      <c r="H229" s="5" t="s">
        <v>122</v>
      </c>
      <c r="J229" s="6" t="s">
        <v>57</v>
      </c>
      <c r="K229" s="6" t="s">
        <v>1002</v>
      </c>
      <c r="L229" s="3" t="s">
        <v>40</v>
      </c>
      <c r="M229" s="16" t="s">
        <v>927</v>
      </c>
      <c r="N229" s="3" t="str">
        <f t="shared" si="3"/>
        <v>1  Year</v>
      </c>
      <c r="O229" s="3" t="s">
        <v>42</v>
      </c>
      <c r="P229" s="3" t="s">
        <v>928</v>
      </c>
      <c r="Q229" s="3">
        <v>2025</v>
      </c>
      <c r="R229" s="6" t="s">
        <v>80</v>
      </c>
      <c r="S229" s="6" t="s">
        <v>45</v>
      </c>
      <c r="T229" s="5" t="s">
        <v>996</v>
      </c>
      <c r="Y229" t="s">
        <v>47</v>
      </c>
    </row>
    <row r="230" spans="1:25" ht="31.8">
      <c r="A230">
        <v>163</v>
      </c>
      <c r="B230" s="2" t="s">
        <v>1003</v>
      </c>
      <c r="C230" s="19" t="s">
        <v>131</v>
      </c>
      <c r="D230" s="44" t="s">
        <v>1004</v>
      </c>
      <c r="E230" s="2"/>
      <c r="F230" s="68" t="s">
        <v>120</v>
      </c>
      <c r="G230" s="48" t="s">
        <v>994</v>
      </c>
      <c r="H230" s="5" t="s">
        <v>122</v>
      </c>
      <c r="J230" s="6" t="s">
        <v>48</v>
      </c>
      <c r="K230" s="6" t="s">
        <v>1005</v>
      </c>
      <c r="L230" s="3" t="s">
        <v>40</v>
      </c>
      <c r="M230" s="16" t="s">
        <v>927</v>
      </c>
      <c r="N230" s="3" t="str">
        <f t="shared" si="3"/>
        <v>1  Year</v>
      </c>
      <c r="O230" s="3" t="s">
        <v>42</v>
      </c>
      <c r="P230" s="3" t="s">
        <v>928</v>
      </c>
      <c r="Q230" s="3">
        <v>2025</v>
      </c>
      <c r="R230" s="6" t="s">
        <v>80</v>
      </c>
      <c r="S230" s="6" t="s">
        <v>45</v>
      </c>
      <c r="T230" s="4" t="s">
        <v>1006</v>
      </c>
      <c r="Y230" t="s">
        <v>47</v>
      </c>
    </row>
    <row r="231" spans="1:25" ht="28.8">
      <c r="A231">
        <v>164</v>
      </c>
      <c r="B231" s="2" t="s">
        <v>1007</v>
      </c>
      <c r="C231" s="19" t="s">
        <v>1008</v>
      </c>
      <c r="D231" s="44" t="s">
        <v>1004</v>
      </c>
      <c r="E231" s="2"/>
      <c r="F231" s="68" t="s">
        <v>120</v>
      </c>
      <c r="G231" s="48" t="s">
        <v>994</v>
      </c>
      <c r="H231" s="5" t="s">
        <v>122</v>
      </c>
      <c r="J231" s="6" t="s">
        <v>271</v>
      </c>
      <c r="K231" s="6" t="s">
        <v>1009</v>
      </c>
      <c r="L231" s="3" t="s">
        <v>40</v>
      </c>
      <c r="M231" s="16" t="s">
        <v>927</v>
      </c>
      <c r="N231" s="3" t="str">
        <f t="shared" si="3"/>
        <v>1  Year</v>
      </c>
      <c r="O231" s="3" t="s">
        <v>42</v>
      </c>
      <c r="P231" s="3" t="s">
        <v>928</v>
      </c>
      <c r="Q231" s="3">
        <v>2025</v>
      </c>
      <c r="R231" s="6" t="s">
        <v>80</v>
      </c>
      <c r="S231" s="6" t="s">
        <v>45</v>
      </c>
      <c r="T231" s="5" t="s">
        <v>1010</v>
      </c>
      <c r="Y231" t="s">
        <v>47</v>
      </c>
    </row>
    <row r="232" spans="1:25" ht="21.6">
      <c r="A232">
        <v>165</v>
      </c>
      <c r="B232" s="2" t="s">
        <v>1011</v>
      </c>
      <c r="C232" s="19" t="s">
        <v>1012</v>
      </c>
      <c r="D232" s="44" t="s">
        <v>1004</v>
      </c>
      <c r="E232" s="2" t="s">
        <v>52</v>
      </c>
      <c r="F232" s="68" t="s">
        <v>120</v>
      </c>
      <c r="G232" s="48" t="s">
        <v>994</v>
      </c>
      <c r="H232" s="5" t="s">
        <v>122</v>
      </c>
      <c r="J232" s="6" t="s">
        <v>271</v>
      </c>
      <c r="K232" s="6" t="s">
        <v>1009</v>
      </c>
      <c r="L232" s="3" t="s">
        <v>40</v>
      </c>
      <c r="M232" s="16" t="s">
        <v>927</v>
      </c>
      <c r="N232" s="3" t="str">
        <f t="shared" si="3"/>
        <v>1  Year</v>
      </c>
      <c r="O232" s="3" t="s">
        <v>42</v>
      </c>
      <c r="P232" s="3" t="s">
        <v>928</v>
      </c>
      <c r="Q232" s="3">
        <v>2025</v>
      </c>
      <c r="R232" s="6" t="s">
        <v>80</v>
      </c>
      <c r="S232" s="6" t="s">
        <v>45</v>
      </c>
      <c r="T232" s="5" t="s">
        <v>1013</v>
      </c>
      <c r="Y232" t="s">
        <v>47</v>
      </c>
    </row>
    <row r="233" spans="1:25" ht="21.6">
      <c r="A233">
        <v>166</v>
      </c>
      <c r="B233" s="2" t="s">
        <v>1014</v>
      </c>
      <c r="C233" s="19" t="s">
        <v>1015</v>
      </c>
      <c r="D233" s="44" t="s">
        <v>152</v>
      </c>
      <c r="E233" s="2"/>
      <c r="F233" s="68" t="s">
        <v>1016</v>
      </c>
      <c r="G233" s="48" t="s">
        <v>1017</v>
      </c>
      <c r="J233" s="6" t="s">
        <v>145</v>
      </c>
      <c r="K233" s="6" t="s">
        <v>1018</v>
      </c>
      <c r="L233" s="3" t="s">
        <v>40</v>
      </c>
      <c r="M233" s="16" t="s">
        <v>927</v>
      </c>
      <c r="N233" s="3" t="str">
        <f t="shared" si="3"/>
        <v>1  Year</v>
      </c>
      <c r="O233" s="3" t="s">
        <v>42</v>
      </c>
      <c r="P233" s="3" t="s">
        <v>928</v>
      </c>
      <c r="Q233" s="3">
        <v>2025</v>
      </c>
      <c r="R233" s="6" t="s">
        <v>80</v>
      </c>
      <c r="S233" s="6" t="s">
        <v>45</v>
      </c>
      <c r="T233" s="4" t="s">
        <v>1019</v>
      </c>
      <c r="Y233" t="s">
        <v>47</v>
      </c>
    </row>
    <row r="234" spans="1:25" ht="21.6">
      <c r="A234">
        <v>167</v>
      </c>
      <c r="B234" s="2" t="s">
        <v>1020</v>
      </c>
      <c r="C234" s="19" t="s">
        <v>1021</v>
      </c>
      <c r="D234" s="44" t="s">
        <v>292</v>
      </c>
      <c r="E234" s="2"/>
      <c r="F234" s="68" t="s">
        <v>1016</v>
      </c>
      <c r="G234" s="48" t="s">
        <v>1017</v>
      </c>
      <c r="J234" s="6" t="s">
        <v>145</v>
      </c>
      <c r="K234" s="6" t="s">
        <v>1022</v>
      </c>
      <c r="L234" s="3" t="s">
        <v>40</v>
      </c>
      <c r="M234" s="16" t="s">
        <v>927</v>
      </c>
      <c r="N234" s="3" t="str">
        <f t="shared" si="3"/>
        <v>1  Year</v>
      </c>
      <c r="O234" s="3" t="s">
        <v>42</v>
      </c>
      <c r="P234" s="3" t="s">
        <v>928</v>
      </c>
      <c r="Q234" s="3">
        <v>2025</v>
      </c>
      <c r="R234" s="6" t="s">
        <v>80</v>
      </c>
      <c r="S234" s="6" t="s">
        <v>45</v>
      </c>
      <c r="T234" s="4" t="s">
        <v>1023</v>
      </c>
      <c r="Y234" t="s">
        <v>47</v>
      </c>
    </row>
    <row r="235" spans="1:25" ht="21.6">
      <c r="A235">
        <v>168</v>
      </c>
      <c r="B235" s="2" t="s">
        <v>1024</v>
      </c>
      <c r="C235" s="19" t="s">
        <v>1025</v>
      </c>
      <c r="D235" s="44" t="s">
        <v>152</v>
      </c>
      <c r="E235" s="2"/>
      <c r="F235" s="68" t="s">
        <v>1016</v>
      </c>
      <c r="G235" s="48" t="s">
        <v>1017</v>
      </c>
      <c r="J235" s="6" t="s">
        <v>145</v>
      </c>
      <c r="K235" s="6" t="s">
        <v>1026</v>
      </c>
      <c r="L235" s="3" t="s">
        <v>40</v>
      </c>
      <c r="M235" s="16" t="s">
        <v>927</v>
      </c>
      <c r="N235" s="3" t="str">
        <f t="shared" si="3"/>
        <v>1  Year</v>
      </c>
      <c r="O235" s="3" t="s">
        <v>42</v>
      </c>
      <c r="P235" s="3" t="s">
        <v>928</v>
      </c>
      <c r="Q235" s="3">
        <v>2025</v>
      </c>
      <c r="R235" s="6" t="s">
        <v>80</v>
      </c>
      <c r="S235" s="6" t="s">
        <v>45</v>
      </c>
      <c r="T235" s="4" t="s">
        <v>1027</v>
      </c>
      <c r="Y235" t="s">
        <v>47</v>
      </c>
    </row>
    <row r="236" spans="1:25" ht="28.8">
      <c r="A236">
        <v>169</v>
      </c>
      <c r="B236" s="2" t="s">
        <v>1028</v>
      </c>
      <c r="C236" s="19" t="s">
        <v>1029</v>
      </c>
      <c r="D236" s="44" t="s">
        <v>288</v>
      </c>
      <c r="E236" s="2"/>
      <c r="F236" s="68" t="s">
        <v>806</v>
      </c>
      <c r="G236" s="48" t="s">
        <v>1030</v>
      </c>
      <c r="J236" s="6" t="s">
        <v>92</v>
      </c>
      <c r="K236" s="6" t="s">
        <v>1031</v>
      </c>
      <c r="L236" s="3" t="s">
        <v>40</v>
      </c>
      <c r="M236" s="16" t="s">
        <v>927</v>
      </c>
      <c r="N236" s="3" t="str">
        <f t="shared" si="3"/>
        <v>1  Year</v>
      </c>
      <c r="O236" s="3" t="s">
        <v>42</v>
      </c>
      <c r="P236" s="3" t="s">
        <v>928</v>
      </c>
      <c r="Q236" s="3">
        <v>2025</v>
      </c>
      <c r="R236" s="6" t="s">
        <v>44</v>
      </c>
      <c r="S236" s="6" t="s">
        <v>1032</v>
      </c>
      <c r="T236" s="5" t="s">
        <v>1033</v>
      </c>
      <c r="Y236" t="s">
        <v>47</v>
      </c>
    </row>
    <row r="237" spans="1:25" ht="28.8">
      <c r="A237">
        <v>169</v>
      </c>
      <c r="B237" s="2" t="s">
        <v>1028</v>
      </c>
      <c r="C237" s="19" t="s">
        <v>1029</v>
      </c>
      <c r="D237" s="44" t="s">
        <v>288</v>
      </c>
      <c r="E237" s="2"/>
      <c r="F237" s="68" t="s">
        <v>806</v>
      </c>
      <c r="G237" s="48" t="s">
        <v>1030</v>
      </c>
      <c r="J237" s="6" t="s">
        <v>48</v>
      </c>
      <c r="K237" s="6" t="s">
        <v>1031</v>
      </c>
      <c r="L237" s="3" t="s">
        <v>40</v>
      </c>
      <c r="M237" s="16" t="s">
        <v>927</v>
      </c>
      <c r="N237" s="3" t="str">
        <f t="shared" si="3"/>
        <v>1  Year</v>
      </c>
      <c r="O237" s="3" t="s">
        <v>42</v>
      </c>
      <c r="P237" s="3" t="s">
        <v>928</v>
      </c>
      <c r="Q237" s="3">
        <v>2025</v>
      </c>
      <c r="R237" s="6" t="s">
        <v>44</v>
      </c>
      <c r="S237" s="6" t="s">
        <v>1032</v>
      </c>
      <c r="T237" s="5" t="s">
        <v>1033</v>
      </c>
      <c r="Y237" t="s">
        <v>47</v>
      </c>
    </row>
    <row r="238" spans="1:25" ht="28.8">
      <c r="A238">
        <v>169</v>
      </c>
      <c r="B238" s="2" t="s">
        <v>1028</v>
      </c>
      <c r="C238" s="19" t="s">
        <v>1029</v>
      </c>
      <c r="D238" s="44" t="s">
        <v>288</v>
      </c>
      <c r="E238" s="2"/>
      <c r="F238" s="68" t="s">
        <v>806</v>
      </c>
      <c r="G238" s="48" t="s">
        <v>1030</v>
      </c>
      <c r="J238" s="6" t="s">
        <v>145</v>
      </c>
      <c r="K238" s="6" t="s">
        <v>1031</v>
      </c>
      <c r="L238" s="3" t="s">
        <v>40</v>
      </c>
      <c r="M238" s="16" t="s">
        <v>927</v>
      </c>
      <c r="N238" s="3" t="str">
        <f t="shared" si="3"/>
        <v>1  Year</v>
      </c>
      <c r="O238" s="3" t="s">
        <v>42</v>
      </c>
      <c r="P238" s="3" t="s">
        <v>928</v>
      </c>
      <c r="Q238" s="3">
        <v>2025</v>
      </c>
      <c r="R238" s="6" t="s">
        <v>44</v>
      </c>
      <c r="S238" s="6" t="s">
        <v>1032</v>
      </c>
      <c r="T238" s="5" t="s">
        <v>1033</v>
      </c>
      <c r="Y238" t="s">
        <v>47</v>
      </c>
    </row>
    <row r="239" spans="1:25" ht="21.6">
      <c r="A239">
        <v>170</v>
      </c>
      <c r="B239" s="2" t="s">
        <v>1034</v>
      </c>
      <c r="C239" s="19" t="s">
        <v>1035</v>
      </c>
      <c r="D239" s="44" t="s">
        <v>288</v>
      </c>
      <c r="E239" s="2"/>
      <c r="F239" s="68" t="s">
        <v>1036</v>
      </c>
      <c r="G239" s="48" t="s">
        <v>1037</v>
      </c>
      <c r="J239" s="6" t="s">
        <v>159</v>
      </c>
      <c r="K239" s="6" t="s">
        <v>1038</v>
      </c>
      <c r="L239" s="3" t="s">
        <v>40</v>
      </c>
      <c r="M239" s="16" t="s">
        <v>927</v>
      </c>
      <c r="N239" s="3" t="str">
        <f t="shared" si="3"/>
        <v>1  Year</v>
      </c>
      <c r="O239" s="3" t="s">
        <v>42</v>
      </c>
      <c r="P239" s="3" t="s">
        <v>928</v>
      </c>
      <c r="Q239" s="3">
        <v>2025</v>
      </c>
      <c r="R239" s="6" t="s">
        <v>44</v>
      </c>
      <c r="S239" s="6" t="s">
        <v>45</v>
      </c>
      <c r="T239" s="4" t="s">
        <v>1039</v>
      </c>
      <c r="Y239" t="s">
        <v>47</v>
      </c>
    </row>
    <row r="240" spans="1:25" ht="28.8">
      <c r="A240">
        <v>171</v>
      </c>
      <c r="B240" s="2" t="s">
        <v>1040</v>
      </c>
      <c r="C240" s="19" t="s">
        <v>1041</v>
      </c>
      <c r="D240" s="44" t="s">
        <v>1042</v>
      </c>
      <c r="E240" s="2"/>
      <c r="F240" s="68" t="s">
        <v>1043</v>
      </c>
      <c r="G240" s="48" t="s">
        <v>1044</v>
      </c>
      <c r="J240" s="6" t="s">
        <v>92</v>
      </c>
      <c r="K240" s="6" t="s">
        <v>1045</v>
      </c>
      <c r="L240" s="3" t="s">
        <v>40</v>
      </c>
      <c r="M240" s="16" t="s">
        <v>927</v>
      </c>
      <c r="N240" s="3" t="str">
        <f t="shared" si="3"/>
        <v>1  Year</v>
      </c>
      <c r="O240" s="3" t="s">
        <v>42</v>
      </c>
      <c r="P240" s="3" t="s">
        <v>928</v>
      </c>
      <c r="Q240" s="3">
        <v>2025</v>
      </c>
      <c r="R240" s="6" t="s">
        <v>44</v>
      </c>
      <c r="S240" s="6" t="s">
        <v>45</v>
      </c>
      <c r="T240" s="5" t="s">
        <v>1046</v>
      </c>
      <c r="Y240" t="s">
        <v>47</v>
      </c>
    </row>
    <row r="241" spans="1:29" ht="28.8">
      <c r="A241">
        <v>171</v>
      </c>
      <c r="B241" s="2" t="s">
        <v>1040</v>
      </c>
      <c r="C241" s="19" t="s">
        <v>1041</v>
      </c>
      <c r="D241" s="44" t="s">
        <v>1042</v>
      </c>
      <c r="E241" s="2"/>
      <c r="F241" s="68" t="s">
        <v>1043</v>
      </c>
      <c r="G241" s="48" t="s">
        <v>1044</v>
      </c>
      <c r="J241" s="6" t="s">
        <v>145</v>
      </c>
      <c r="K241" s="6" t="s">
        <v>1045</v>
      </c>
      <c r="L241" s="3" t="s">
        <v>40</v>
      </c>
      <c r="M241" s="16" t="s">
        <v>927</v>
      </c>
      <c r="N241" s="3" t="str">
        <f t="shared" si="3"/>
        <v>1  Year</v>
      </c>
      <c r="O241" s="3" t="s">
        <v>42</v>
      </c>
      <c r="P241" s="3" t="s">
        <v>928</v>
      </c>
      <c r="Q241" s="3">
        <v>2025</v>
      </c>
      <c r="R241" s="6" t="s">
        <v>44</v>
      </c>
      <c r="S241" s="6" t="s">
        <v>45</v>
      </c>
      <c r="T241" s="5" t="s">
        <v>1046</v>
      </c>
      <c r="Y241" t="s">
        <v>47</v>
      </c>
    </row>
    <row r="242" spans="1:29" ht="21.6">
      <c r="A242">
        <v>172</v>
      </c>
      <c r="B242" s="2" t="s">
        <v>1047</v>
      </c>
      <c r="C242" s="19" t="s">
        <v>1048</v>
      </c>
      <c r="D242" s="44" t="s">
        <v>762</v>
      </c>
      <c r="E242" s="2" t="s">
        <v>33</v>
      </c>
      <c r="F242" s="68" t="s">
        <v>1049</v>
      </c>
      <c r="G242" s="48" t="s">
        <v>1050</v>
      </c>
      <c r="J242" s="6" t="s">
        <v>92</v>
      </c>
      <c r="K242" s="6" t="s">
        <v>1051</v>
      </c>
      <c r="L242" s="3"/>
      <c r="M242" s="16" t="s">
        <v>927</v>
      </c>
      <c r="N242" s="3" t="str">
        <f t="shared" si="3"/>
        <v/>
      </c>
      <c r="O242" s="3" t="s">
        <v>42</v>
      </c>
      <c r="P242" s="3" t="s">
        <v>928</v>
      </c>
      <c r="Q242" s="3">
        <v>2025</v>
      </c>
      <c r="R242" s="6" t="s">
        <v>44</v>
      </c>
      <c r="S242" s="6" t="s">
        <v>45</v>
      </c>
      <c r="Y242" t="s">
        <v>47</v>
      </c>
    </row>
    <row r="243" spans="1:29" ht="28.8">
      <c r="A243">
        <v>173</v>
      </c>
      <c r="B243" s="2" t="s">
        <v>1052</v>
      </c>
      <c r="C243" s="19" t="s">
        <v>1053</v>
      </c>
      <c r="D243" s="44" t="s">
        <v>986</v>
      </c>
      <c r="E243" s="2" t="s">
        <v>182</v>
      </c>
      <c r="F243" s="68" t="s">
        <v>208</v>
      </c>
      <c r="G243" s="48" t="s">
        <v>1054</v>
      </c>
      <c r="I243" s="116" t="s">
        <v>1055</v>
      </c>
      <c r="J243" s="6" t="s">
        <v>48</v>
      </c>
      <c r="K243" s="6" t="s">
        <v>1056</v>
      </c>
      <c r="L243" s="3" t="s">
        <v>40</v>
      </c>
      <c r="M243" s="16" t="s">
        <v>927</v>
      </c>
      <c r="N243" s="3" t="str">
        <f t="shared" si="3"/>
        <v>1  Year</v>
      </c>
      <c r="O243" s="3" t="s">
        <v>42</v>
      </c>
      <c r="P243" s="3" t="s">
        <v>928</v>
      </c>
      <c r="Q243" s="3">
        <v>2025</v>
      </c>
      <c r="R243" s="6" t="s">
        <v>44</v>
      </c>
      <c r="S243" s="6" t="s">
        <v>45</v>
      </c>
      <c r="T243" s="5" t="s">
        <v>989</v>
      </c>
      <c r="Y243" t="s">
        <v>47</v>
      </c>
    </row>
    <row r="244" spans="1:29" ht="28.8">
      <c r="A244">
        <v>174</v>
      </c>
      <c r="B244" s="2" t="s">
        <v>1052</v>
      </c>
      <c r="C244" s="19" t="s">
        <v>1053</v>
      </c>
      <c r="D244" s="44" t="s">
        <v>986</v>
      </c>
      <c r="E244" s="2" t="s">
        <v>182</v>
      </c>
      <c r="F244" s="68" t="s">
        <v>208</v>
      </c>
      <c r="G244" s="48" t="s">
        <v>1054</v>
      </c>
      <c r="I244" s="116" t="s">
        <v>1055</v>
      </c>
      <c r="J244" s="6" t="s">
        <v>48</v>
      </c>
      <c r="K244" s="6" t="s">
        <v>1057</v>
      </c>
      <c r="L244" s="3" t="s">
        <v>40</v>
      </c>
      <c r="M244" s="16" t="s">
        <v>927</v>
      </c>
      <c r="N244" s="3" t="str">
        <f t="shared" si="3"/>
        <v>1  Year</v>
      </c>
      <c r="O244" s="3" t="s">
        <v>42</v>
      </c>
      <c r="P244" s="3" t="s">
        <v>928</v>
      </c>
      <c r="Q244" s="3">
        <v>2025</v>
      </c>
      <c r="R244" s="6" t="s">
        <v>44</v>
      </c>
      <c r="S244" s="6" t="s">
        <v>45</v>
      </c>
      <c r="T244" s="5" t="s">
        <v>989</v>
      </c>
      <c r="Y244" t="s">
        <v>47</v>
      </c>
    </row>
    <row r="245" spans="1:29" ht="28.8">
      <c r="A245">
        <v>175</v>
      </c>
      <c r="B245" s="2" t="s">
        <v>1052</v>
      </c>
      <c r="C245" s="19" t="s">
        <v>1053</v>
      </c>
      <c r="D245" s="44" t="s">
        <v>986</v>
      </c>
      <c r="E245" s="2" t="s">
        <v>182</v>
      </c>
      <c r="F245" s="68" t="s">
        <v>208</v>
      </c>
      <c r="G245" s="48" t="s">
        <v>1054</v>
      </c>
      <c r="I245" s="116" t="s">
        <v>1055</v>
      </c>
      <c r="J245" s="6" t="s">
        <v>48</v>
      </c>
      <c r="K245" s="6" t="s">
        <v>1058</v>
      </c>
      <c r="L245" s="3" t="s">
        <v>40</v>
      </c>
      <c r="M245" s="16" t="s">
        <v>927</v>
      </c>
      <c r="N245" s="3" t="str">
        <f t="shared" si="3"/>
        <v>1  Year</v>
      </c>
      <c r="O245" s="3" t="s">
        <v>42</v>
      </c>
      <c r="P245" s="3" t="s">
        <v>928</v>
      </c>
      <c r="Q245" s="3">
        <v>2025</v>
      </c>
      <c r="R245" s="6" t="s">
        <v>44</v>
      </c>
      <c r="S245" s="6" t="s">
        <v>45</v>
      </c>
      <c r="T245" s="5" t="s">
        <v>989</v>
      </c>
      <c r="Y245" t="s">
        <v>47</v>
      </c>
    </row>
    <row r="246" spans="1:29" ht="28.8">
      <c r="A246">
        <v>176</v>
      </c>
      <c r="B246" s="2" t="s">
        <v>1059</v>
      </c>
      <c r="C246" s="19" t="s">
        <v>1060</v>
      </c>
      <c r="D246" s="44" t="s">
        <v>1061</v>
      </c>
      <c r="E246" s="2" t="s">
        <v>33</v>
      </c>
      <c r="F246" s="68" t="s">
        <v>1062</v>
      </c>
      <c r="G246" s="48" t="s">
        <v>1063</v>
      </c>
      <c r="H246" s="5" t="s">
        <v>1064</v>
      </c>
      <c r="I246" s="116" t="s">
        <v>1065</v>
      </c>
      <c r="J246" s="6" t="s">
        <v>145</v>
      </c>
      <c r="K246" s="6" t="s">
        <v>1066</v>
      </c>
      <c r="L246" s="3" t="s">
        <v>40</v>
      </c>
      <c r="M246" s="16" t="s">
        <v>927</v>
      </c>
      <c r="N246" s="3" t="str">
        <f t="shared" si="3"/>
        <v>1  Year</v>
      </c>
      <c r="O246" s="3" t="s">
        <v>42</v>
      </c>
      <c r="P246" s="3" t="s">
        <v>928</v>
      </c>
      <c r="Q246" s="3">
        <v>2025</v>
      </c>
      <c r="R246" s="6" t="s">
        <v>44</v>
      </c>
      <c r="S246" s="6" t="s">
        <v>45</v>
      </c>
      <c r="T246" s="4" t="s">
        <v>1067</v>
      </c>
      <c r="U246" t="s">
        <v>1068</v>
      </c>
      <c r="W246" s="81">
        <v>0.25138888888888888</v>
      </c>
      <c r="X246" t="s">
        <v>163</v>
      </c>
      <c r="Y246" t="s">
        <v>103</v>
      </c>
      <c r="AB246" t="s">
        <v>105</v>
      </c>
      <c r="AC246" t="s">
        <v>1069</v>
      </c>
    </row>
    <row r="247" spans="1:29" ht="28.8">
      <c r="A247">
        <v>177</v>
      </c>
      <c r="B247" s="2" t="s">
        <v>1070</v>
      </c>
      <c r="C247" s="19" t="s">
        <v>1060</v>
      </c>
      <c r="D247" s="44" t="s">
        <v>1061</v>
      </c>
      <c r="E247" s="2" t="s">
        <v>33</v>
      </c>
      <c r="F247" s="68" t="s">
        <v>1062</v>
      </c>
      <c r="G247" s="48" t="s">
        <v>1063</v>
      </c>
      <c r="H247" s="5" t="s">
        <v>1064</v>
      </c>
      <c r="I247" s="116" t="s">
        <v>1065</v>
      </c>
      <c r="J247" s="6" t="s">
        <v>145</v>
      </c>
      <c r="K247" s="6" t="s">
        <v>1071</v>
      </c>
      <c r="L247" s="3" t="s">
        <v>40</v>
      </c>
      <c r="M247" s="16" t="s">
        <v>927</v>
      </c>
      <c r="N247" s="3" t="str">
        <f t="shared" si="3"/>
        <v>1  Year</v>
      </c>
      <c r="O247" s="3" t="s">
        <v>42</v>
      </c>
      <c r="P247" s="3" t="s">
        <v>928</v>
      </c>
      <c r="Q247" s="3">
        <v>2025</v>
      </c>
      <c r="R247" s="6" t="s">
        <v>44</v>
      </c>
      <c r="S247" s="6" t="s">
        <v>45</v>
      </c>
      <c r="T247" s="4" t="s">
        <v>1067</v>
      </c>
      <c r="U247" t="s">
        <v>1068</v>
      </c>
      <c r="W247" s="81">
        <v>0.25138888888888888</v>
      </c>
      <c r="Y247" t="s">
        <v>103</v>
      </c>
      <c r="AB247" t="s">
        <v>105</v>
      </c>
      <c r="AC247" t="s">
        <v>1069</v>
      </c>
    </row>
    <row r="248" spans="1:29" ht="28.8">
      <c r="A248">
        <v>178</v>
      </c>
      <c r="B248" s="2" t="s">
        <v>1072</v>
      </c>
      <c r="C248" s="19" t="s">
        <v>1073</v>
      </c>
      <c r="D248" s="44" t="s">
        <v>1061</v>
      </c>
      <c r="E248" s="2" t="s">
        <v>33</v>
      </c>
      <c r="F248" s="68" t="s">
        <v>1062</v>
      </c>
      <c r="G248" s="48" t="s">
        <v>1063</v>
      </c>
      <c r="H248" s="5" t="s">
        <v>1064</v>
      </c>
      <c r="I248" s="116" t="s">
        <v>1065</v>
      </c>
      <c r="J248" s="6" t="s">
        <v>145</v>
      </c>
      <c r="K248" s="6" t="s">
        <v>1074</v>
      </c>
      <c r="L248" s="3" t="s">
        <v>40</v>
      </c>
      <c r="M248" s="16" t="s">
        <v>927</v>
      </c>
      <c r="N248" s="3" t="str">
        <f t="shared" si="3"/>
        <v>1  Year</v>
      </c>
      <c r="O248" s="3" t="s">
        <v>42</v>
      </c>
      <c r="P248" s="3" t="s">
        <v>928</v>
      </c>
      <c r="Q248" s="3">
        <v>2025</v>
      </c>
      <c r="R248" s="6" t="s">
        <v>44</v>
      </c>
      <c r="S248" s="6" t="s">
        <v>45</v>
      </c>
      <c r="T248" s="4" t="s">
        <v>1067</v>
      </c>
      <c r="U248" t="s">
        <v>1068</v>
      </c>
      <c r="W248" s="81">
        <v>0.25138888888888888</v>
      </c>
      <c r="Y248" t="s">
        <v>103</v>
      </c>
      <c r="AB248" t="s">
        <v>105</v>
      </c>
      <c r="AC248" t="s">
        <v>1069</v>
      </c>
    </row>
    <row r="249" spans="1:29" ht="31.8">
      <c r="A249">
        <v>179</v>
      </c>
      <c r="B249" s="2" t="s">
        <v>1075</v>
      </c>
      <c r="C249" s="19" t="s">
        <v>1060</v>
      </c>
      <c r="D249" s="44" t="s">
        <v>1061</v>
      </c>
      <c r="E249" s="2" t="s">
        <v>33</v>
      </c>
      <c r="F249" s="68" t="s">
        <v>1062</v>
      </c>
      <c r="G249" s="48" t="s">
        <v>1063</v>
      </c>
      <c r="H249" s="5" t="s">
        <v>1064</v>
      </c>
      <c r="I249" s="116" t="s">
        <v>1065</v>
      </c>
      <c r="J249" s="6" t="s">
        <v>145</v>
      </c>
      <c r="K249" s="6" t="s">
        <v>1076</v>
      </c>
      <c r="L249" s="3" t="s">
        <v>40</v>
      </c>
      <c r="M249" s="16" t="s">
        <v>927</v>
      </c>
      <c r="N249" s="3" t="str">
        <f t="shared" si="3"/>
        <v>1  Year</v>
      </c>
      <c r="O249" s="3" t="s">
        <v>42</v>
      </c>
      <c r="P249" s="3" t="s">
        <v>928</v>
      </c>
      <c r="Q249" s="3">
        <v>2025</v>
      </c>
      <c r="R249" s="6" t="s">
        <v>44</v>
      </c>
      <c r="S249" s="6" t="s">
        <v>45</v>
      </c>
      <c r="T249" s="4" t="s">
        <v>1067</v>
      </c>
      <c r="U249" t="s">
        <v>1068</v>
      </c>
      <c r="W249" s="81">
        <v>0.25138888888888888</v>
      </c>
      <c r="Y249" t="s">
        <v>103</v>
      </c>
      <c r="AB249" t="s">
        <v>105</v>
      </c>
      <c r="AC249" t="s">
        <v>1069</v>
      </c>
    </row>
    <row r="250" spans="1:29" ht="42">
      <c r="A250">
        <v>180</v>
      </c>
      <c r="B250" s="2" t="s">
        <v>1077</v>
      </c>
      <c r="C250" s="19" t="s">
        <v>1078</v>
      </c>
      <c r="D250" s="44" t="s">
        <v>1079</v>
      </c>
      <c r="E250" s="2" t="s">
        <v>52</v>
      </c>
      <c r="F250" s="68" t="s">
        <v>120</v>
      </c>
      <c r="G250" s="48" t="s">
        <v>121</v>
      </c>
      <c r="H250" s="5" t="s">
        <v>1080</v>
      </c>
      <c r="J250" s="6" t="s">
        <v>1081</v>
      </c>
      <c r="K250" s="6" t="s">
        <v>1082</v>
      </c>
      <c r="L250" s="3" t="s">
        <v>40</v>
      </c>
      <c r="M250" s="16" t="s">
        <v>927</v>
      </c>
      <c r="N250" s="3" t="str">
        <f t="shared" si="3"/>
        <v>1  Year</v>
      </c>
      <c r="O250" s="3" t="s">
        <v>42</v>
      </c>
      <c r="P250" s="3" t="s">
        <v>928</v>
      </c>
      <c r="Q250" s="3">
        <v>2025</v>
      </c>
      <c r="R250" s="6" t="s">
        <v>80</v>
      </c>
      <c r="S250" s="6" t="s">
        <v>45</v>
      </c>
      <c r="T250" s="4" t="s">
        <v>1083</v>
      </c>
      <c r="Y250" t="s">
        <v>47</v>
      </c>
    </row>
    <row r="251" spans="1:29" ht="42">
      <c r="B251" s="2" t="s">
        <v>1077</v>
      </c>
      <c r="C251" s="19" t="s">
        <v>1078</v>
      </c>
      <c r="D251" s="44" t="s">
        <v>1079</v>
      </c>
      <c r="E251" s="2" t="s">
        <v>52</v>
      </c>
      <c r="F251" s="68" t="s">
        <v>120</v>
      </c>
      <c r="G251" s="48" t="s">
        <v>121</v>
      </c>
      <c r="H251" s="5" t="s">
        <v>1080</v>
      </c>
      <c r="J251" s="6" t="s">
        <v>271</v>
      </c>
      <c r="K251" s="6" t="s">
        <v>1082</v>
      </c>
      <c r="L251" s="3" t="s">
        <v>40</v>
      </c>
      <c r="M251" s="16" t="s">
        <v>927</v>
      </c>
      <c r="N251" s="3" t="str">
        <f t="shared" ref="N251" si="4">IF(L251="New","1  Year",IF(L251="Promotional","15 Weeks",IF(L251="Revalidation","2 Years","")))</f>
        <v>1  Year</v>
      </c>
      <c r="O251" s="3" t="s">
        <v>42</v>
      </c>
      <c r="P251" s="3" t="s">
        <v>928</v>
      </c>
      <c r="Q251" s="3">
        <v>2025</v>
      </c>
      <c r="R251" s="6" t="s">
        <v>80</v>
      </c>
      <c r="S251" s="6" t="s">
        <v>45</v>
      </c>
      <c r="T251" s="4" t="s">
        <v>1083</v>
      </c>
    </row>
    <row r="252" spans="1:29" ht="103.2">
      <c r="A252">
        <v>181</v>
      </c>
      <c r="B252" s="2" t="s">
        <v>1084</v>
      </c>
      <c r="C252" s="130" t="s">
        <v>1085</v>
      </c>
      <c r="D252" s="44" t="s">
        <v>1086</v>
      </c>
      <c r="E252" s="2" t="s">
        <v>52</v>
      </c>
      <c r="F252" s="68" t="s">
        <v>1087</v>
      </c>
      <c r="G252" s="48" t="s">
        <v>78</v>
      </c>
      <c r="J252" s="6" t="s">
        <v>38</v>
      </c>
      <c r="K252" s="6" t="s">
        <v>1088</v>
      </c>
      <c r="L252" s="3" t="s">
        <v>40</v>
      </c>
      <c r="M252" s="16" t="s">
        <v>927</v>
      </c>
      <c r="N252" s="3" t="str">
        <f t="shared" si="3"/>
        <v>1  Year</v>
      </c>
      <c r="O252" s="3" t="s">
        <v>42</v>
      </c>
      <c r="P252" s="3" t="s">
        <v>928</v>
      </c>
      <c r="Q252" s="3">
        <v>2025</v>
      </c>
      <c r="R252" s="6" t="s">
        <v>80</v>
      </c>
      <c r="S252" s="6" t="s">
        <v>45</v>
      </c>
      <c r="T252" s="5" t="s">
        <v>1089</v>
      </c>
      <c r="Y252" t="s">
        <v>47</v>
      </c>
    </row>
    <row r="253" spans="1:29" ht="21.6">
      <c r="A253">
        <v>182</v>
      </c>
      <c r="B253" s="2" t="s">
        <v>1090</v>
      </c>
      <c r="C253" s="19" t="s">
        <v>1091</v>
      </c>
      <c r="D253" s="44" t="s">
        <v>72</v>
      </c>
      <c r="E253" s="2" t="s">
        <v>52</v>
      </c>
      <c r="F253" s="68" t="s">
        <v>84</v>
      </c>
      <c r="G253" s="48" t="s">
        <v>85</v>
      </c>
      <c r="J253" s="6" t="s">
        <v>38</v>
      </c>
      <c r="K253" s="6" t="s">
        <v>1092</v>
      </c>
      <c r="L253" s="3" t="s">
        <v>40</v>
      </c>
      <c r="M253" s="16" t="s">
        <v>927</v>
      </c>
      <c r="N253" s="3" t="str">
        <f t="shared" si="3"/>
        <v>1  Year</v>
      </c>
      <c r="O253" s="3" t="s">
        <v>42</v>
      </c>
      <c r="P253" s="3" t="s">
        <v>928</v>
      </c>
      <c r="Q253" s="3">
        <v>2025</v>
      </c>
      <c r="R253" s="6" t="s">
        <v>44</v>
      </c>
      <c r="S253" s="6" t="s">
        <v>45</v>
      </c>
      <c r="T253" s="4" t="s">
        <v>1093</v>
      </c>
      <c r="Y253" t="s">
        <v>47</v>
      </c>
    </row>
    <row r="254" spans="1:29" ht="21.6">
      <c r="A254">
        <v>182</v>
      </c>
      <c r="B254" s="2" t="s">
        <v>1090</v>
      </c>
      <c r="C254" s="19" t="s">
        <v>1091</v>
      </c>
      <c r="D254" s="44" t="s">
        <v>72</v>
      </c>
      <c r="E254" s="2" t="s">
        <v>52</v>
      </c>
      <c r="F254" s="68" t="s">
        <v>84</v>
      </c>
      <c r="G254" s="48" t="s">
        <v>85</v>
      </c>
      <c r="J254" s="6" t="s">
        <v>48</v>
      </c>
      <c r="K254" s="6" t="s">
        <v>1092</v>
      </c>
      <c r="L254" s="3" t="s">
        <v>40</v>
      </c>
      <c r="M254" s="16" t="s">
        <v>927</v>
      </c>
      <c r="N254" s="3" t="str">
        <f t="shared" si="3"/>
        <v>1  Year</v>
      </c>
      <c r="O254" s="3" t="s">
        <v>42</v>
      </c>
      <c r="P254" s="3" t="s">
        <v>928</v>
      </c>
      <c r="Q254" s="3">
        <v>2025</v>
      </c>
      <c r="R254" s="6" t="s">
        <v>44</v>
      </c>
      <c r="S254" s="6" t="s">
        <v>45</v>
      </c>
      <c r="T254" s="4" t="s">
        <v>1093</v>
      </c>
      <c r="Y254" t="s">
        <v>47</v>
      </c>
    </row>
    <row r="255" spans="1:29" ht="21.6">
      <c r="A255">
        <v>183</v>
      </c>
      <c r="B255" s="2" t="s">
        <v>1094</v>
      </c>
      <c r="C255" s="19" t="s">
        <v>1095</v>
      </c>
      <c r="D255" s="44" t="s">
        <v>1096</v>
      </c>
      <c r="E255" s="2" t="s">
        <v>33</v>
      </c>
      <c r="F255" s="68" t="s">
        <v>84</v>
      </c>
      <c r="G255" s="48" t="s">
        <v>85</v>
      </c>
      <c r="J255" s="6" t="s">
        <v>38</v>
      </c>
      <c r="K255" s="6" t="s">
        <v>1097</v>
      </c>
      <c r="L255" s="3" t="s">
        <v>40</v>
      </c>
      <c r="M255" s="16" t="s">
        <v>927</v>
      </c>
      <c r="N255" s="3" t="str">
        <f t="shared" si="3"/>
        <v>1  Year</v>
      </c>
      <c r="O255" s="3" t="s">
        <v>42</v>
      </c>
      <c r="P255" s="3" t="s">
        <v>928</v>
      </c>
      <c r="Q255" s="3">
        <v>2025</v>
      </c>
      <c r="R255" s="6" t="s">
        <v>44</v>
      </c>
      <c r="S255" s="6" t="s">
        <v>45</v>
      </c>
      <c r="T255" s="4" t="s">
        <v>1098</v>
      </c>
      <c r="Y255" t="s">
        <v>47</v>
      </c>
    </row>
    <row r="256" spans="1:29" ht="21.6">
      <c r="A256">
        <v>184</v>
      </c>
      <c r="B256" s="2" t="s">
        <v>1099</v>
      </c>
      <c r="C256" s="19" t="s">
        <v>1100</v>
      </c>
      <c r="D256" s="44" t="s">
        <v>1101</v>
      </c>
      <c r="E256" s="2" t="s">
        <v>52</v>
      </c>
      <c r="F256" s="68" t="s">
        <v>84</v>
      </c>
      <c r="G256" s="48" t="s">
        <v>85</v>
      </c>
      <c r="J256" s="6" t="s">
        <v>38</v>
      </c>
      <c r="K256" s="6" t="s">
        <v>1102</v>
      </c>
      <c r="L256" s="3" t="s">
        <v>40</v>
      </c>
      <c r="M256" s="16" t="s">
        <v>927</v>
      </c>
      <c r="N256" s="3" t="str">
        <f t="shared" si="3"/>
        <v>1  Year</v>
      </c>
      <c r="O256" s="3" t="s">
        <v>42</v>
      </c>
      <c r="P256" s="3" t="s">
        <v>928</v>
      </c>
      <c r="Q256" s="3">
        <v>2025</v>
      </c>
      <c r="R256" s="6" t="s">
        <v>44</v>
      </c>
      <c r="S256" s="6" t="s">
        <v>45</v>
      </c>
      <c r="T256" s="5" t="s">
        <v>1103</v>
      </c>
      <c r="Y256" t="s">
        <v>47</v>
      </c>
    </row>
    <row r="257" spans="1:25" ht="31.8">
      <c r="A257">
        <v>185</v>
      </c>
      <c r="B257" s="2" t="s">
        <v>1104</v>
      </c>
      <c r="C257" s="130" t="s">
        <v>1105</v>
      </c>
      <c r="D257" s="44" t="s">
        <v>1106</v>
      </c>
      <c r="E257" s="2" t="s">
        <v>182</v>
      </c>
      <c r="F257" s="68" t="s">
        <v>183</v>
      </c>
      <c r="G257" s="48" t="s">
        <v>1107</v>
      </c>
      <c r="J257" s="6" t="s">
        <v>57</v>
      </c>
      <c r="K257" s="6" t="s">
        <v>1108</v>
      </c>
      <c r="L257" s="3" t="s">
        <v>40</v>
      </c>
      <c r="M257" s="16" t="s">
        <v>927</v>
      </c>
      <c r="N257" s="3" t="str">
        <f t="shared" si="3"/>
        <v>1  Year</v>
      </c>
      <c r="O257" s="3" t="s">
        <v>42</v>
      </c>
      <c r="P257" s="3" t="s">
        <v>928</v>
      </c>
      <c r="Q257" s="3">
        <v>2025</v>
      </c>
      <c r="R257" s="6" t="s">
        <v>44</v>
      </c>
      <c r="S257" s="6" t="s">
        <v>45</v>
      </c>
      <c r="T257" s="4" t="s">
        <v>1109</v>
      </c>
      <c r="Y257" t="s">
        <v>47</v>
      </c>
    </row>
    <row r="258" spans="1:25" ht="42">
      <c r="A258">
        <v>186</v>
      </c>
      <c r="B258" s="2" t="s">
        <v>1110</v>
      </c>
      <c r="C258" s="19" t="s">
        <v>1111</v>
      </c>
      <c r="D258" s="44" t="s">
        <v>1112</v>
      </c>
      <c r="E258" s="2" t="s">
        <v>182</v>
      </c>
      <c r="F258" s="68" t="s">
        <v>1113</v>
      </c>
      <c r="G258" s="48" t="s">
        <v>1114</v>
      </c>
      <c r="J258" s="6" t="s">
        <v>145</v>
      </c>
      <c r="K258" s="6" t="s">
        <v>1115</v>
      </c>
      <c r="L258" s="3" t="s">
        <v>40</v>
      </c>
      <c r="M258" s="16" t="s">
        <v>927</v>
      </c>
      <c r="N258" s="3" t="str">
        <f t="shared" si="3"/>
        <v>1  Year</v>
      </c>
      <c r="O258" s="3" t="s">
        <v>42</v>
      </c>
      <c r="P258" s="3" t="s">
        <v>928</v>
      </c>
      <c r="Q258" s="3">
        <v>2025</v>
      </c>
      <c r="R258" s="6" t="s">
        <v>44</v>
      </c>
      <c r="S258" s="6" t="s">
        <v>45</v>
      </c>
      <c r="T258" s="5" t="s">
        <v>1116</v>
      </c>
      <c r="Y258" t="s">
        <v>47</v>
      </c>
    </row>
    <row r="259" spans="1:25" ht="52.2">
      <c r="A259">
        <v>187</v>
      </c>
      <c r="B259" s="2" t="s">
        <v>1117</v>
      </c>
      <c r="C259" s="19" t="s">
        <v>1118</v>
      </c>
      <c r="D259" s="44" t="s">
        <v>1112</v>
      </c>
      <c r="E259" s="2" t="s">
        <v>182</v>
      </c>
      <c r="F259" s="68" t="s">
        <v>1113</v>
      </c>
      <c r="G259" s="48" t="s">
        <v>1114</v>
      </c>
      <c r="J259" s="6" t="s">
        <v>145</v>
      </c>
      <c r="K259" s="6" t="s">
        <v>1119</v>
      </c>
      <c r="L259" s="3" t="s">
        <v>40</v>
      </c>
      <c r="M259" s="16" t="s">
        <v>927</v>
      </c>
      <c r="N259" s="3" t="str">
        <f t="shared" si="3"/>
        <v>1  Year</v>
      </c>
      <c r="O259" s="3" t="s">
        <v>42</v>
      </c>
      <c r="P259" s="3" t="s">
        <v>928</v>
      </c>
      <c r="Q259" s="3">
        <v>2025</v>
      </c>
      <c r="R259" s="6" t="s">
        <v>44</v>
      </c>
      <c r="S259" s="6" t="s">
        <v>45</v>
      </c>
      <c r="T259" s="4" t="s">
        <v>1120</v>
      </c>
      <c r="Y259" t="s">
        <v>47</v>
      </c>
    </row>
    <row r="260" spans="1:25" ht="31.8">
      <c r="A260">
        <v>188</v>
      </c>
      <c r="B260" s="2" t="s">
        <v>1121</v>
      </c>
      <c r="C260" s="19" t="s">
        <v>1122</v>
      </c>
      <c r="D260" s="44" t="s">
        <v>1123</v>
      </c>
      <c r="E260" s="2" t="s">
        <v>33</v>
      </c>
      <c r="F260" s="68" t="s">
        <v>1124</v>
      </c>
      <c r="G260" s="48" t="s">
        <v>1125</v>
      </c>
      <c r="J260" s="6" t="s">
        <v>48</v>
      </c>
      <c r="K260" s="6" t="s">
        <v>572</v>
      </c>
      <c r="L260" s="3" t="s">
        <v>40</v>
      </c>
      <c r="M260" s="16" t="s">
        <v>927</v>
      </c>
      <c r="N260" s="3" t="str">
        <f t="shared" ref="N260:N323" si="5">IF(L260="New","1  Year",IF(L260="Promotional","15 Weeks",IF(L260="Revalidation","2 Years","")))</f>
        <v>1  Year</v>
      </c>
      <c r="O260" s="3" t="s">
        <v>42</v>
      </c>
      <c r="P260" s="3" t="s">
        <v>928</v>
      </c>
      <c r="Q260" s="3">
        <v>2025</v>
      </c>
      <c r="R260" s="6" t="s">
        <v>44</v>
      </c>
      <c r="S260" s="6" t="s">
        <v>97</v>
      </c>
      <c r="T260" s="4" t="s">
        <v>1126</v>
      </c>
      <c r="Y260" t="s">
        <v>47</v>
      </c>
    </row>
    <row r="261" spans="1:25" ht="31.8">
      <c r="A261">
        <v>189</v>
      </c>
      <c r="B261" s="2" t="s">
        <v>1127</v>
      </c>
      <c r="C261" s="19" t="s">
        <v>1128</v>
      </c>
      <c r="D261" s="44" t="s">
        <v>1129</v>
      </c>
      <c r="E261" s="2" t="s">
        <v>33</v>
      </c>
      <c r="F261" s="68" t="s">
        <v>1130</v>
      </c>
      <c r="G261" s="48" t="s">
        <v>1131</v>
      </c>
      <c r="J261" s="6" t="s">
        <v>48</v>
      </c>
      <c r="K261" s="6" t="s">
        <v>1132</v>
      </c>
      <c r="L261" s="3"/>
      <c r="M261" s="16" t="s">
        <v>927</v>
      </c>
      <c r="N261" s="3" t="str">
        <f t="shared" si="5"/>
        <v/>
      </c>
      <c r="O261" s="3" t="s">
        <v>42</v>
      </c>
      <c r="P261" s="3" t="s">
        <v>928</v>
      </c>
      <c r="Q261" s="3">
        <v>2025</v>
      </c>
      <c r="R261" s="6" t="s">
        <v>80</v>
      </c>
      <c r="S261" s="6" t="s">
        <v>97</v>
      </c>
      <c r="T261" s="5" t="s">
        <v>1133</v>
      </c>
      <c r="Y261" t="s">
        <v>47</v>
      </c>
    </row>
    <row r="262" spans="1:25" ht="28.8">
      <c r="A262">
        <v>190</v>
      </c>
      <c r="B262" s="2" t="s">
        <v>1127</v>
      </c>
      <c r="C262" s="19" t="s">
        <v>1128</v>
      </c>
      <c r="D262" s="44" t="s">
        <v>1129</v>
      </c>
      <c r="E262" s="2" t="s">
        <v>33</v>
      </c>
      <c r="F262" s="68" t="s">
        <v>1130</v>
      </c>
      <c r="G262" s="48" t="s">
        <v>1131</v>
      </c>
      <c r="J262" s="6" t="s">
        <v>88</v>
      </c>
      <c r="K262" s="6" t="s">
        <v>1134</v>
      </c>
      <c r="L262" s="3"/>
      <c r="M262" s="16" t="s">
        <v>927</v>
      </c>
      <c r="N262" s="3" t="str">
        <f t="shared" si="5"/>
        <v/>
      </c>
      <c r="O262" s="3" t="s">
        <v>42</v>
      </c>
      <c r="P262" s="3" t="s">
        <v>928</v>
      </c>
      <c r="Q262" s="3">
        <v>2025</v>
      </c>
      <c r="R262" s="6" t="s">
        <v>80</v>
      </c>
      <c r="S262" s="6" t="s">
        <v>45</v>
      </c>
      <c r="T262" s="5" t="s">
        <v>1133</v>
      </c>
      <c r="Y262" t="s">
        <v>47</v>
      </c>
    </row>
    <row r="263" spans="1:25" ht="28.8">
      <c r="A263">
        <v>191</v>
      </c>
      <c r="B263" s="2" t="s">
        <v>1127</v>
      </c>
      <c r="C263" s="19" t="s">
        <v>1128</v>
      </c>
      <c r="D263" s="44" t="s">
        <v>1129</v>
      </c>
      <c r="E263" s="2" t="s">
        <v>33</v>
      </c>
      <c r="F263" s="68" t="s">
        <v>1130</v>
      </c>
      <c r="G263" s="48" t="s">
        <v>1131</v>
      </c>
      <c r="J263" s="6" t="s">
        <v>88</v>
      </c>
      <c r="K263" s="6" t="s">
        <v>1135</v>
      </c>
      <c r="L263" s="3"/>
      <c r="M263" s="16" t="s">
        <v>927</v>
      </c>
      <c r="N263" s="3" t="str">
        <f t="shared" si="5"/>
        <v/>
      </c>
      <c r="O263" s="3" t="s">
        <v>42</v>
      </c>
      <c r="P263" s="3" t="s">
        <v>928</v>
      </c>
      <c r="Q263" s="3">
        <v>2025</v>
      </c>
      <c r="R263" s="6" t="s">
        <v>80</v>
      </c>
      <c r="S263" s="6" t="s">
        <v>45</v>
      </c>
      <c r="T263" s="5" t="s">
        <v>1133</v>
      </c>
      <c r="Y263" t="s">
        <v>47</v>
      </c>
    </row>
    <row r="264" spans="1:25" ht="28.8">
      <c r="A264">
        <v>192</v>
      </c>
      <c r="B264" s="2" t="s">
        <v>1127</v>
      </c>
      <c r="C264" s="19" t="s">
        <v>1128</v>
      </c>
      <c r="D264" s="44" t="s">
        <v>1129</v>
      </c>
      <c r="E264" s="2" t="s">
        <v>33</v>
      </c>
      <c r="F264" s="68" t="s">
        <v>1130</v>
      </c>
      <c r="G264" s="48" t="s">
        <v>1131</v>
      </c>
      <c r="J264" s="6" t="s">
        <v>88</v>
      </c>
      <c r="K264" s="6" t="s">
        <v>1136</v>
      </c>
      <c r="L264" s="3"/>
      <c r="M264" s="16" t="s">
        <v>927</v>
      </c>
      <c r="N264" s="3" t="str">
        <f t="shared" si="5"/>
        <v/>
      </c>
      <c r="O264" s="3" t="s">
        <v>42</v>
      </c>
      <c r="P264" s="3" t="s">
        <v>928</v>
      </c>
      <c r="Q264" s="3">
        <v>2025</v>
      </c>
      <c r="R264" s="6" t="s">
        <v>80</v>
      </c>
      <c r="S264" s="6" t="s">
        <v>45</v>
      </c>
      <c r="T264" s="5" t="s">
        <v>1133</v>
      </c>
      <c r="Y264" t="s">
        <v>47</v>
      </c>
    </row>
    <row r="265" spans="1:25" ht="21.6">
      <c r="A265">
        <v>193</v>
      </c>
      <c r="B265" s="2" t="s">
        <v>1137</v>
      </c>
      <c r="C265" s="19" t="s">
        <v>1012</v>
      </c>
      <c r="D265" s="44" t="s">
        <v>119</v>
      </c>
      <c r="E265" s="2" t="s">
        <v>52</v>
      </c>
      <c r="F265" s="68" t="s">
        <v>120</v>
      </c>
      <c r="G265" s="48" t="s">
        <v>121</v>
      </c>
      <c r="J265" s="6" t="s">
        <v>271</v>
      </c>
      <c r="K265" s="6" t="s">
        <v>1138</v>
      </c>
      <c r="L265" s="3" t="s">
        <v>40</v>
      </c>
      <c r="M265" s="16" t="s">
        <v>927</v>
      </c>
      <c r="N265" s="3" t="str">
        <f t="shared" si="5"/>
        <v>1  Year</v>
      </c>
      <c r="O265" s="3" t="s">
        <v>42</v>
      </c>
      <c r="P265" s="3" t="s">
        <v>928</v>
      </c>
      <c r="Q265" s="3">
        <v>2025</v>
      </c>
      <c r="R265" s="6" t="s">
        <v>80</v>
      </c>
      <c r="S265" s="6" t="s">
        <v>45</v>
      </c>
      <c r="T265" s="4" t="s">
        <v>1139</v>
      </c>
      <c r="Y265" t="s">
        <v>47</v>
      </c>
    </row>
    <row r="266" spans="1:25" ht="21.6">
      <c r="A266">
        <v>194</v>
      </c>
      <c r="B266" s="2" t="s">
        <v>1140</v>
      </c>
      <c r="C266" s="19" t="s">
        <v>1141</v>
      </c>
      <c r="D266" s="44" t="s">
        <v>1142</v>
      </c>
      <c r="E266" s="2" t="s">
        <v>33</v>
      </c>
      <c r="F266" s="68" t="s">
        <v>1143</v>
      </c>
      <c r="G266" s="48" t="s">
        <v>227</v>
      </c>
      <c r="J266" s="6" t="s">
        <v>92</v>
      </c>
      <c r="K266" s="6" t="s">
        <v>1144</v>
      </c>
      <c r="L266" s="3" t="s">
        <v>40</v>
      </c>
      <c r="M266" s="16" t="s">
        <v>927</v>
      </c>
      <c r="N266" s="3" t="str">
        <f t="shared" si="5"/>
        <v>1  Year</v>
      </c>
      <c r="O266" s="3" t="s">
        <v>42</v>
      </c>
      <c r="P266" s="3" t="s">
        <v>928</v>
      </c>
      <c r="Q266" s="3">
        <v>2025</v>
      </c>
      <c r="R266" s="6" t="s">
        <v>80</v>
      </c>
      <c r="S266" s="6" t="s">
        <v>1145</v>
      </c>
      <c r="T266" s="4" t="s">
        <v>1146</v>
      </c>
      <c r="Y266" t="s">
        <v>47</v>
      </c>
    </row>
    <row r="267" spans="1:25" ht="28.8">
      <c r="A267">
        <v>195</v>
      </c>
      <c r="B267" s="2" t="s">
        <v>1147</v>
      </c>
      <c r="C267" s="19" t="s">
        <v>1148</v>
      </c>
      <c r="D267" s="44" t="s">
        <v>1149</v>
      </c>
      <c r="E267" s="2" t="s">
        <v>182</v>
      </c>
      <c r="F267" s="68" t="s">
        <v>908</v>
      </c>
      <c r="G267" s="48" t="s">
        <v>1150</v>
      </c>
      <c r="J267" s="6" t="s">
        <v>48</v>
      </c>
      <c r="K267" s="6" t="s">
        <v>1151</v>
      </c>
      <c r="L267" s="3" t="s">
        <v>40</v>
      </c>
      <c r="M267" s="16" t="s">
        <v>927</v>
      </c>
      <c r="N267" s="3" t="str">
        <f t="shared" si="5"/>
        <v>1  Year</v>
      </c>
      <c r="O267" s="3" t="s">
        <v>202</v>
      </c>
      <c r="P267" s="3" t="s">
        <v>928</v>
      </c>
      <c r="Q267" s="3">
        <v>2025</v>
      </c>
      <c r="R267" s="6" t="s">
        <v>422</v>
      </c>
      <c r="S267" s="6" t="s">
        <v>45</v>
      </c>
      <c r="T267" s="5" t="s">
        <v>1152</v>
      </c>
      <c r="Y267" t="s">
        <v>47</v>
      </c>
    </row>
    <row r="268" spans="1:25" ht="21.6">
      <c r="A268">
        <v>196</v>
      </c>
      <c r="B268" s="2" t="s">
        <v>1153</v>
      </c>
      <c r="C268" s="19" t="s">
        <v>1154</v>
      </c>
      <c r="D268" s="44"/>
      <c r="E268" s="2" t="s">
        <v>182</v>
      </c>
      <c r="F268" s="68" t="s">
        <v>226</v>
      </c>
      <c r="G268" s="48" t="s">
        <v>1155</v>
      </c>
      <c r="J268" s="6" t="s">
        <v>145</v>
      </c>
      <c r="K268" s="6" t="s">
        <v>1156</v>
      </c>
      <c r="L268" s="3" t="s">
        <v>40</v>
      </c>
      <c r="M268" s="16" t="s">
        <v>927</v>
      </c>
      <c r="N268" s="3" t="str">
        <f t="shared" si="5"/>
        <v>1  Year</v>
      </c>
      <c r="O268" s="3" t="s">
        <v>202</v>
      </c>
      <c r="P268" s="3" t="s">
        <v>928</v>
      </c>
      <c r="Q268" s="3">
        <v>2025</v>
      </c>
      <c r="R268" s="6" t="s">
        <v>44</v>
      </c>
      <c r="S268" s="6" t="s">
        <v>45</v>
      </c>
      <c r="T268" s="4" t="s">
        <v>1157</v>
      </c>
      <c r="Y268" t="s">
        <v>47</v>
      </c>
    </row>
    <row r="269" spans="1:25" ht="21.6">
      <c r="A269">
        <v>197</v>
      </c>
      <c r="B269" s="2" t="s">
        <v>1158</v>
      </c>
      <c r="C269" s="19" t="s">
        <v>1159</v>
      </c>
      <c r="D269" s="44" t="s">
        <v>114</v>
      </c>
      <c r="E269" s="2" t="s">
        <v>182</v>
      </c>
      <c r="F269" s="68" t="s">
        <v>733</v>
      </c>
      <c r="G269" s="48" t="s">
        <v>1160</v>
      </c>
      <c r="J269" s="6" t="s">
        <v>48</v>
      </c>
      <c r="K269" s="6" t="s">
        <v>1161</v>
      </c>
      <c r="L269" s="3" t="s">
        <v>40</v>
      </c>
      <c r="M269" s="16" t="s">
        <v>927</v>
      </c>
      <c r="N269" s="3" t="str">
        <f t="shared" si="5"/>
        <v>1  Year</v>
      </c>
      <c r="O269" s="3" t="s">
        <v>202</v>
      </c>
      <c r="P269" s="3" t="s">
        <v>928</v>
      </c>
      <c r="Q269" s="3">
        <v>2025</v>
      </c>
      <c r="R269" s="6" t="s">
        <v>44</v>
      </c>
      <c r="S269" s="6" t="s">
        <v>45</v>
      </c>
      <c r="T269" s="4" t="s">
        <v>1162</v>
      </c>
      <c r="Y269" t="s">
        <v>47</v>
      </c>
    </row>
    <row r="270" spans="1:25" ht="21.6">
      <c r="A270">
        <v>197</v>
      </c>
      <c r="B270" s="2" t="s">
        <v>1158</v>
      </c>
      <c r="C270" s="19" t="s">
        <v>1159</v>
      </c>
      <c r="D270" s="44" t="s">
        <v>114</v>
      </c>
      <c r="E270" s="2" t="s">
        <v>182</v>
      </c>
      <c r="F270" s="68" t="s">
        <v>733</v>
      </c>
      <c r="G270" s="48" t="s">
        <v>1160</v>
      </c>
      <c r="J270" s="6" t="s">
        <v>88</v>
      </c>
      <c r="K270" s="6" t="s">
        <v>1161</v>
      </c>
      <c r="L270" s="3" t="s">
        <v>40</v>
      </c>
      <c r="M270" s="16" t="s">
        <v>927</v>
      </c>
      <c r="N270" s="3" t="str">
        <f t="shared" si="5"/>
        <v>1  Year</v>
      </c>
      <c r="O270" s="3" t="s">
        <v>202</v>
      </c>
      <c r="P270" s="3" t="s">
        <v>928</v>
      </c>
      <c r="Q270" s="3">
        <v>2025</v>
      </c>
      <c r="R270" s="6" t="s">
        <v>44</v>
      </c>
      <c r="S270" s="6" t="s">
        <v>45</v>
      </c>
      <c r="T270" s="4" t="s">
        <v>1162</v>
      </c>
      <c r="Y270" t="s">
        <v>47</v>
      </c>
    </row>
    <row r="271" spans="1:25" ht="21.6">
      <c r="A271">
        <v>197</v>
      </c>
      <c r="B271" s="2" t="s">
        <v>1158</v>
      </c>
      <c r="C271" s="19" t="s">
        <v>1159</v>
      </c>
      <c r="D271" s="44" t="s">
        <v>114</v>
      </c>
      <c r="E271" s="2" t="s">
        <v>182</v>
      </c>
      <c r="F271" s="68" t="s">
        <v>733</v>
      </c>
      <c r="G271" s="48" t="s">
        <v>1160</v>
      </c>
      <c r="J271" s="6" t="s">
        <v>145</v>
      </c>
      <c r="K271" s="6" t="s">
        <v>1161</v>
      </c>
      <c r="L271" s="3" t="s">
        <v>40</v>
      </c>
      <c r="M271" s="16" t="s">
        <v>927</v>
      </c>
      <c r="N271" s="3" t="str">
        <f t="shared" si="5"/>
        <v>1  Year</v>
      </c>
      <c r="O271" s="3" t="s">
        <v>202</v>
      </c>
      <c r="P271" s="3" t="s">
        <v>928</v>
      </c>
      <c r="Q271" s="3">
        <v>2025</v>
      </c>
      <c r="R271" s="6" t="s">
        <v>44</v>
      </c>
      <c r="S271" s="6" t="s">
        <v>45</v>
      </c>
      <c r="T271" s="4" t="s">
        <v>1162</v>
      </c>
      <c r="Y271" t="s">
        <v>47</v>
      </c>
    </row>
    <row r="272" spans="1:25" ht="28.8">
      <c r="A272">
        <v>198</v>
      </c>
      <c r="B272" s="2" t="s">
        <v>1163</v>
      </c>
      <c r="C272" s="19" t="s">
        <v>1164</v>
      </c>
      <c r="D272" s="44" t="s">
        <v>1165</v>
      </c>
      <c r="E272" s="2" t="s">
        <v>182</v>
      </c>
      <c r="F272" s="68" t="s">
        <v>1166</v>
      </c>
      <c r="G272" s="48" t="s">
        <v>1167</v>
      </c>
      <c r="J272" s="6" t="s">
        <v>88</v>
      </c>
      <c r="K272" s="6" t="s">
        <v>1168</v>
      </c>
      <c r="L272" s="3"/>
      <c r="M272" s="16" t="s">
        <v>927</v>
      </c>
      <c r="N272" s="3" t="str">
        <f t="shared" si="5"/>
        <v/>
      </c>
      <c r="O272" s="3" t="s">
        <v>202</v>
      </c>
      <c r="P272" s="3" t="s">
        <v>928</v>
      </c>
      <c r="Q272" s="3">
        <v>2025</v>
      </c>
      <c r="R272" s="6" t="s">
        <v>422</v>
      </c>
      <c r="S272" s="6" t="s">
        <v>45</v>
      </c>
      <c r="T272" s="5" t="s">
        <v>1169</v>
      </c>
      <c r="Y272" t="s">
        <v>47</v>
      </c>
    </row>
    <row r="273" spans="1:25" ht="28.8">
      <c r="A273">
        <v>198</v>
      </c>
      <c r="B273" s="2" t="s">
        <v>1163</v>
      </c>
      <c r="C273" s="19" t="s">
        <v>1164</v>
      </c>
      <c r="D273" s="44" t="s">
        <v>1165</v>
      </c>
      <c r="E273" s="2" t="s">
        <v>182</v>
      </c>
      <c r="F273" s="68" t="s">
        <v>1166</v>
      </c>
      <c r="G273" s="48" t="s">
        <v>1167</v>
      </c>
      <c r="J273" s="6" t="s">
        <v>92</v>
      </c>
      <c r="K273" s="6" t="s">
        <v>1168</v>
      </c>
      <c r="L273" s="3"/>
      <c r="M273" s="16" t="s">
        <v>927</v>
      </c>
      <c r="N273" s="3" t="str">
        <f t="shared" si="5"/>
        <v/>
      </c>
      <c r="O273" s="3" t="s">
        <v>202</v>
      </c>
      <c r="P273" s="3" t="s">
        <v>928</v>
      </c>
      <c r="Q273" s="3">
        <v>2025</v>
      </c>
      <c r="R273" s="6" t="s">
        <v>422</v>
      </c>
      <c r="S273" s="6" t="s">
        <v>45</v>
      </c>
      <c r="T273" s="5" t="s">
        <v>1169</v>
      </c>
      <c r="Y273" t="s">
        <v>47</v>
      </c>
    </row>
    <row r="274" spans="1:25" ht="28.8">
      <c r="A274">
        <v>198</v>
      </c>
      <c r="B274" s="2" t="s">
        <v>1163</v>
      </c>
      <c r="C274" s="19" t="s">
        <v>1164</v>
      </c>
      <c r="D274" s="44" t="s">
        <v>1165</v>
      </c>
      <c r="E274" s="2" t="s">
        <v>182</v>
      </c>
      <c r="F274" s="68" t="s">
        <v>1166</v>
      </c>
      <c r="G274" s="48" t="s">
        <v>1167</v>
      </c>
      <c r="J274" s="6" t="s">
        <v>930</v>
      </c>
      <c r="K274" s="6" t="s">
        <v>1168</v>
      </c>
      <c r="L274" s="3"/>
      <c r="M274" s="16" t="s">
        <v>927</v>
      </c>
      <c r="N274" s="3" t="str">
        <f t="shared" si="5"/>
        <v/>
      </c>
      <c r="O274" s="3" t="s">
        <v>202</v>
      </c>
      <c r="P274" s="3" t="s">
        <v>928</v>
      </c>
      <c r="Q274" s="3">
        <v>2025</v>
      </c>
      <c r="R274" s="6" t="s">
        <v>422</v>
      </c>
      <c r="S274" s="6" t="s">
        <v>45</v>
      </c>
      <c r="T274" s="5" t="s">
        <v>1169</v>
      </c>
      <c r="Y274" t="s">
        <v>47</v>
      </c>
    </row>
    <row r="275" spans="1:25" ht="21.6">
      <c r="A275">
        <v>199</v>
      </c>
      <c r="B275" s="2" t="s">
        <v>1170</v>
      </c>
      <c r="C275" s="19" t="s">
        <v>1171</v>
      </c>
      <c r="D275" s="44" t="s">
        <v>369</v>
      </c>
      <c r="E275" s="2" t="s">
        <v>182</v>
      </c>
      <c r="F275" s="68" t="s">
        <v>1172</v>
      </c>
      <c r="G275" s="48" t="s">
        <v>1173</v>
      </c>
      <c r="J275" s="6" t="s">
        <v>88</v>
      </c>
      <c r="K275" s="6" t="s">
        <v>1174</v>
      </c>
      <c r="L275" s="3" t="s">
        <v>40</v>
      </c>
      <c r="M275" s="16" t="s">
        <v>927</v>
      </c>
      <c r="N275" s="3" t="str">
        <f t="shared" si="5"/>
        <v>1  Year</v>
      </c>
      <c r="O275" s="3" t="s">
        <v>202</v>
      </c>
      <c r="P275" s="3" t="s">
        <v>928</v>
      </c>
      <c r="Q275" s="3">
        <v>2025</v>
      </c>
      <c r="R275" s="6" t="s">
        <v>422</v>
      </c>
      <c r="S275" s="6" t="s">
        <v>45</v>
      </c>
      <c r="T275" s="4" t="s">
        <v>1175</v>
      </c>
      <c r="Y275" t="s">
        <v>47</v>
      </c>
    </row>
    <row r="276" spans="1:25" ht="21.6">
      <c r="A276">
        <v>199</v>
      </c>
      <c r="B276" s="2" t="s">
        <v>1170</v>
      </c>
      <c r="C276" s="19" t="s">
        <v>1171</v>
      </c>
      <c r="D276" s="44" t="s">
        <v>369</v>
      </c>
      <c r="E276" s="2" t="s">
        <v>182</v>
      </c>
      <c r="F276" s="68" t="s">
        <v>1172</v>
      </c>
      <c r="G276" s="48" t="s">
        <v>1173</v>
      </c>
      <c r="J276" s="6" t="s">
        <v>48</v>
      </c>
      <c r="K276" s="6" t="s">
        <v>1174</v>
      </c>
      <c r="L276" s="3" t="s">
        <v>40</v>
      </c>
      <c r="M276" s="16" t="s">
        <v>927</v>
      </c>
      <c r="N276" s="3" t="str">
        <f t="shared" si="5"/>
        <v>1  Year</v>
      </c>
      <c r="O276" s="3" t="s">
        <v>202</v>
      </c>
      <c r="P276" s="3" t="s">
        <v>928</v>
      </c>
      <c r="Q276" s="3">
        <v>2025</v>
      </c>
      <c r="R276" s="6" t="s">
        <v>422</v>
      </c>
      <c r="S276" s="6" t="s">
        <v>45</v>
      </c>
      <c r="T276" s="4" t="s">
        <v>1175</v>
      </c>
      <c r="Y276" t="s">
        <v>47</v>
      </c>
    </row>
    <row r="277" spans="1:25" ht="21.6">
      <c r="A277">
        <v>199</v>
      </c>
      <c r="B277" s="2" t="s">
        <v>1170</v>
      </c>
      <c r="C277" s="19" t="s">
        <v>1171</v>
      </c>
      <c r="D277" s="44" t="s">
        <v>369</v>
      </c>
      <c r="E277" s="2" t="s">
        <v>182</v>
      </c>
      <c r="F277" s="68" t="s">
        <v>1172</v>
      </c>
      <c r="G277" s="48" t="s">
        <v>1173</v>
      </c>
      <c r="J277" s="6" t="s">
        <v>145</v>
      </c>
      <c r="K277" s="6" t="s">
        <v>1174</v>
      </c>
      <c r="L277" s="3" t="s">
        <v>40</v>
      </c>
      <c r="M277" s="16" t="s">
        <v>927</v>
      </c>
      <c r="N277" s="3" t="str">
        <f t="shared" si="5"/>
        <v>1  Year</v>
      </c>
      <c r="O277" s="3" t="s">
        <v>202</v>
      </c>
      <c r="P277" s="3" t="s">
        <v>928</v>
      </c>
      <c r="Q277" s="3">
        <v>2025</v>
      </c>
      <c r="R277" s="6" t="s">
        <v>422</v>
      </c>
      <c r="S277" s="6" t="s">
        <v>45</v>
      </c>
      <c r="T277" s="4" t="s">
        <v>1175</v>
      </c>
      <c r="Y277" t="s">
        <v>47</v>
      </c>
    </row>
    <row r="278" spans="1:25" ht="21.6">
      <c r="A278">
        <v>200</v>
      </c>
      <c r="B278" s="2" t="s">
        <v>1176</v>
      </c>
      <c r="C278" s="19" t="s">
        <v>1177</v>
      </c>
      <c r="D278" s="44" t="s">
        <v>1178</v>
      </c>
      <c r="E278" s="2" t="s">
        <v>182</v>
      </c>
      <c r="F278" s="68" t="s">
        <v>226</v>
      </c>
      <c r="G278" s="48" t="s">
        <v>1155</v>
      </c>
      <c r="J278" s="6" t="s">
        <v>88</v>
      </c>
      <c r="K278" s="6" t="s">
        <v>1179</v>
      </c>
      <c r="L278" s="3"/>
      <c r="M278" s="16" t="s">
        <v>927</v>
      </c>
      <c r="N278" s="3" t="str">
        <f t="shared" si="5"/>
        <v/>
      </c>
      <c r="O278" s="3" t="s">
        <v>202</v>
      </c>
      <c r="P278" s="3" t="s">
        <v>928</v>
      </c>
      <c r="Q278" s="3">
        <v>2025</v>
      </c>
      <c r="R278" s="6" t="s">
        <v>1180</v>
      </c>
      <c r="S278" s="6" t="s">
        <v>45</v>
      </c>
      <c r="T278" s="4" t="s">
        <v>1181</v>
      </c>
      <c r="Y278" t="s">
        <v>47</v>
      </c>
    </row>
    <row r="279" spans="1:25" ht="21.6">
      <c r="A279">
        <v>200</v>
      </c>
      <c r="B279" s="2" t="s">
        <v>1176</v>
      </c>
      <c r="C279" s="19" t="s">
        <v>1177</v>
      </c>
      <c r="D279" s="44" t="s">
        <v>1178</v>
      </c>
      <c r="E279" s="2" t="s">
        <v>182</v>
      </c>
      <c r="F279" s="68" t="s">
        <v>226</v>
      </c>
      <c r="G279" s="48" t="s">
        <v>1155</v>
      </c>
      <c r="J279" s="6" t="s">
        <v>48</v>
      </c>
      <c r="K279" s="6" t="s">
        <v>1179</v>
      </c>
      <c r="L279" s="3"/>
      <c r="M279" s="16" t="s">
        <v>927</v>
      </c>
      <c r="N279" s="3" t="str">
        <f t="shared" si="5"/>
        <v/>
      </c>
      <c r="O279" s="3" t="s">
        <v>202</v>
      </c>
      <c r="P279" s="3" t="s">
        <v>928</v>
      </c>
      <c r="Q279" s="3">
        <v>2025</v>
      </c>
      <c r="R279" s="6" t="s">
        <v>1180</v>
      </c>
      <c r="S279" s="6" t="s">
        <v>45</v>
      </c>
      <c r="T279" s="4" t="s">
        <v>1181</v>
      </c>
      <c r="Y279" t="s">
        <v>47</v>
      </c>
    </row>
    <row r="280" spans="1:25" ht="21.6">
      <c r="A280">
        <v>200</v>
      </c>
      <c r="B280" s="2" t="s">
        <v>1176</v>
      </c>
      <c r="C280" s="19" t="s">
        <v>1177</v>
      </c>
      <c r="D280" s="44" t="s">
        <v>1178</v>
      </c>
      <c r="E280" s="2" t="s">
        <v>182</v>
      </c>
      <c r="F280" s="68" t="s">
        <v>226</v>
      </c>
      <c r="G280" s="48" t="s">
        <v>1155</v>
      </c>
      <c r="J280" s="6" t="s">
        <v>145</v>
      </c>
      <c r="K280" s="6" t="s">
        <v>1179</v>
      </c>
      <c r="L280" s="3"/>
      <c r="M280" s="16" t="s">
        <v>927</v>
      </c>
      <c r="N280" s="3" t="str">
        <f t="shared" si="5"/>
        <v/>
      </c>
      <c r="O280" s="3" t="s">
        <v>202</v>
      </c>
      <c r="P280" s="3" t="s">
        <v>928</v>
      </c>
      <c r="Q280" s="3">
        <v>2025</v>
      </c>
      <c r="R280" s="6" t="s">
        <v>1180</v>
      </c>
      <c r="S280" s="6" t="s">
        <v>45</v>
      </c>
      <c r="T280" s="4" t="s">
        <v>1181</v>
      </c>
      <c r="Y280" t="s">
        <v>47</v>
      </c>
    </row>
    <row r="281" spans="1:25" ht="21.6">
      <c r="A281">
        <v>201</v>
      </c>
      <c r="B281" s="2" t="s">
        <v>1182</v>
      </c>
      <c r="C281" s="19" t="s">
        <v>874</v>
      </c>
      <c r="D281" s="44" t="s">
        <v>1183</v>
      </c>
      <c r="E281" s="2" t="s">
        <v>182</v>
      </c>
      <c r="F281" s="68" t="s">
        <v>197</v>
      </c>
      <c r="G281" s="48" t="s">
        <v>1184</v>
      </c>
      <c r="J281" s="6" t="s">
        <v>92</v>
      </c>
      <c r="K281" s="6" t="s">
        <v>876</v>
      </c>
      <c r="L281" s="3" t="s">
        <v>40</v>
      </c>
      <c r="M281" s="16" t="s">
        <v>927</v>
      </c>
      <c r="N281" s="3" t="str">
        <f t="shared" si="5"/>
        <v>1  Year</v>
      </c>
      <c r="O281" s="3" t="s">
        <v>202</v>
      </c>
      <c r="P281" s="3" t="s">
        <v>928</v>
      </c>
      <c r="Q281" s="3">
        <v>2025</v>
      </c>
      <c r="R281" s="6" t="s">
        <v>422</v>
      </c>
      <c r="S281" s="6" t="s">
        <v>1185</v>
      </c>
      <c r="T281" s="4" t="s">
        <v>1186</v>
      </c>
      <c r="Y281" t="s">
        <v>47</v>
      </c>
    </row>
    <row r="282" spans="1:25">
      <c r="A282">
        <v>202</v>
      </c>
      <c r="B282" s="2" t="s">
        <v>1187</v>
      </c>
      <c r="C282" s="19" t="s">
        <v>1188</v>
      </c>
      <c r="D282" s="44" t="s">
        <v>1189</v>
      </c>
      <c r="E282" s="2" t="s">
        <v>182</v>
      </c>
      <c r="F282" s="68" t="s">
        <v>217</v>
      </c>
      <c r="G282" s="48" t="s">
        <v>1190</v>
      </c>
      <c r="J282" s="6" t="s">
        <v>48</v>
      </c>
      <c r="K282" s="6" t="s">
        <v>1191</v>
      </c>
      <c r="L282" s="3" t="s">
        <v>40</v>
      </c>
      <c r="M282" s="16" t="s">
        <v>927</v>
      </c>
      <c r="N282" s="3" t="str">
        <f t="shared" si="5"/>
        <v>1  Year</v>
      </c>
      <c r="O282" s="3" t="s">
        <v>202</v>
      </c>
      <c r="P282" s="3" t="s">
        <v>928</v>
      </c>
      <c r="Q282" s="3">
        <v>2025</v>
      </c>
      <c r="R282" s="6" t="s">
        <v>80</v>
      </c>
      <c r="S282" s="6" t="s">
        <v>45</v>
      </c>
      <c r="T282" s="4" t="s">
        <v>1192</v>
      </c>
      <c r="Y282" t="s">
        <v>47</v>
      </c>
    </row>
    <row r="283" spans="1:25">
      <c r="A283">
        <v>202</v>
      </c>
      <c r="B283" s="2" t="s">
        <v>1187</v>
      </c>
      <c r="C283" s="19" t="s">
        <v>1188</v>
      </c>
      <c r="D283" s="44" t="s">
        <v>1189</v>
      </c>
      <c r="E283" s="2" t="s">
        <v>182</v>
      </c>
      <c r="F283" s="68" t="s">
        <v>217</v>
      </c>
      <c r="G283" s="48" t="s">
        <v>1190</v>
      </c>
      <c r="J283" s="6" t="s">
        <v>145</v>
      </c>
      <c r="K283" s="6" t="s">
        <v>1191</v>
      </c>
      <c r="L283" s="3" t="s">
        <v>40</v>
      </c>
      <c r="M283" s="16" t="s">
        <v>927</v>
      </c>
      <c r="N283" s="3" t="str">
        <f t="shared" si="5"/>
        <v>1  Year</v>
      </c>
      <c r="O283" s="3" t="s">
        <v>202</v>
      </c>
      <c r="P283" s="3" t="s">
        <v>928</v>
      </c>
      <c r="Q283" s="3">
        <v>2025</v>
      </c>
      <c r="R283" s="6" t="s">
        <v>80</v>
      </c>
      <c r="S283" s="6" t="s">
        <v>45</v>
      </c>
      <c r="T283" s="8" t="s">
        <v>1193</v>
      </c>
      <c r="Y283" t="s">
        <v>47</v>
      </c>
    </row>
    <row r="284" spans="1:25">
      <c r="A284">
        <v>203</v>
      </c>
      <c r="B284" s="2" t="s">
        <v>1187</v>
      </c>
      <c r="C284" s="19" t="s">
        <v>1194</v>
      </c>
      <c r="D284" s="44" t="s">
        <v>1195</v>
      </c>
      <c r="E284" s="2" t="s">
        <v>182</v>
      </c>
      <c r="F284" s="68" t="s">
        <v>217</v>
      </c>
      <c r="G284" s="48" t="s">
        <v>1190</v>
      </c>
      <c r="J284" s="6" t="s">
        <v>48</v>
      </c>
      <c r="K284" s="6" t="s">
        <v>1191</v>
      </c>
      <c r="L284" s="3" t="s">
        <v>40</v>
      </c>
      <c r="M284" s="16" t="s">
        <v>927</v>
      </c>
      <c r="N284" s="3" t="str">
        <f t="shared" si="5"/>
        <v>1  Year</v>
      </c>
      <c r="O284" s="3" t="s">
        <v>202</v>
      </c>
      <c r="P284" s="3" t="s">
        <v>928</v>
      </c>
      <c r="Q284" s="3">
        <v>2025</v>
      </c>
      <c r="R284" s="6" t="s">
        <v>80</v>
      </c>
      <c r="S284" s="6" t="s">
        <v>45</v>
      </c>
      <c r="T284" s="8" t="s">
        <v>1193</v>
      </c>
      <c r="Y284" t="s">
        <v>47</v>
      </c>
    </row>
    <row r="285" spans="1:25">
      <c r="A285">
        <v>203</v>
      </c>
      <c r="B285" s="2" t="s">
        <v>1187</v>
      </c>
      <c r="C285" s="19" t="s">
        <v>1194</v>
      </c>
      <c r="D285" s="44" t="s">
        <v>1195</v>
      </c>
      <c r="E285" s="2" t="s">
        <v>182</v>
      </c>
      <c r="F285" s="68" t="s">
        <v>217</v>
      </c>
      <c r="G285" s="48" t="s">
        <v>1190</v>
      </c>
      <c r="J285" s="6" t="s">
        <v>159</v>
      </c>
      <c r="K285" s="6" t="s">
        <v>1191</v>
      </c>
      <c r="L285" s="3" t="s">
        <v>40</v>
      </c>
      <c r="M285" s="16" t="s">
        <v>927</v>
      </c>
      <c r="N285" s="3" t="str">
        <f t="shared" si="5"/>
        <v>1  Year</v>
      </c>
      <c r="O285" s="3" t="s">
        <v>202</v>
      </c>
      <c r="P285" s="3" t="s">
        <v>928</v>
      </c>
      <c r="Q285" s="3">
        <v>2025</v>
      </c>
      <c r="R285" s="6" t="s">
        <v>80</v>
      </c>
      <c r="S285" s="6" t="s">
        <v>45</v>
      </c>
      <c r="T285" s="8" t="s">
        <v>1193</v>
      </c>
      <c r="Y285" t="s">
        <v>47</v>
      </c>
    </row>
    <row r="286" spans="1:25">
      <c r="A286">
        <v>204</v>
      </c>
      <c r="B286" s="2" t="s">
        <v>1196</v>
      </c>
      <c r="C286" s="19" t="s">
        <v>1197</v>
      </c>
      <c r="D286" s="44" t="s">
        <v>1198</v>
      </c>
      <c r="E286" s="2" t="s">
        <v>182</v>
      </c>
      <c r="F286" s="68" t="s">
        <v>1199</v>
      </c>
      <c r="G286" s="48" t="s">
        <v>1200</v>
      </c>
      <c r="J286" s="6" t="s">
        <v>1201</v>
      </c>
      <c r="K286" s="6" t="s">
        <v>1202</v>
      </c>
      <c r="L286" s="3" t="s">
        <v>40</v>
      </c>
      <c r="M286" s="16" t="s">
        <v>927</v>
      </c>
      <c r="N286" s="3" t="str">
        <f t="shared" si="5"/>
        <v>1  Year</v>
      </c>
      <c r="O286" s="3" t="s">
        <v>202</v>
      </c>
      <c r="P286" s="3" t="s">
        <v>928</v>
      </c>
      <c r="Q286" s="3">
        <v>2025</v>
      </c>
      <c r="R286" s="6" t="s">
        <v>80</v>
      </c>
      <c r="S286" s="6" t="s">
        <v>45</v>
      </c>
      <c r="T286" s="8" t="s">
        <v>1203</v>
      </c>
      <c r="Y286" t="s">
        <v>47</v>
      </c>
    </row>
    <row r="287" spans="1:25" ht="28.8">
      <c r="A287">
        <v>205</v>
      </c>
      <c r="B287" s="2" t="s">
        <v>1204</v>
      </c>
      <c r="C287" s="19" t="s">
        <v>1205</v>
      </c>
      <c r="D287" s="44" t="s">
        <v>369</v>
      </c>
      <c r="E287" s="2" t="s">
        <v>182</v>
      </c>
      <c r="F287" s="68" t="s">
        <v>733</v>
      </c>
      <c r="G287" s="48" t="s">
        <v>1160</v>
      </c>
      <c r="J287" s="6" t="s">
        <v>92</v>
      </c>
      <c r="K287" s="6" t="s">
        <v>1206</v>
      </c>
      <c r="L287" s="3" t="s">
        <v>40</v>
      </c>
      <c r="M287" s="16" t="s">
        <v>927</v>
      </c>
      <c r="N287" s="3" t="str">
        <f t="shared" si="5"/>
        <v>1  Year</v>
      </c>
      <c r="O287" s="3" t="s">
        <v>202</v>
      </c>
      <c r="P287" s="3" t="s">
        <v>928</v>
      </c>
      <c r="Q287" s="3">
        <v>2025</v>
      </c>
      <c r="R287" s="6" t="s">
        <v>44</v>
      </c>
      <c r="S287" s="6" t="s">
        <v>1207</v>
      </c>
      <c r="T287" s="5" t="s">
        <v>1208</v>
      </c>
      <c r="Y287" t="s">
        <v>47</v>
      </c>
    </row>
    <row r="288" spans="1:25" ht="21.6">
      <c r="A288">
        <v>206</v>
      </c>
      <c r="B288" s="2" t="s">
        <v>1209</v>
      </c>
      <c r="C288" s="19" t="s">
        <v>524</v>
      </c>
      <c r="D288" s="44" t="s">
        <v>525</v>
      </c>
      <c r="E288" s="2" t="s">
        <v>33</v>
      </c>
      <c r="F288" s="68" t="s">
        <v>966</v>
      </c>
      <c r="G288" s="48" t="s">
        <v>1210</v>
      </c>
      <c r="J288" s="6" t="s">
        <v>145</v>
      </c>
      <c r="K288" s="6" t="s">
        <v>1211</v>
      </c>
      <c r="L288" s="3" t="s">
        <v>40</v>
      </c>
      <c r="M288" s="16" t="s">
        <v>1212</v>
      </c>
      <c r="N288" s="3" t="str">
        <f t="shared" si="5"/>
        <v>1  Year</v>
      </c>
      <c r="O288" s="3" t="s">
        <v>42</v>
      </c>
      <c r="P288" s="3" t="s">
        <v>1213</v>
      </c>
      <c r="Q288" s="3">
        <v>2025</v>
      </c>
      <c r="R288" s="6" t="s">
        <v>80</v>
      </c>
      <c r="S288" s="6" t="s">
        <v>45</v>
      </c>
      <c r="T288" s="4" t="s">
        <v>1214</v>
      </c>
      <c r="Y288" t="s">
        <v>47</v>
      </c>
    </row>
    <row r="289" spans="1:29" ht="21.6">
      <c r="A289">
        <v>207</v>
      </c>
      <c r="B289" s="2" t="s">
        <v>1215</v>
      </c>
      <c r="C289" s="19" t="s">
        <v>1216</v>
      </c>
      <c r="D289" s="44" t="s">
        <v>1217</v>
      </c>
      <c r="E289" t="s">
        <v>182</v>
      </c>
      <c r="F289" s="68" t="s">
        <v>1218</v>
      </c>
      <c r="G289" s="48" t="s">
        <v>1219</v>
      </c>
      <c r="J289" s="6" t="s">
        <v>48</v>
      </c>
      <c r="K289" s="6" t="s">
        <v>1220</v>
      </c>
      <c r="L289" s="3" t="s">
        <v>40</v>
      </c>
      <c r="M289" s="16" t="s">
        <v>1212</v>
      </c>
      <c r="N289" s="3" t="str">
        <f t="shared" si="5"/>
        <v>1  Year</v>
      </c>
      <c r="O289" s="3" t="s">
        <v>42</v>
      </c>
      <c r="P289" s="3" t="s">
        <v>1213</v>
      </c>
      <c r="Q289" s="3">
        <v>2025</v>
      </c>
      <c r="R289" s="6" t="s">
        <v>80</v>
      </c>
      <c r="S289" s="6" t="s">
        <v>45</v>
      </c>
      <c r="T289" s="4" t="s">
        <v>1221</v>
      </c>
      <c r="Y289" t="s">
        <v>47</v>
      </c>
    </row>
    <row r="290" spans="1:29" ht="31.8">
      <c r="A290">
        <v>208</v>
      </c>
      <c r="B290" s="2" t="s">
        <v>1222</v>
      </c>
      <c r="C290" s="19">
        <v>1012179</v>
      </c>
      <c r="D290" s="44" t="s">
        <v>791</v>
      </c>
      <c r="E290" s="2" t="s">
        <v>182</v>
      </c>
      <c r="F290" s="68" t="s">
        <v>1223</v>
      </c>
      <c r="G290" s="48" t="s">
        <v>1224</v>
      </c>
      <c r="J290" s="6" t="s">
        <v>57</v>
      </c>
      <c r="K290" s="6" t="s">
        <v>1225</v>
      </c>
      <c r="L290" s="3" t="s">
        <v>40</v>
      </c>
      <c r="M290" s="16" t="s">
        <v>1212</v>
      </c>
      <c r="N290" s="3" t="str">
        <f t="shared" si="5"/>
        <v>1  Year</v>
      </c>
      <c r="O290" s="3" t="s">
        <v>42</v>
      </c>
      <c r="P290" s="3" t="s">
        <v>1213</v>
      </c>
      <c r="Q290" s="3">
        <v>2025</v>
      </c>
      <c r="R290" s="6" t="s">
        <v>44</v>
      </c>
      <c r="S290" s="6" t="s">
        <v>45</v>
      </c>
      <c r="T290" s="4" t="s">
        <v>1226</v>
      </c>
      <c r="Y290" t="s">
        <v>47</v>
      </c>
    </row>
    <row r="291" spans="1:29" ht="21.6">
      <c r="A291">
        <v>209</v>
      </c>
      <c r="B291" s="2" t="s">
        <v>1227</v>
      </c>
      <c r="C291" s="19" t="s">
        <v>466</v>
      </c>
      <c r="D291" s="44" t="s">
        <v>1228</v>
      </c>
      <c r="E291" s="2" t="s">
        <v>52</v>
      </c>
      <c r="F291" s="68" t="s">
        <v>141</v>
      </c>
      <c r="G291" s="48" t="s">
        <v>1229</v>
      </c>
      <c r="J291" s="6" t="s">
        <v>145</v>
      </c>
      <c r="K291" s="6" t="s">
        <v>1230</v>
      </c>
      <c r="L291" s="3" t="s">
        <v>40</v>
      </c>
      <c r="M291" s="16" t="s">
        <v>1212</v>
      </c>
      <c r="N291" s="3" t="str">
        <f t="shared" si="5"/>
        <v>1  Year</v>
      </c>
      <c r="O291" s="3" t="s">
        <v>42</v>
      </c>
      <c r="P291" s="3" t="s">
        <v>1213</v>
      </c>
      <c r="Q291" s="3">
        <v>2025</v>
      </c>
      <c r="R291" s="6" t="s">
        <v>44</v>
      </c>
      <c r="S291" s="6" t="s">
        <v>356</v>
      </c>
      <c r="T291" s="4" t="s">
        <v>1231</v>
      </c>
      <c r="U291" t="s">
        <v>813</v>
      </c>
      <c r="W291" t="s">
        <v>1232</v>
      </c>
      <c r="X291" t="s">
        <v>163</v>
      </c>
      <c r="Y291" t="s">
        <v>103</v>
      </c>
      <c r="AB291" t="s">
        <v>105</v>
      </c>
      <c r="AC291" t="s">
        <v>1233</v>
      </c>
    </row>
    <row r="292" spans="1:29" ht="62.4">
      <c r="A292">
        <v>210</v>
      </c>
      <c r="B292" s="2" t="s">
        <v>1234</v>
      </c>
      <c r="C292" s="19" t="s">
        <v>1235</v>
      </c>
      <c r="D292" s="44" t="s">
        <v>1228</v>
      </c>
      <c r="E292" s="2" t="s">
        <v>52</v>
      </c>
      <c r="F292" s="68" t="s">
        <v>141</v>
      </c>
      <c r="G292" s="48" t="s">
        <v>1229</v>
      </c>
      <c r="J292" s="6" t="s">
        <v>145</v>
      </c>
      <c r="K292" s="6" t="s">
        <v>1236</v>
      </c>
      <c r="L292" s="3" t="s">
        <v>40</v>
      </c>
      <c r="M292" s="16" t="s">
        <v>1212</v>
      </c>
      <c r="N292" s="3" t="str">
        <f t="shared" si="5"/>
        <v>1  Year</v>
      </c>
      <c r="O292" s="3" t="s">
        <v>42</v>
      </c>
      <c r="P292" s="3" t="s">
        <v>1213</v>
      </c>
      <c r="Q292" s="3">
        <v>2025</v>
      </c>
      <c r="R292" s="6" t="s">
        <v>44</v>
      </c>
      <c r="S292" s="6" t="s">
        <v>45</v>
      </c>
      <c r="T292" s="4" t="s">
        <v>1237</v>
      </c>
      <c r="U292" t="s">
        <v>813</v>
      </c>
      <c r="W292" t="s">
        <v>1232</v>
      </c>
      <c r="X292" t="s">
        <v>163</v>
      </c>
      <c r="Y292" t="s">
        <v>103</v>
      </c>
      <c r="AB292" t="s">
        <v>105</v>
      </c>
      <c r="AC292" t="s">
        <v>1233</v>
      </c>
    </row>
    <row r="293" spans="1:29" ht="42">
      <c r="A293">
        <v>211</v>
      </c>
      <c r="B293" s="2" t="s">
        <v>1238</v>
      </c>
      <c r="C293" s="19" t="s">
        <v>1239</v>
      </c>
      <c r="D293" s="44" t="s">
        <v>1240</v>
      </c>
      <c r="E293" s="2" t="s">
        <v>33</v>
      </c>
      <c r="F293" s="68" t="s">
        <v>312</v>
      </c>
      <c r="G293" s="48" t="s">
        <v>1241</v>
      </c>
      <c r="J293" s="6" t="s">
        <v>145</v>
      </c>
      <c r="K293" s="6" t="s">
        <v>1242</v>
      </c>
      <c r="L293" s="3" t="s">
        <v>40</v>
      </c>
      <c r="M293" s="16" t="s">
        <v>1212</v>
      </c>
      <c r="N293" s="3" t="str">
        <f t="shared" si="5"/>
        <v>1  Year</v>
      </c>
      <c r="O293" s="3" t="s">
        <v>42</v>
      </c>
      <c r="P293" s="3" t="s">
        <v>1213</v>
      </c>
      <c r="Q293" s="3">
        <v>2025</v>
      </c>
      <c r="R293" s="6" t="s">
        <v>44</v>
      </c>
      <c r="S293" s="6" t="s">
        <v>45</v>
      </c>
      <c r="T293" s="4" t="s">
        <v>1243</v>
      </c>
      <c r="Y293" t="s">
        <v>47</v>
      </c>
    </row>
    <row r="294" spans="1:29" ht="21.6">
      <c r="A294">
        <v>212</v>
      </c>
      <c r="B294" s="2" t="s">
        <v>1244</v>
      </c>
      <c r="C294" s="19" t="s">
        <v>1245</v>
      </c>
      <c r="D294" s="44" t="s">
        <v>1246</v>
      </c>
      <c r="E294" s="2" t="s">
        <v>33</v>
      </c>
      <c r="F294" s="68" t="s">
        <v>312</v>
      </c>
      <c r="G294" s="48" t="s">
        <v>1241</v>
      </c>
      <c r="J294" s="6" t="s">
        <v>145</v>
      </c>
      <c r="K294" s="6" t="s">
        <v>1247</v>
      </c>
      <c r="L294" s="3" t="s">
        <v>40</v>
      </c>
      <c r="M294" s="16" t="s">
        <v>1212</v>
      </c>
      <c r="N294" s="3" t="str">
        <f t="shared" si="5"/>
        <v>1  Year</v>
      </c>
      <c r="O294" s="3" t="s">
        <v>42</v>
      </c>
      <c r="P294" s="3" t="s">
        <v>1213</v>
      </c>
      <c r="Q294" s="3">
        <v>2025</v>
      </c>
      <c r="R294" s="6" t="s">
        <v>44</v>
      </c>
      <c r="S294" s="6" t="s">
        <v>45</v>
      </c>
      <c r="T294" s="4" t="s">
        <v>1248</v>
      </c>
      <c r="Y294" t="s">
        <v>47</v>
      </c>
    </row>
    <row r="295" spans="1:29" ht="31.8">
      <c r="A295">
        <v>213</v>
      </c>
      <c r="B295" s="2" t="s">
        <v>1249</v>
      </c>
      <c r="C295" s="19" t="s">
        <v>1250</v>
      </c>
      <c r="D295" s="44" t="s">
        <v>1251</v>
      </c>
      <c r="E295" s="2" t="s">
        <v>33</v>
      </c>
      <c r="F295" s="68" t="s">
        <v>312</v>
      </c>
      <c r="G295" s="48" t="s">
        <v>1241</v>
      </c>
      <c r="J295" s="6" t="s">
        <v>145</v>
      </c>
      <c r="K295" s="6" t="s">
        <v>1252</v>
      </c>
      <c r="L295" s="3" t="s">
        <v>40</v>
      </c>
      <c r="M295" s="16" t="s">
        <v>1212</v>
      </c>
      <c r="N295" s="3" t="str">
        <f t="shared" si="5"/>
        <v>1  Year</v>
      </c>
      <c r="O295" s="3" t="s">
        <v>42</v>
      </c>
      <c r="P295" s="3" t="s">
        <v>1213</v>
      </c>
      <c r="Q295" s="3">
        <v>2025</v>
      </c>
      <c r="R295" s="6" t="s">
        <v>44</v>
      </c>
      <c r="S295" s="6" t="s">
        <v>45</v>
      </c>
      <c r="T295" s="4" t="s">
        <v>1253</v>
      </c>
      <c r="Y295" t="s">
        <v>47</v>
      </c>
    </row>
    <row r="296" spans="1:29" ht="21.6">
      <c r="A296">
        <v>214</v>
      </c>
      <c r="B296" s="2" t="s">
        <v>1254</v>
      </c>
      <c r="C296" s="19">
        <v>2084897</v>
      </c>
      <c r="D296" s="44" t="s">
        <v>548</v>
      </c>
      <c r="E296" s="2" t="s">
        <v>33</v>
      </c>
      <c r="F296" s="68" t="s">
        <v>1255</v>
      </c>
      <c r="G296" s="48" t="s">
        <v>1256</v>
      </c>
      <c r="J296" s="6" t="s">
        <v>1257</v>
      </c>
      <c r="K296" s="6" t="s">
        <v>1258</v>
      </c>
      <c r="L296" s="3" t="s">
        <v>90</v>
      </c>
      <c r="M296" s="16" t="s">
        <v>1212</v>
      </c>
      <c r="N296" s="3" t="str">
        <f t="shared" si="5"/>
        <v>2 Years</v>
      </c>
      <c r="O296" s="3" t="s">
        <v>42</v>
      </c>
      <c r="P296" s="3" t="s">
        <v>1213</v>
      </c>
      <c r="Q296" s="3">
        <v>2025</v>
      </c>
      <c r="R296" s="6" t="s">
        <v>44</v>
      </c>
      <c r="S296" s="6" t="s">
        <v>45</v>
      </c>
      <c r="T296" s="4" t="s">
        <v>1259</v>
      </c>
      <c r="Y296" t="s">
        <v>47</v>
      </c>
    </row>
    <row r="297" spans="1:29" ht="21.6">
      <c r="A297">
        <v>214</v>
      </c>
      <c r="B297" s="2" t="s">
        <v>1254</v>
      </c>
      <c r="C297" s="19">
        <v>2084897</v>
      </c>
      <c r="D297" s="44" t="s">
        <v>548</v>
      </c>
      <c r="E297" s="2" t="s">
        <v>33</v>
      </c>
      <c r="F297" s="68" t="s">
        <v>1255</v>
      </c>
      <c r="G297" s="48" t="s">
        <v>1256</v>
      </c>
      <c r="J297" s="6" t="s">
        <v>159</v>
      </c>
      <c r="K297" s="6" t="s">
        <v>1258</v>
      </c>
      <c r="L297" s="3" t="s">
        <v>90</v>
      </c>
      <c r="M297" s="16" t="s">
        <v>1212</v>
      </c>
      <c r="N297" s="3" t="str">
        <f t="shared" si="5"/>
        <v>2 Years</v>
      </c>
      <c r="O297" s="3" t="s">
        <v>42</v>
      </c>
      <c r="P297" s="3" t="s">
        <v>1213</v>
      </c>
      <c r="Q297" s="3">
        <v>2025</v>
      </c>
      <c r="R297" s="6" t="s">
        <v>44</v>
      </c>
      <c r="S297" s="6" t="s">
        <v>45</v>
      </c>
      <c r="T297" s="4" t="s">
        <v>1259</v>
      </c>
      <c r="Y297" t="s">
        <v>47</v>
      </c>
    </row>
    <row r="298" spans="1:29" ht="21.6">
      <c r="A298">
        <v>215</v>
      </c>
      <c r="B298" s="2" t="s">
        <v>1260</v>
      </c>
      <c r="C298" s="19" t="s">
        <v>1261</v>
      </c>
      <c r="D298" s="44" t="s">
        <v>548</v>
      </c>
      <c r="E298" s="2" t="s">
        <v>33</v>
      </c>
      <c r="F298" s="68" t="s">
        <v>1262</v>
      </c>
      <c r="G298" s="48" t="s">
        <v>1263</v>
      </c>
      <c r="J298" s="6" t="s">
        <v>159</v>
      </c>
      <c r="K298" s="6" t="s">
        <v>1258</v>
      </c>
      <c r="L298" s="3" t="s">
        <v>40</v>
      </c>
      <c r="M298" s="16" t="s">
        <v>1212</v>
      </c>
      <c r="N298" s="3" t="str">
        <f t="shared" si="5"/>
        <v>1  Year</v>
      </c>
      <c r="O298" s="3" t="s">
        <v>42</v>
      </c>
      <c r="P298" s="3" t="s">
        <v>1213</v>
      </c>
      <c r="Q298" s="3">
        <v>2025</v>
      </c>
      <c r="R298" s="6" t="s">
        <v>44</v>
      </c>
      <c r="S298" s="6" t="s">
        <v>45</v>
      </c>
      <c r="T298" s="4" t="s">
        <v>1264</v>
      </c>
      <c r="Y298" t="s">
        <v>47</v>
      </c>
    </row>
    <row r="299" spans="1:29" ht="21.6">
      <c r="A299">
        <v>215</v>
      </c>
      <c r="B299" s="2" t="s">
        <v>1260</v>
      </c>
      <c r="C299" s="19" t="s">
        <v>1261</v>
      </c>
      <c r="D299" s="44" t="s">
        <v>548</v>
      </c>
      <c r="E299" s="2" t="s">
        <v>33</v>
      </c>
      <c r="F299" s="68" t="s">
        <v>1262</v>
      </c>
      <c r="G299" s="48" t="s">
        <v>1263</v>
      </c>
      <c r="J299" s="6" t="s">
        <v>48</v>
      </c>
      <c r="K299" s="6" t="s">
        <v>1258</v>
      </c>
      <c r="L299" s="3" t="s">
        <v>40</v>
      </c>
      <c r="M299" s="16" t="s">
        <v>1212</v>
      </c>
      <c r="N299" s="3" t="str">
        <f t="shared" si="5"/>
        <v>1  Year</v>
      </c>
      <c r="O299" s="3" t="s">
        <v>42</v>
      </c>
      <c r="P299" s="3" t="s">
        <v>1213</v>
      </c>
      <c r="Q299" s="3">
        <v>2025</v>
      </c>
      <c r="R299" s="6" t="s">
        <v>44</v>
      </c>
      <c r="S299" s="6" t="s">
        <v>45</v>
      </c>
      <c r="T299" s="4" t="s">
        <v>1264</v>
      </c>
      <c r="Y299" t="s">
        <v>47</v>
      </c>
    </row>
    <row r="300" spans="1:29" ht="21.6">
      <c r="A300">
        <v>216</v>
      </c>
      <c r="B300" s="2" t="s">
        <v>1265</v>
      </c>
      <c r="C300" s="19" t="s">
        <v>1266</v>
      </c>
      <c r="D300" s="44" t="s">
        <v>32</v>
      </c>
      <c r="E300" s="2" t="s">
        <v>52</v>
      </c>
      <c r="F300" s="68" t="s">
        <v>1267</v>
      </c>
      <c r="G300" s="48" t="s">
        <v>1268</v>
      </c>
      <c r="J300" s="6" t="s">
        <v>88</v>
      </c>
      <c r="K300" s="6" t="s">
        <v>1269</v>
      </c>
      <c r="L300" s="3" t="s">
        <v>40</v>
      </c>
      <c r="M300" s="16" t="s">
        <v>1212</v>
      </c>
      <c r="N300" s="3" t="str">
        <f t="shared" si="5"/>
        <v>1  Year</v>
      </c>
      <c r="O300" s="3" t="s">
        <v>42</v>
      </c>
      <c r="P300" s="3" t="s">
        <v>1213</v>
      </c>
      <c r="Q300" s="3">
        <v>2025</v>
      </c>
      <c r="R300" s="6" t="s">
        <v>80</v>
      </c>
      <c r="S300" s="6" t="s">
        <v>45</v>
      </c>
      <c r="T300" s="4" t="s">
        <v>1270</v>
      </c>
      <c r="Y300" t="s">
        <v>47</v>
      </c>
    </row>
    <row r="301" spans="1:29" ht="21.6">
      <c r="A301">
        <v>216</v>
      </c>
      <c r="B301" s="2" t="s">
        <v>1265</v>
      </c>
      <c r="C301" s="19" t="s">
        <v>1266</v>
      </c>
      <c r="D301" s="44" t="s">
        <v>32</v>
      </c>
      <c r="E301" s="2" t="s">
        <v>52</v>
      </c>
      <c r="F301" s="68" t="s">
        <v>1267</v>
      </c>
      <c r="G301" s="48" t="s">
        <v>1268</v>
      </c>
      <c r="J301" s="6" t="s">
        <v>145</v>
      </c>
      <c r="K301" s="6" t="s">
        <v>1269</v>
      </c>
      <c r="L301" s="3" t="s">
        <v>40</v>
      </c>
      <c r="M301" s="16" t="s">
        <v>1212</v>
      </c>
      <c r="N301" s="3" t="str">
        <f t="shared" si="5"/>
        <v>1  Year</v>
      </c>
      <c r="O301" s="3" t="s">
        <v>42</v>
      </c>
      <c r="P301" s="3" t="s">
        <v>1213</v>
      </c>
      <c r="Q301" s="3">
        <v>2025</v>
      </c>
      <c r="R301" s="6" t="s">
        <v>80</v>
      </c>
      <c r="S301" s="6" t="s">
        <v>45</v>
      </c>
      <c r="T301" s="4" t="s">
        <v>1270</v>
      </c>
      <c r="U301" t="s">
        <v>162</v>
      </c>
      <c r="W301" t="s">
        <v>1271</v>
      </c>
      <c r="X301" t="s">
        <v>163</v>
      </c>
      <c r="Y301" t="s">
        <v>103</v>
      </c>
      <c r="AB301" t="s">
        <v>105</v>
      </c>
      <c r="AC301" t="s">
        <v>815</v>
      </c>
    </row>
    <row r="302" spans="1:29" ht="21.6">
      <c r="A302">
        <v>217</v>
      </c>
      <c r="B302" s="2" t="s">
        <v>1265</v>
      </c>
      <c r="C302" s="19" t="s">
        <v>1266</v>
      </c>
      <c r="D302" s="44" t="s">
        <v>32</v>
      </c>
      <c r="E302" s="2" t="s">
        <v>52</v>
      </c>
      <c r="F302" s="68" t="s">
        <v>1267</v>
      </c>
      <c r="G302" s="48" t="s">
        <v>1268</v>
      </c>
      <c r="J302" s="6" t="s">
        <v>159</v>
      </c>
      <c r="K302" s="6" t="s">
        <v>1269</v>
      </c>
      <c r="L302" s="3" t="s">
        <v>40</v>
      </c>
      <c r="M302" s="16" t="s">
        <v>1212</v>
      </c>
      <c r="N302" s="3" t="str">
        <f t="shared" si="5"/>
        <v>1  Year</v>
      </c>
      <c r="O302" s="3" t="s">
        <v>42</v>
      </c>
      <c r="P302" s="3" t="s">
        <v>1213</v>
      </c>
      <c r="Q302" s="3">
        <v>2025</v>
      </c>
      <c r="R302" s="6" t="s">
        <v>80</v>
      </c>
      <c r="S302" s="6" t="s">
        <v>45</v>
      </c>
      <c r="T302" s="4" t="s">
        <v>1270</v>
      </c>
      <c r="Y302" t="s">
        <v>47</v>
      </c>
    </row>
    <row r="303" spans="1:29" ht="21.6">
      <c r="A303">
        <v>217</v>
      </c>
      <c r="B303" s="2" t="s">
        <v>1265</v>
      </c>
      <c r="C303" s="19" t="s">
        <v>1266</v>
      </c>
      <c r="D303" s="44" t="s">
        <v>32</v>
      </c>
      <c r="E303" s="2" t="s">
        <v>52</v>
      </c>
      <c r="F303" s="68" t="s">
        <v>1267</v>
      </c>
      <c r="G303" s="48" t="s">
        <v>1268</v>
      </c>
      <c r="J303" s="6" t="s">
        <v>38</v>
      </c>
      <c r="K303" s="6" t="s">
        <v>1269</v>
      </c>
      <c r="L303" s="3" t="s">
        <v>40</v>
      </c>
      <c r="M303" s="16" t="s">
        <v>1212</v>
      </c>
      <c r="N303" s="3" t="str">
        <f t="shared" si="5"/>
        <v>1  Year</v>
      </c>
      <c r="O303" s="3" t="s">
        <v>42</v>
      </c>
      <c r="P303" s="3" t="s">
        <v>1213</v>
      </c>
      <c r="Q303" s="3">
        <v>2025</v>
      </c>
      <c r="R303" s="6" t="s">
        <v>80</v>
      </c>
      <c r="S303" s="6" t="s">
        <v>45</v>
      </c>
      <c r="T303" s="4" t="s">
        <v>1270</v>
      </c>
      <c r="Y303" t="s">
        <v>47</v>
      </c>
    </row>
    <row r="304" spans="1:29" ht="21.6">
      <c r="A304">
        <v>217</v>
      </c>
      <c r="B304" s="2" t="s">
        <v>1265</v>
      </c>
      <c r="C304" s="19" t="s">
        <v>1266</v>
      </c>
      <c r="D304" s="44" t="s">
        <v>32</v>
      </c>
      <c r="E304" s="2" t="s">
        <v>52</v>
      </c>
      <c r="F304" s="68" t="s">
        <v>1267</v>
      </c>
      <c r="G304" s="48" t="s">
        <v>1268</v>
      </c>
      <c r="J304" s="6" t="s">
        <v>48</v>
      </c>
      <c r="K304" s="6" t="s">
        <v>1269</v>
      </c>
      <c r="L304" s="3" t="s">
        <v>40</v>
      </c>
      <c r="M304" s="16" t="s">
        <v>1212</v>
      </c>
      <c r="N304" s="3" t="str">
        <f t="shared" si="5"/>
        <v>1  Year</v>
      </c>
      <c r="O304" s="3" t="s">
        <v>42</v>
      </c>
      <c r="P304" s="3" t="s">
        <v>1213</v>
      </c>
      <c r="Q304" s="3">
        <v>2025</v>
      </c>
      <c r="R304" s="6" t="s">
        <v>80</v>
      </c>
      <c r="S304" s="6" t="s">
        <v>45</v>
      </c>
      <c r="T304" s="4" t="s">
        <v>1272</v>
      </c>
      <c r="Y304" t="s">
        <v>47</v>
      </c>
    </row>
    <row r="305" spans="1:25" ht="21.6">
      <c r="A305">
        <v>218</v>
      </c>
      <c r="B305" s="2" t="s">
        <v>1265</v>
      </c>
      <c r="C305" s="19" t="s">
        <v>1266</v>
      </c>
      <c r="D305" s="44" t="s">
        <v>32</v>
      </c>
      <c r="E305" s="2" t="s">
        <v>52</v>
      </c>
      <c r="F305" s="68" t="s">
        <v>1267</v>
      </c>
      <c r="G305" s="48" t="s">
        <v>1268</v>
      </c>
      <c r="J305" s="6" t="s">
        <v>92</v>
      </c>
      <c r="K305" s="6" t="s">
        <v>1269</v>
      </c>
      <c r="L305" s="3" t="s">
        <v>40</v>
      </c>
      <c r="M305" s="16" t="s">
        <v>1212</v>
      </c>
      <c r="N305" s="3" t="str">
        <f t="shared" si="5"/>
        <v>1  Year</v>
      </c>
      <c r="O305" s="3" t="s">
        <v>42</v>
      </c>
      <c r="P305" s="3" t="s">
        <v>1213</v>
      </c>
      <c r="Q305" s="3">
        <v>2025</v>
      </c>
      <c r="R305" s="6" t="s">
        <v>80</v>
      </c>
      <c r="S305" s="6" t="s">
        <v>1273</v>
      </c>
      <c r="T305" s="4" t="s">
        <v>1272</v>
      </c>
      <c r="Y305" t="s">
        <v>47</v>
      </c>
    </row>
    <row r="306" spans="1:25" ht="21.6">
      <c r="A306">
        <v>219</v>
      </c>
      <c r="B306" s="2" t="s">
        <v>1274</v>
      </c>
      <c r="C306" s="19" t="s">
        <v>1275</v>
      </c>
      <c r="D306" s="44" t="s">
        <v>311</v>
      </c>
      <c r="E306" s="2" t="s">
        <v>52</v>
      </c>
      <c r="F306" s="68" t="s">
        <v>1276</v>
      </c>
      <c r="G306" s="48" t="s">
        <v>1277</v>
      </c>
      <c r="J306" s="6" t="s">
        <v>88</v>
      </c>
      <c r="K306" s="6" t="s">
        <v>1278</v>
      </c>
      <c r="L306" s="3" t="s">
        <v>40</v>
      </c>
      <c r="M306" s="16" t="s">
        <v>1212</v>
      </c>
      <c r="N306" s="3" t="str">
        <f t="shared" si="5"/>
        <v>1  Year</v>
      </c>
      <c r="O306" s="3" t="s">
        <v>42</v>
      </c>
      <c r="P306" s="3" t="s">
        <v>1213</v>
      </c>
      <c r="Q306" s="3">
        <v>2025</v>
      </c>
      <c r="R306" s="6" t="s">
        <v>44</v>
      </c>
      <c r="S306" s="6" t="s">
        <v>45</v>
      </c>
      <c r="T306" s="4" t="s">
        <v>1279</v>
      </c>
      <c r="Y306" t="s">
        <v>47</v>
      </c>
    </row>
    <row r="307" spans="1:25" ht="21.6">
      <c r="A307">
        <v>219</v>
      </c>
      <c r="B307" s="2" t="s">
        <v>1274</v>
      </c>
      <c r="C307" s="19" t="s">
        <v>1275</v>
      </c>
      <c r="D307" s="44" t="s">
        <v>311</v>
      </c>
      <c r="E307" s="2" t="s">
        <v>52</v>
      </c>
      <c r="F307" s="68" t="s">
        <v>1276</v>
      </c>
      <c r="G307" s="48" t="s">
        <v>1277</v>
      </c>
      <c r="J307" s="6" t="s">
        <v>145</v>
      </c>
      <c r="K307" s="6" t="s">
        <v>1278</v>
      </c>
      <c r="L307" s="3" t="s">
        <v>40</v>
      </c>
      <c r="M307" s="16" t="s">
        <v>1212</v>
      </c>
      <c r="N307" s="3" t="str">
        <f t="shared" si="5"/>
        <v>1  Year</v>
      </c>
      <c r="O307" s="3" t="s">
        <v>42</v>
      </c>
      <c r="P307" s="3" t="s">
        <v>1213</v>
      </c>
      <c r="Q307" s="3">
        <v>2025</v>
      </c>
      <c r="R307" s="6" t="s">
        <v>44</v>
      </c>
      <c r="S307" s="6" t="s">
        <v>45</v>
      </c>
      <c r="T307" s="4" t="s">
        <v>1279</v>
      </c>
      <c r="Y307" t="s">
        <v>47</v>
      </c>
    </row>
    <row r="308" spans="1:25" ht="21.6">
      <c r="A308">
        <v>220</v>
      </c>
      <c r="B308" s="2" t="s">
        <v>1274</v>
      </c>
      <c r="C308" s="19" t="s">
        <v>1275</v>
      </c>
      <c r="D308" s="44" t="s">
        <v>311</v>
      </c>
      <c r="E308" s="2" t="s">
        <v>52</v>
      </c>
      <c r="F308" s="68" t="s">
        <v>1276</v>
      </c>
      <c r="G308" s="48" t="s">
        <v>1277</v>
      </c>
      <c r="J308" s="6" t="s">
        <v>92</v>
      </c>
      <c r="K308" s="6" t="s">
        <v>1280</v>
      </c>
      <c r="L308" s="3" t="s">
        <v>40</v>
      </c>
      <c r="M308" s="16" t="s">
        <v>1212</v>
      </c>
      <c r="N308" s="3" t="str">
        <f t="shared" si="5"/>
        <v>1  Year</v>
      </c>
      <c r="O308" s="3" t="s">
        <v>42</v>
      </c>
      <c r="P308" s="3" t="s">
        <v>1213</v>
      </c>
      <c r="Q308" s="3">
        <v>2025</v>
      </c>
      <c r="R308" s="6" t="s">
        <v>44</v>
      </c>
      <c r="S308" s="6" t="s">
        <v>1281</v>
      </c>
      <c r="T308" s="4" t="s">
        <v>1282</v>
      </c>
      <c r="Y308" t="s">
        <v>47</v>
      </c>
    </row>
    <row r="309" spans="1:25" ht="21.6">
      <c r="A309">
        <v>220</v>
      </c>
      <c r="B309" s="2" t="s">
        <v>1274</v>
      </c>
      <c r="C309" s="19" t="s">
        <v>1275</v>
      </c>
      <c r="D309" s="44" t="s">
        <v>311</v>
      </c>
      <c r="E309" s="2" t="s">
        <v>52</v>
      </c>
      <c r="F309" s="68" t="s">
        <v>1276</v>
      </c>
      <c r="G309" s="48" t="s">
        <v>1277</v>
      </c>
      <c r="J309" s="6" t="s">
        <v>145</v>
      </c>
      <c r="K309" s="6" t="s">
        <v>1280</v>
      </c>
      <c r="L309" s="3" t="s">
        <v>40</v>
      </c>
      <c r="M309" s="16" t="s">
        <v>1212</v>
      </c>
      <c r="N309" s="3" t="str">
        <f t="shared" si="5"/>
        <v>1  Year</v>
      </c>
      <c r="O309" s="3" t="s">
        <v>42</v>
      </c>
      <c r="P309" s="3" t="s">
        <v>1213</v>
      </c>
      <c r="Q309" s="3">
        <v>2025</v>
      </c>
      <c r="R309" s="6" t="s">
        <v>44</v>
      </c>
      <c r="S309" s="6" t="s">
        <v>1281</v>
      </c>
      <c r="T309" s="4" t="s">
        <v>1282</v>
      </c>
      <c r="Y309" t="s">
        <v>47</v>
      </c>
    </row>
    <row r="310" spans="1:25" ht="21.6">
      <c r="A310">
        <v>221</v>
      </c>
      <c r="B310" s="2" t="s">
        <v>1283</v>
      </c>
      <c r="C310" s="19" t="s">
        <v>1284</v>
      </c>
      <c r="D310" s="44" t="s">
        <v>1285</v>
      </c>
      <c r="E310" s="2" t="s">
        <v>33</v>
      </c>
      <c r="F310" s="68" t="s">
        <v>1276</v>
      </c>
      <c r="G310" s="48" t="s">
        <v>1277</v>
      </c>
      <c r="J310" s="6" t="s">
        <v>159</v>
      </c>
      <c r="K310" s="6" t="s">
        <v>1286</v>
      </c>
      <c r="L310" s="3"/>
      <c r="M310" s="16" t="s">
        <v>1212</v>
      </c>
      <c r="N310" s="3" t="str">
        <f t="shared" si="5"/>
        <v/>
      </c>
      <c r="O310" s="3" t="s">
        <v>42</v>
      </c>
      <c r="P310" s="3" t="s">
        <v>1213</v>
      </c>
      <c r="Q310" s="3">
        <v>2025</v>
      </c>
      <c r="R310" s="6" t="s">
        <v>44</v>
      </c>
      <c r="S310" s="6" t="s">
        <v>45</v>
      </c>
      <c r="T310" t="s">
        <v>1287</v>
      </c>
      <c r="Y310" t="s">
        <v>47</v>
      </c>
    </row>
    <row r="311" spans="1:25" ht="21.6">
      <c r="A311">
        <v>221</v>
      </c>
      <c r="B311" s="2" t="s">
        <v>1283</v>
      </c>
      <c r="C311" s="19" t="s">
        <v>1284</v>
      </c>
      <c r="D311" s="44" t="s">
        <v>1285</v>
      </c>
      <c r="E311" s="2" t="s">
        <v>33</v>
      </c>
      <c r="F311" s="68" t="s">
        <v>1276</v>
      </c>
      <c r="G311" s="48" t="s">
        <v>1277</v>
      </c>
      <c r="J311" s="6" t="s">
        <v>48</v>
      </c>
      <c r="K311" s="6" t="s">
        <v>1286</v>
      </c>
      <c r="L311" s="3"/>
      <c r="M311" s="16" t="s">
        <v>1212</v>
      </c>
      <c r="N311" s="3" t="str">
        <f t="shared" si="5"/>
        <v/>
      </c>
      <c r="O311" s="3" t="s">
        <v>42</v>
      </c>
      <c r="P311" s="3" t="s">
        <v>1213</v>
      </c>
      <c r="Q311" s="3">
        <v>2025</v>
      </c>
      <c r="R311" s="6" t="s">
        <v>44</v>
      </c>
      <c r="S311" s="6" t="s">
        <v>45</v>
      </c>
      <c r="T311" t="s">
        <v>1287</v>
      </c>
      <c r="Y311" t="s">
        <v>47</v>
      </c>
    </row>
    <row r="312" spans="1:25" ht="21.6">
      <c r="A312">
        <v>221</v>
      </c>
      <c r="B312" s="2" t="s">
        <v>1283</v>
      </c>
      <c r="C312" s="19" t="s">
        <v>1284</v>
      </c>
      <c r="D312" s="44" t="s">
        <v>1285</v>
      </c>
      <c r="E312" s="2" t="s">
        <v>33</v>
      </c>
      <c r="F312" s="68" t="s">
        <v>1276</v>
      </c>
      <c r="G312" s="48" t="s">
        <v>1277</v>
      </c>
      <c r="J312" s="6" t="s">
        <v>145</v>
      </c>
      <c r="K312" s="6" t="s">
        <v>1286</v>
      </c>
      <c r="L312" s="3"/>
      <c r="M312" s="16" t="s">
        <v>1212</v>
      </c>
      <c r="N312" s="3" t="str">
        <f t="shared" si="5"/>
        <v/>
      </c>
      <c r="O312" s="3" t="s">
        <v>42</v>
      </c>
      <c r="P312" s="3" t="s">
        <v>1213</v>
      </c>
      <c r="Q312" s="3">
        <v>2025</v>
      </c>
      <c r="R312" s="6" t="s">
        <v>44</v>
      </c>
      <c r="S312" s="6" t="s">
        <v>45</v>
      </c>
      <c r="T312" t="s">
        <v>1287</v>
      </c>
      <c r="Y312" t="s">
        <v>47</v>
      </c>
    </row>
    <row r="313" spans="1:25" ht="21.6">
      <c r="A313">
        <v>221</v>
      </c>
      <c r="B313" s="2" t="s">
        <v>1283</v>
      </c>
      <c r="C313" s="19" t="s">
        <v>1284</v>
      </c>
      <c r="D313" s="44" t="s">
        <v>1285</v>
      </c>
      <c r="E313" s="2" t="s">
        <v>33</v>
      </c>
      <c r="F313" s="68" t="s">
        <v>1276</v>
      </c>
      <c r="G313" s="48" t="s">
        <v>1277</v>
      </c>
      <c r="J313" s="6" t="s">
        <v>38</v>
      </c>
      <c r="K313" s="6" t="s">
        <v>1286</v>
      </c>
      <c r="L313" s="3"/>
      <c r="M313" s="16" t="s">
        <v>1212</v>
      </c>
      <c r="N313" s="3" t="str">
        <f t="shared" si="5"/>
        <v/>
      </c>
      <c r="O313" s="3" t="s">
        <v>42</v>
      </c>
      <c r="P313" s="3" t="s">
        <v>1213</v>
      </c>
      <c r="Q313" s="3">
        <v>2025</v>
      </c>
      <c r="R313" s="6" t="s">
        <v>44</v>
      </c>
      <c r="S313" s="6" t="s">
        <v>45</v>
      </c>
      <c r="T313" t="s">
        <v>1287</v>
      </c>
      <c r="Y313" t="s">
        <v>47</v>
      </c>
    </row>
    <row r="314" spans="1:25" ht="21.6">
      <c r="A314">
        <v>222</v>
      </c>
      <c r="B314" s="2" t="s">
        <v>1288</v>
      </c>
      <c r="C314" s="19" t="s">
        <v>1289</v>
      </c>
      <c r="D314" s="44" t="s">
        <v>629</v>
      </c>
      <c r="E314" s="2" t="s">
        <v>33</v>
      </c>
      <c r="F314" s="68" t="s">
        <v>1276</v>
      </c>
      <c r="G314" s="48" t="s">
        <v>1277</v>
      </c>
      <c r="J314" s="6" t="s">
        <v>38</v>
      </c>
      <c r="K314" s="6" t="s">
        <v>1290</v>
      </c>
      <c r="L314" s="3"/>
      <c r="M314" s="16" t="s">
        <v>1212</v>
      </c>
      <c r="N314" s="3" t="str">
        <f t="shared" si="5"/>
        <v/>
      </c>
      <c r="O314" s="3" t="s">
        <v>42</v>
      </c>
      <c r="P314" s="3" t="s">
        <v>1213</v>
      </c>
      <c r="Q314" s="3">
        <v>2025</v>
      </c>
      <c r="R314" s="6" t="s">
        <v>44</v>
      </c>
      <c r="S314" s="6" t="s">
        <v>45</v>
      </c>
      <c r="T314" t="s">
        <v>1287</v>
      </c>
      <c r="Y314" t="s">
        <v>47</v>
      </c>
    </row>
    <row r="315" spans="1:25" ht="21.6">
      <c r="A315">
        <v>223</v>
      </c>
      <c r="B315" s="2" t="s">
        <v>1291</v>
      </c>
      <c r="C315" s="19" t="s">
        <v>1292</v>
      </c>
      <c r="D315" s="44" t="s">
        <v>1293</v>
      </c>
      <c r="E315" s="2" t="s">
        <v>182</v>
      </c>
      <c r="F315" s="68" t="s">
        <v>226</v>
      </c>
      <c r="G315" s="48" t="s">
        <v>1294</v>
      </c>
      <c r="J315" s="6" t="s">
        <v>92</v>
      </c>
      <c r="K315" s="6" t="s">
        <v>1295</v>
      </c>
      <c r="L315" s="3" t="s">
        <v>40</v>
      </c>
      <c r="M315" s="16" t="s">
        <v>1212</v>
      </c>
      <c r="N315" s="3" t="str">
        <f t="shared" si="5"/>
        <v>1  Year</v>
      </c>
      <c r="O315" s="3" t="s">
        <v>42</v>
      </c>
      <c r="P315" s="3" t="s">
        <v>1213</v>
      </c>
      <c r="Q315" s="3">
        <v>2025</v>
      </c>
      <c r="R315" s="6" t="s">
        <v>44</v>
      </c>
      <c r="S315" s="6" t="s">
        <v>1296</v>
      </c>
      <c r="T315" s="4" t="s">
        <v>1297</v>
      </c>
      <c r="Y315" t="s">
        <v>47</v>
      </c>
    </row>
    <row r="316" spans="1:25" ht="31.8">
      <c r="A316">
        <v>224</v>
      </c>
      <c r="B316" s="2" t="s">
        <v>975</v>
      </c>
      <c r="C316" s="19" t="s">
        <v>776</v>
      </c>
      <c r="D316" s="44" t="s">
        <v>791</v>
      </c>
      <c r="E316" s="2" t="s">
        <v>182</v>
      </c>
      <c r="F316" s="68" t="s">
        <v>1298</v>
      </c>
      <c r="G316" s="48" t="s">
        <v>978</v>
      </c>
      <c r="J316" s="6" t="s">
        <v>92</v>
      </c>
      <c r="K316" s="6" t="s">
        <v>1299</v>
      </c>
      <c r="L316" s="3" t="s">
        <v>40</v>
      </c>
      <c r="M316" s="16" t="s">
        <v>1212</v>
      </c>
      <c r="N316" s="3" t="str">
        <f t="shared" si="5"/>
        <v>1  Year</v>
      </c>
      <c r="O316" s="3" t="s">
        <v>42</v>
      </c>
      <c r="P316" s="3" t="s">
        <v>1213</v>
      </c>
      <c r="Q316" s="3">
        <v>2025</v>
      </c>
      <c r="R316" s="6" t="s">
        <v>44</v>
      </c>
      <c r="S316" s="6" t="s">
        <v>1300</v>
      </c>
      <c r="T316" s="4" t="s">
        <v>1301</v>
      </c>
      <c r="Y316" t="s">
        <v>47</v>
      </c>
    </row>
    <row r="317" spans="1:25" ht="31.8">
      <c r="A317">
        <v>225</v>
      </c>
      <c r="B317" s="2" t="s">
        <v>980</v>
      </c>
      <c r="C317" s="19" t="s">
        <v>790</v>
      </c>
      <c r="D317" s="44" t="s">
        <v>791</v>
      </c>
      <c r="E317" s="2" t="s">
        <v>182</v>
      </c>
      <c r="F317" s="68" t="s">
        <v>1298</v>
      </c>
      <c r="G317" s="48" t="s">
        <v>978</v>
      </c>
      <c r="J317" s="6" t="s">
        <v>92</v>
      </c>
      <c r="K317" s="6" t="s">
        <v>1302</v>
      </c>
      <c r="L317" s="3" t="s">
        <v>40</v>
      </c>
      <c r="M317" s="16" t="s">
        <v>1212</v>
      </c>
      <c r="N317" s="3" t="str">
        <f t="shared" si="5"/>
        <v>1  Year</v>
      </c>
      <c r="O317" s="3" t="s">
        <v>42</v>
      </c>
      <c r="P317" s="3" t="s">
        <v>1213</v>
      </c>
      <c r="Q317" s="3">
        <v>2025</v>
      </c>
      <c r="R317" s="6" t="s">
        <v>44</v>
      </c>
      <c r="S317" s="6" t="s">
        <v>1300</v>
      </c>
      <c r="T317" s="4" t="s">
        <v>1303</v>
      </c>
      <c r="Y317" t="s">
        <v>47</v>
      </c>
    </row>
    <row r="318" spans="1:25" ht="21.6">
      <c r="A318">
        <v>226</v>
      </c>
      <c r="B318" s="2" t="s">
        <v>1274</v>
      </c>
      <c r="C318" s="19" t="s">
        <v>1275</v>
      </c>
      <c r="D318" s="44" t="s">
        <v>311</v>
      </c>
      <c r="E318" s="2" t="s">
        <v>52</v>
      </c>
      <c r="F318" s="68" t="s">
        <v>1276</v>
      </c>
      <c r="G318" s="48" t="s">
        <v>1277</v>
      </c>
      <c r="J318" s="6" t="s">
        <v>92</v>
      </c>
      <c r="K318" s="6" t="s">
        <v>1280</v>
      </c>
      <c r="L318" s="3" t="s">
        <v>40</v>
      </c>
      <c r="M318" s="16" t="s">
        <v>1212</v>
      </c>
      <c r="N318" s="3" t="str">
        <f t="shared" si="5"/>
        <v>1  Year</v>
      </c>
      <c r="O318" s="3" t="s">
        <v>42</v>
      </c>
      <c r="P318" s="3" t="s">
        <v>1213</v>
      </c>
      <c r="Q318" s="3">
        <v>2025</v>
      </c>
      <c r="R318" s="6" t="s">
        <v>44</v>
      </c>
      <c r="S318" s="6" t="s">
        <v>1281</v>
      </c>
      <c r="T318" s="4" t="s">
        <v>1282</v>
      </c>
      <c r="Y318" t="s">
        <v>47</v>
      </c>
    </row>
    <row r="319" spans="1:25" ht="21.6">
      <c r="A319">
        <v>226</v>
      </c>
      <c r="B319" s="2" t="s">
        <v>1274</v>
      </c>
      <c r="C319" s="19" t="s">
        <v>1275</v>
      </c>
      <c r="D319" s="44" t="s">
        <v>311</v>
      </c>
      <c r="E319" s="2" t="s">
        <v>52</v>
      </c>
      <c r="F319" s="68" t="s">
        <v>1276</v>
      </c>
      <c r="G319" s="48" t="s">
        <v>1277</v>
      </c>
      <c r="J319" s="6" t="s">
        <v>145</v>
      </c>
      <c r="K319" s="6" t="s">
        <v>1280</v>
      </c>
      <c r="L319" s="3" t="s">
        <v>40</v>
      </c>
      <c r="M319" s="16" t="s">
        <v>1212</v>
      </c>
      <c r="N319" s="3" t="str">
        <f t="shared" si="5"/>
        <v>1  Year</v>
      </c>
      <c r="O319" s="3" t="s">
        <v>42</v>
      </c>
      <c r="P319" s="3" t="s">
        <v>1213</v>
      </c>
      <c r="Q319" s="3">
        <v>2025</v>
      </c>
      <c r="R319" s="6" t="s">
        <v>44</v>
      </c>
      <c r="S319" s="6" t="s">
        <v>1281</v>
      </c>
      <c r="T319" s="4" t="s">
        <v>1282</v>
      </c>
      <c r="Y319" t="s">
        <v>47</v>
      </c>
    </row>
    <row r="320" spans="1:25" ht="21.6">
      <c r="A320">
        <v>227</v>
      </c>
      <c r="B320" s="2" t="s">
        <v>1274</v>
      </c>
      <c r="C320" s="19" t="s">
        <v>1275</v>
      </c>
      <c r="D320" s="44" t="s">
        <v>311</v>
      </c>
      <c r="E320" s="2" t="s">
        <v>52</v>
      </c>
      <c r="F320" s="68" t="s">
        <v>1276</v>
      </c>
      <c r="G320" s="48" t="s">
        <v>1277</v>
      </c>
      <c r="J320" s="6" t="s">
        <v>88</v>
      </c>
      <c r="K320" s="6" t="s">
        <v>1278</v>
      </c>
      <c r="L320" s="3" t="s">
        <v>40</v>
      </c>
      <c r="M320" s="16" t="s">
        <v>1212</v>
      </c>
      <c r="N320" s="3" t="str">
        <f t="shared" si="5"/>
        <v>1  Year</v>
      </c>
      <c r="O320" s="3" t="s">
        <v>42</v>
      </c>
      <c r="P320" s="3" t="s">
        <v>1213</v>
      </c>
      <c r="Q320" s="3">
        <v>2025</v>
      </c>
      <c r="R320" s="6" t="s">
        <v>44</v>
      </c>
      <c r="S320" s="6" t="s">
        <v>45</v>
      </c>
      <c r="T320" s="4" t="s">
        <v>1282</v>
      </c>
      <c r="Y320" t="s">
        <v>47</v>
      </c>
    </row>
    <row r="321" spans="1:25" ht="21.6">
      <c r="A321">
        <v>227</v>
      </c>
      <c r="B321" s="2" t="s">
        <v>1274</v>
      </c>
      <c r="C321" s="19" t="s">
        <v>1275</v>
      </c>
      <c r="D321" s="44" t="s">
        <v>311</v>
      </c>
      <c r="E321" s="2" t="s">
        <v>52</v>
      </c>
      <c r="F321" s="68" t="s">
        <v>1276</v>
      </c>
      <c r="G321" s="48" t="s">
        <v>1277</v>
      </c>
      <c r="J321" s="6" t="s">
        <v>145</v>
      </c>
      <c r="K321" s="6" t="s">
        <v>1278</v>
      </c>
      <c r="L321" s="3" t="s">
        <v>40</v>
      </c>
      <c r="M321" s="16" t="s">
        <v>1212</v>
      </c>
      <c r="N321" s="3" t="str">
        <f t="shared" si="5"/>
        <v>1  Year</v>
      </c>
      <c r="O321" s="3" t="s">
        <v>42</v>
      </c>
      <c r="P321" s="3" t="s">
        <v>1213</v>
      </c>
      <c r="Q321" s="3">
        <v>2025</v>
      </c>
      <c r="R321" s="6" t="s">
        <v>44</v>
      </c>
      <c r="S321" s="6" t="s">
        <v>45</v>
      </c>
      <c r="T321" s="4" t="s">
        <v>1282</v>
      </c>
      <c r="Y321" t="s">
        <v>47</v>
      </c>
    </row>
    <row r="322" spans="1:25" ht="42">
      <c r="A322">
        <v>228</v>
      </c>
      <c r="B322" s="2" t="s">
        <v>1304</v>
      </c>
      <c r="C322" s="19" t="s">
        <v>1305</v>
      </c>
      <c r="D322" s="44" t="s">
        <v>1306</v>
      </c>
      <c r="E322" s="2" t="s">
        <v>52</v>
      </c>
      <c r="F322" s="68" t="s">
        <v>1307</v>
      </c>
      <c r="G322" s="48" t="s">
        <v>1308</v>
      </c>
      <c r="J322" s="6" t="s">
        <v>88</v>
      </c>
      <c r="K322" s="6" t="s">
        <v>1309</v>
      </c>
      <c r="L322" s="3"/>
      <c r="M322" s="16" t="s">
        <v>1212</v>
      </c>
      <c r="N322" s="3" t="str">
        <f t="shared" si="5"/>
        <v/>
      </c>
      <c r="O322" s="3" t="s">
        <v>42</v>
      </c>
      <c r="P322" s="3" t="s">
        <v>1213</v>
      </c>
      <c r="Q322" s="3">
        <v>2025</v>
      </c>
      <c r="R322" s="6" t="s">
        <v>80</v>
      </c>
      <c r="S322" s="6" t="s">
        <v>45</v>
      </c>
      <c r="T322" t="s">
        <v>1287</v>
      </c>
      <c r="Y322" t="s">
        <v>47</v>
      </c>
    </row>
    <row r="323" spans="1:25" ht="21.6">
      <c r="A323">
        <v>229</v>
      </c>
      <c r="B323" s="2" t="s">
        <v>1310</v>
      </c>
      <c r="C323" s="19" t="s">
        <v>1311</v>
      </c>
      <c r="D323" s="44" t="s">
        <v>114</v>
      </c>
      <c r="E323" s="2" t="s">
        <v>182</v>
      </c>
      <c r="F323" s="68" t="s">
        <v>744</v>
      </c>
      <c r="G323" s="48" t="s">
        <v>745</v>
      </c>
      <c r="J323" s="6" t="s">
        <v>145</v>
      </c>
      <c r="K323" s="6" t="s">
        <v>1312</v>
      </c>
      <c r="L323" s="3" t="s">
        <v>40</v>
      </c>
      <c r="M323" s="16" t="s">
        <v>1212</v>
      </c>
      <c r="N323" s="3" t="str">
        <f t="shared" si="5"/>
        <v>1  Year</v>
      </c>
      <c r="O323" s="3" t="s">
        <v>202</v>
      </c>
      <c r="P323" s="3" t="s">
        <v>1213</v>
      </c>
      <c r="Q323" s="3">
        <v>2025</v>
      </c>
      <c r="R323" s="6" t="s">
        <v>44</v>
      </c>
      <c r="S323" s="6" t="s">
        <v>45</v>
      </c>
      <c r="T323" s="4" t="s">
        <v>1313</v>
      </c>
      <c r="Y323" t="s">
        <v>47</v>
      </c>
    </row>
    <row r="324" spans="1:25" ht="21.6">
      <c r="A324">
        <v>230</v>
      </c>
      <c r="B324" s="2" t="s">
        <v>1314</v>
      </c>
      <c r="C324" s="19" t="s">
        <v>1315</v>
      </c>
      <c r="D324" s="44" t="s">
        <v>114</v>
      </c>
      <c r="E324" s="2" t="s">
        <v>182</v>
      </c>
      <c r="F324" s="68" t="s">
        <v>744</v>
      </c>
      <c r="G324" s="48" t="s">
        <v>745</v>
      </c>
      <c r="J324" s="6" t="s">
        <v>145</v>
      </c>
      <c r="K324" s="6" t="s">
        <v>1316</v>
      </c>
      <c r="L324" s="3"/>
      <c r="M324" s="16" t="s">
        <v>1212</v>
      </c>
      <c r="N324" s="3" t="str">
        <f t="shared" ref="N324:N387" si="6">IF(L324="New","1  Year",IF(L324="Promotional","15 Weeks",IF(L324="Revalidation","2 Years","")))</f>
        <v/>
      </c>
      <c r="O324" s="3" t="s">
        <v>202</v>
      </c>
      <c r="P324" s="3" t="s">
        <v>1213</v>
      </c>
      <c r="Q324" s="3">
        <v>2025</v>
      </c>
      <c r="R324" s="6" t="s">
        <v>44</v>
      </c>
      <c r="S324" s="6" t="s">
        <v>45</v>
      </c>
      <c r="T324" t="s">
        <v>1287</v>
      </c>
      <c r="Y324" t="s">
        <v>47</v>
      </c>
    </row>
    <row r="325" spans="1:25" ht="21.6">
      <c r="A325">
        <v>231</v>
      </c>
      <c r="B325" s="2" t="s">
        <v>1317</v>
      </c>
      <c r="C325" s="19" t="s">
        <v>1318</v>
      </c>
      <c r="D325" s="44" t="s">
        <v>114</v>
      </c>
      <c r="E325" s="2" t="s">
        <v>182</v>
      </c>
      <c r="F325" s="68" t="s">
        <v>744</v>
      </c>
      <c r="G325" s="48" t="s">
        <v>745</v>
      </c>
      <c r="J325" s="6" t="s">
        <v>145</v>
      </c>
      <c r="K325" s="6" t="s">
        <v>1319</v>
      </c>
      <c r="L325" s="3" t="s">
        <v>40</v>
      </c>
      <c r="M325" s="16" t="s">
        <v>1212</v>
      </c>
      <c r="N325" s="3" t="str">
        <f t="shared" si="6"/>
        <v>1  Year</v>
      </c>
      <c r="O325" s="3" t="s">
        <v>202</v>
      </c>
      <c r="P325" s="3" t="s">
        <v>1213</v>
      </c>
      <c r="Q325" s="3">
        <v>2025</v>
      </c>
      <c r="R325" s="6" t="s">
        <v>44</v>
      </c>
      <c r="S325" s="6" t="s">
        <v>45</v>
      </c>
      <c r="T325" s="4" t="s">
        <v>1320</v>
      </c>
      <c r="Y325" t="s">
        <v>47</v>
      </c>
    </row>
    <row r="326" spans="1:25" ht="21.6">
      <c r="A326">
        <v>232</v>
      </c>
      <c r="B326" s="2" t="s">
        <v>1321</v>
      </c>
      <c r="C326" s="19" t="s">
        <v>1322</v>
      </c>
      <c r="D326" s="44" t="s">
        <v>114</v>
      </c>
      <c r="E326" s="2" t="s">
        <v>182</v>
      </c>
      <c r="F326" s="68" t="s">
        <v>744</v>
      </c>
      <c r="G326" s="48" t="s">
        <v>745</v>
      </c>
      <c r="J326" s="6" t="s">
        <v>145</v>
      </c>
      <c r="K326" s="6" t="s">
        <v>1323</v>
      </c>
      <c r="L326" s="3" t="s">
        <v>40</v>
      </c>
      <c r="M326" s="16" t="s">
        <v>1212</v>
      </c>
      <c r="N326" s="3" t="str">
        <f t="shared" si="6"/>
        <v>1  Year</v>
      </c>
      <c r="O326" s="3" t="s">
        <v>202</v>
      </c>
      <c r="P326" s="3" t="s">
        <v>1213</v>
      </c>
      <c r="Q326" s="3">
        <v>2025</v>
      </c>
      <c r="R326" s="6" t="s">
        <v>44</v>
      </c>
      <c r="S326" s="6" t="s">
        <v>45</v>
      </c>
      <c r="T326" s="4" t="s">
        <v>1324</v>
      </c>
      <c r="Y326" t="s">
        <v>47</v>
      </c>
    </row>
    <row r="327" spans="1:25" ht="21.6">
      <c r="A327">
        <v>233</v>
      </c>
      <c r="B327" s="2" t="s">
        <v>1325</v>
      </c>
      <c r="C327" s="19" t="s">
        <v>1326</v>
      </c>
      <c r="D327" s="44" t="s">
        <v>1327</v>
      </c>
      <c r="E327" s="2" t="s">
        <v>182</v>
      </c>
      <c r="F327" s="68" t="s">
        <v>966</v>
      </c>
      <c r="G327" s="48" t="s">
        <v>1210</v>
      </c>
      <c r="J327" s="6" t="s">
        <v>48</v>
      </c>
      <c r="K327" s="6" t="s">
        <v>1328</v>
      </c>
      <c r="L327" s="3" t="s">
        <v>40</v>
      </c>
      <c r="M327" s="16" t="s">
        <v>1212</v>
      </c>
      <c r="N327" s="3" t="str">
        <f t="shared" si="6"/>
        <v>1  Year</v>
      </c>
      <c r="O327" s="3" t="s">
        <v>202</v>
      </c>
      <c r="P327" s="3" t="s">
        <v>1213</v>
      </c>
      <c r="Q327" s="3">
        <v>2025</v>
      </c>
      <c r="R327" s="6" t="s">
        <v>80</v>
      </c>
      <c r="S327" s="6" t="s">
        <v>45</v>
      </c>
      <c r="T327" s="5" t="s">
        <v>1329</v>
      </c>
      <c r="Y327" t="s">
        <v>47</v>
      </c>
    </row>
    <row r="328" spans="1:25" ht="21.6">
      <c r="A328">
        <v>233</v>
      </c>
      <c r="B328" s="2" t="s">
        <v>1325</v>
      </c>
      <c r="C328" s="19" t="s">
        <v>1326</v>
      </c>
      <c r="D328" s="44" t="s">
        <v>1327</v>
      </c>
      <c r="E328" s="2" t="s">
        <v>182</v>
      </c>
      <c r="F328" s="68" t="s">
        <v>966</v>
      </c>
      <c r="G328" s="48" t="s">
        <v>1210</v>
      </c>
      <c r="J328" s="6" t="s">
        <v>145</v>
      </c>
      <c r="K328" s="6" t="s">
        <v>1328</v>
      </c>
      <c r="L328" s="3" t="s">
        <v>40</v>
      </c>
      <c r="M328" s="16" t="s">
        <v>1212</v>
      </c>
      <c r="N328" s="3" t="str">
        <f t="shared" si="6"/>
        <v>1  Year</v>
      </c>
      <c r="O328" s="3" t="s">
        <v>202</v>
      </c>
      <c r="P328" s="3" t="s">
        <v>1213</v>
      </c>
      <c r="Q328" s="3">
        <v>2025</v>
      </c>
      <c r="R328" s="6" t="s">
        <v>80</v>
      </c>
      <c r="S328" s="6" t="s">
        <v>45</v>
      </c>
      <c r="T328" s="5" t="s">
        <v>1329</v>
      </c>
      <c r="Y328" t="s">
        <v>47</v>
      </c>
    </row>
    <row r="329" spans="1:25" ht="21.6">
      <c r="A329">
        <v>234</v>
      </c>
      <c r="B329" s="2" t="s">
        <v>1330</v>
      </c>
      <c r="C329" s="19">
        <v>571638</v>
      </c>
      <c r="D329" s="44" t="s">
        <v>1331</v>
      </c>
      <c r="E329" s="2" t="s">
        <v>182</v>
      </c>
      <c r="F329" s="68" t="s">
        <v>966</v>
      </c>
      <c r="G329" s="48" t="s">
        <v>1210</v>
      </c>
      <c r="J329" s="6" t="s">
        <v>88</v>
      </c>
      <c r="K329" s="6" t="s">
        <v>1332</v>
      </c>
      <c r="L329" s="3" t="s">
        <v>40</v>
      </c>
      <c r="M329" s="16" t="s">
        <v>1212</v>
      </c>
      <c r="N329" s="3" t="str">
        <f t="shared" si="6"/>
        <v>1  Year</v>
      </c>
      <c r="O329" s="3" t="s">
        <v>202</v>
      </c>
      <c r="P329" s="3" t="s">
        <v>1213</v>
      </c>
      <c r="Q329" s="3">
        <v>2025</v>
      </c>
      <c r="R329" s="6" t="s">
        <v>80</v>
      </c>
      <c r="S329" s="6" t="s">
        <v>45</v>
      </c>
      <c r="T329" s="5" t="s">
        <v>1333</v>
      </c>
      <c r="Y329" t="s">
        <v>47</v>
      </c>
    </row>
    <row r="330" spans="1:25" ht="21.6">
      <c r="A330">
        <v>234</v>
      </c>
      <c r="B330" s="2" t="s">
        <v>1330</v>
      </c>
      <c r="C330" s="19">
        <v>571638</v>
      </c>
      <c r="D330" s="44" t="s">
        <v>1331</v>
      </c>
      <c r="E330" s="2" t="s">
        <v>182</v>
      </c>
      <c r="F330" s="68" t="s">
        <v>966</v>
      </c>
      <c r="G330" s="48" t="s">
        <v>1210</v>
      </c>
      <c r="J330" s="6" t="s">
        <v>48</v>
      </c>
      <c r="K330" s="6" t="s">
        <v>1332</v>
      </c>
      <c r="L330" s="3" t="s">
        <v>40</v>
      </c>
      <c r="M330" s="16" t="s">
        <v>1212</v>
      </c>
      <c r="N330" s="3" t="str">
        <f t="shared" si="6"/>
        <v>1  Year</v>
      </c>
      <c r="O330" s="3" t="s">
        <v>202</v>
      </c>
      <c r="P330" s="3" t="s">
        <v>1213</v>
      </c>
      <c r="Q330" s="3">
        <v>2025</v>
      </c>
      <c r="R330" s="6" t="s">
        <v>80</v>
      </c>
      <c r="S330" s="6" t="s">
        <v>45</v>
      </c>
      <c r="T330" s="5" t="s">
        <v>1333</v>
      </c>
      <c r="Y330" t="s">
        <v>47</v>
      </c>
    </row>
    <row r="331" spans="1:25" ht="21.6">
      <c r="A331">
        <v>234</v>
      </c>
      <c r="B331" s="2" t="s">
        <v>1330</v>
      </c>
      <c r="C331" s="19">
        <v>571638</v>
      </c>
      <c r="D331" s="44" t="s">
        <v>1331</v>
      </c>
      <c r="E331" s="2" t="s">
        <v>182</v>
      </c>
      <c r="F331" s="68" t="s">
        <v>966</v>
      </c>
      <c r="G331" s="48" t="s">
        <v>1210</v>
      </c>
      <c r="J331" s="6" t="s">
        <v>145</v>
      </c>
      <c r="K331" s="6" t="s">
        <v>1332</v>
      </c>
      <c r="L331" s="3" t="s">
        <v>40</v>
      </c>
      <c r="M331" s="16" t="s">
        <v>1212</v>
      </c>
      <c r="N331" s="3" t="str">
        <f t="shared" si="6"/>
        <v>1  Year</v>
      </c>
      <c r="O331" s="3" t="s">
        <v>202</v>
      </c>
      <c r="P331" s="3" t="s">
        <v>1213</v>
      </c>
      <c r="Q331" s="3">
        <v>2025</v>
      </c>
      <c r="R331" s="6" t="s">
        <v>80</v>
      </c>
      <c r="S331" s="6" t="s">
        <v>45</v>
      </c>
      <c r="T331" s="5" t="s">
        <v>1333</v>
      </c>
      <c r="Y331" t="s">
        <v>47</v>
      </c>
    </row>
    <row r="332" spans="1:25" ht="21.6">
      <c r="A332">
        <v>235</v>
      </c>
      <c r="B332" s="2" t="s">
        <v>1334</v>
      </c>
      <c r="C332" s="19">
        <v>880632</v>
      </c>
      <c r="D332" s="44" t="s">
        <v>1331</v>
      </c>
      <c r="E332" s="2" t="s">
        <v>182</v>
      </c>
      <c r="F332" s="68" t="s">
        <v>966</v>
      </c>
      <c r="G332" s="48" t="s">
        <v>1210</v>
      </c>
      <c r="J332" s="6" t="s">
        <v>48</v>
      </c>
      <c r="K332" s="6" t="s">
        <v>1335</v>
      </c>
      <c r="L332" s="3" t="s">
        <v>40</v>
      </c>
      <c r="M332" s="16" t="s">
        <v>1212</v>
      </c>
      <c r="N332" s="3" t="str">
        <f t="shared" si="6"/>
        <v>1  Year</v>
      </c>
      <c r="O332" s="3" t="s">
        <v>202</v>
      </c>
      <c r="P332" s="3" t="s">
        <v>1213</v>
      </c>
      <c r="Q332" s="3">
        <v>2025</v>
      </c>
      <c r="R332" s="6" t="s">
        <v>80</v>
      </c>
      <c r="S332" s="6" t="s">
        <v>45</v>
      </c>
      <c r="T332" s="4" t="s">
        <v>1336</v>
      </c>
      <c r="Y332" t="s">
        <v>47</v>
      </c>
    </row>
    <row r="333" spans="1:25" ht="21.6">
      <c r="A333">
        <v>235</v>
      </c>
      <c r="B333" s="2" t="s">
        <v>1334</v>
      </c>
      <c r="C333" s="19">
        <v>880632</v>
      </c>
      <c r="D333" s="44" t="s">
        <v>1331</v>
      </c>
      <c r="E333" s="2" t="s">
        <v>182</v>
      </c>
      <c r="F333" s="68" t="s">
        <v>966</v>
      </c>
      <c r="G333" s="48" t="s">
        <v>1210</v>
      </c>
      <c r="J333" s="6" t="s">
        <v>88</v>
      </c>
      <c r="K333" s="6" t="s">
        <v>1335</v>
      </c>
      <c r="L333" s="3" t="s">
        <v>40</v>
      </c>
      <c r="M333" s="16" t="s">
        <v>1212</v>
      </c>
      <c r="N333" s="3" t="str">
        <f t="shared" si="6"/>
        <v>1  Year</v>
      </c>
      <c r="O333" s="3" t="s">
        <v>202</v>
      </c>
      <c r="P333" s="3" t="s">
        <v>1213</v>
      </c>
      <c r="Q333" s="3">
        <v>2025</v>
      </c>
      <c r="R333" s="6" t="s">
        <v>80</v>
      </c>
      <c r="S333" s="6" t="s">
        <v>45</v>
      </c>
      <c r="T333" s="4" t="s">
        <v>1336</v>
      </c>
      <c r="Y333" t="s">
        <v>47</v>
      </c>
    </row>
    <row r="334" spans="1:25" ht="31.8">
      <c r="A334">
        <v>236</v>
      </c>
      <c r="B334" s="2" t="s">
        <v>1337</v>
      </c>
      <c r="C334" s="19" t="s">
        <v>1338</v>
      </c>
      <c r="D334" s="44" t="s">
        <v>1339</v>
      </c>
      <c r="E334" s="2" t="s">
        <v>182</v>
      </c>
      <c r="F334" s="68" t="s">
        <v>908</v>
      </c>
      <c r="G334" s="48" t="s">
        <v>1340</v>
      </c>
      <c r="J334" s="6" t="s">
        <v>48</v>
      </c>
      <c r="K334" s="6" t="s">
        <v>1341</v>
      </c>
      <c r="L334" s="3" t="s">
        <v>40</v>
      </c>
      <c r="M334" s="16" t="s">
        <v>1212</v>
      </c>
      <c r="N334" s="3" t="str">
        <f t="shared" si="6"/>
        <v>1  Year</v>
      </c>
      <c r="O334" s="3" t="s">
        <v>202</v>
      </c>
      <c r="P334" s="3" t="s">
        <v>1213</v>
      </c>
      <c r="Q334" s="3">
        <v>2025</v>
      </c>
      <c r="R334" s="6" t="s">
        <v>80</v>
      </c>
      <c r="S334" s="6" t="s">
        <v>1342</v>
      </c>
      <c r="T334" s="5" t="s">
        <v>1343</v>
      </c>
      <c r="Y334" t="s">
        <v>47</v>
      </c>
    </row>
    <row r="335" spans="1:25" ht="28.8">
      <c r="A335">
        <v>237</v>
      </c>
      <c r="B335" s="2" t="s">
        <v>1344</v>
      </c>
      <c r="C335" s="19" t="s">
        <v>874</v>
      </c>
      <c r="D335" s="44" t="s">
        <v>1345</v>
      </c>
      <c r="E335" s="2" t="s">
        <v>182</v>
      </c>
      <c r="F335" s="68" t="s">
        <v>197</v>
      </c>
      <c r="G335" s="48" t="s">
        <v>1346</v>
      </c>
      <c r="J335" s="6" t="s">
        <v>92</v>
      </c>
      <c r="K335" s="6" t="s">
        <v>1347</v>
      </c>
      <c r="L335" s="3" t="s">
        <v>40</v>
      </c>
      <c r="M335" s="16" t="s">
        <v>1212</v>
      </c>
      <c r="N335" s="3" t="str">
        <f t="shared" si="6"/>
        <v>1  Year</v>
      </c>
      <c r="O335" s="3" t="s">
        <v>202</v>
      </c>
      <c r="P335" s="3" t="s">
        <v>1213</v>
      </c>
      <c r="Q335" s="3">
        <v>2025</v>
      </c>
      <c r="R335" s="6" t="s">
        <v>80</v>
      </c>
      <c r="S335" s="6" t="s">
        <v>45</v>
      </c>
      <c r="T335" s="5" t="s">
        <v>1348</v>
      </c>
      <c r="Y335" t="s">
        <v>47</v>
      </c>
    </row>
    <row r="336" spans="1:25" ht="31.8">
      <c r="A336">
        <v>238</v>
      </c>
      <c r="B336" s="2" t="s">
        <v>1349</v>
      </c>
      <c r="C336" s="19" t="s">
        <v>1350</v>
      </c>
      <c r="D336" s="44" t="s">
        <v>1339</v>
      </c>
      <c r="E336" s="2" t="s">
        <v>182</v>
      </c>
      <c r="F336" s="68" t="s">
        <v>1351</v>
      </c>
      <c r="G336" s="48" t="s">
        <v>1352</v>
      </c>
      <c r="J336" s="6" t="s">
        <v>92</v>
      </c>
      <c r="K336" s="6" t="s">
        <v>1353</v>
      </c>
      <c r="L336" s="3" t="s">
        <v>802</v>
      </c>
      <c r="M336" s="16" t="s">
        <v>1212</v>
      </c>
      <c r="N336" s="3" t="str">
        <f t="shared" si="6"/>
        <v>15 Weeks</v>
      </c>
      <c r="O336" s="3" t="s">
        <v>202</v>
      </c>
      <c r="P336" s="3" t="s">
        <v>1213</v>
      </c>
      <c r="Q336" s="3">
        <v>2025</v>
      </c>
      <c r="R336" s="6" t="s">
        <v>1354</v>
      </c>
      <c r="S336" s="6" t="s">
        <v>1355</v>
      </c>
      <c r="T336" s="5" t="s">
        <v>1356</v>
      </c>
      <c r="Y336" t="s">
        <v>47</v>
      </c>
    </row>
    <row r="337" spans="1:25" ht="21.6">
      <c r="A337">
        <v>239</v>
      </c>
      <c r="B337" s="2" t="s">
        <v>1357</v>
      </c>
      <c r="C337" s="19" t="s">
        <v>1358</v>
      </c>
      <c r="D337" s="44" t="s">
        <v>732</v>
      </c>
      <c r="E337" s="2" t="s">
        <v>182</v>
      </c>
      <c r="F337" s="68" t="s">
        <v>1351</v>
      </c>
      <c r="G337" s="48" t="s">
        <v>1352</v>
      </c>
      <c r="J337" s="6" t="s">
        <v>145</v>
      </c>
      <c r="K337" s="6" t="s">
        <v>1359</v>
      </c>
      <c r="L337" s="3" t="s">
        <v>40</v>
      </c>
      <c r="M337" s="16" t="s">
        <v>1212</v>
      </c>
      <c r="N337" s="3" t="str">
        <f t="shared" si="6"/>
        <v>1  Year</v>
      </c>
      <c r="O337" s="3" t="s">
        <v>202</v>
      </c>
      <c r="P337" s="3" t="s">
        <v>1213</v>
      </c>
      <c r="Q337" s="3">
        <v>2025</v>
      </c>
      <c r="R337" s="6" t="s">
        <v>80</v>
      </c>
      <c r="S337" s="6" t="s">
        <v>45</v>
      </c>
      <c r="T337" s="4" t="s">
        <v>1360</v>
      </c>
      <c r="Y337" t="s">
        <v>47</v>
      </c>
    </row>
    <row r="338" spans="1:25" ht="28.8">
      <c r="A338">
        <v>240</v>
      </c>
      <c r="B338" s="2" t="s">
        <v>1361</v>
      </c>
      <c r="C338" s="19" t="s">
        <v>1362</v>
      </c>
      <c r="D338" s="44" t="s">
        <v>1363</v>
      </c>
      <c r="E338" s="2" t="s">
        <v>182</v>
      </c>
      <c r="F338" s="68" t="s">
        <v>1351</v>
      </c>
      <c r="G338" s="48" t="s">
        <v>1352</v>
      </c>
      <c r="J338" s="6" t="s">
        <v>145</v>
      </c>
      <c r="K338" s="6" t="s">
        <v>1364</v>
      </c>
      <c r="L338" s="3" t="s">
        <v>40</v>
      </c>
      <c r="M338" s="16" t="s">
        <v>1212</v>
      </c>
      <c r="N338" s="3" t="str">
        <f t="shared" si="6"/>
        <v>1  Year</v>
      </c>
      <c r="O338" s="3" t="s">
        <v>202</v>
      </c>
      <c r="P338" s="3" t="s">
        <v>1213</v>
      </c>
      <c r="Q338" s="3">
        <v>2025</v>
      </c>
      <c r="R338" s="6" t="s">
        <v>80</v>
      </c>
      <c r="S338" s="6" t="s">
        <v>45</v>
      </c>
      <c r="T338" s="5" t="s">
        <v>1365</v>
      </c>
      <c r="Y338" t="s">
        <v>47</v>
      </c>
    </row>
    <row r="339" spans="1:25" ht="28.8">
      <c r="A339">
        <v>241</v>
      </c>
      <c r="B339" s="2" t="s">
        <v>1366</v>
      </c>
      <c r="C339" s="19" t="s">
        <v>1148</v>
      </c>
      <c r="D339" s="44" t="s">
        <v>1149</v>
      </c>
      <c r="E339" s="2" t="s">
        <v>182</v>
      </c>
      <c r="F339" s="68" t="s">
        <v>908</v>
      </c>
      <c r="G339" s="48" t="s">
        <v>1340</v>
      </c>
      <c r="J339" s="6" t="s">
        <v>48</v>
      </c>
      <c r="K339" s="6" t="s">
        <v>1367</v>
      </c>
      <c r="L339" s="3" t="s">
        <v>40</v>
      </c>
      <c r="M339" s="16" t="s">
        <v>1212</v>
      </c>
      <c r="N339" s="3" t="str">
        <f t="shared" si="6"/>
        <v>1  Year</v>
      </c>
      <c r="O339" s="3" t="s">
        <v>202</v>
      </c>
      <c r="P339" s="3" t="s">
        <v>1213</v>
      </c>
      <c r="Q339" s="3">
        <v>2025</v>
      </c>
      <c r="R339" s="6" t="s">
        <v>80</v>
      </c>
      <c r="S339" s="6" t="s">
        <v>1368</v>
      </c>
      <c r="T339" s="5" t="s">
        <v>1369</v>
      </c>
      <c r="Y339" t="s">
        <v>47</v>
      </c>
    </row>
    <row r="340" spans="1:25" ht="28.8">
      <c r="A340">
        <v>242</v>
      </c>
      <c r="B340" s="2" t="s">
        <v>1370</v>
      </c>
      <c r="C340" s="19" t="s">
        <v>1371</v>
      </c>
      <c r="D340" s="44" t="s">
        <v>119</v>
      </c>
      <c r="E340" s="2" t="s">
        <v>52</v>
      </c>
      <c r="F340" s="68" t="s">
        <v>1372</v>
      </c>
      <c r="G340" s="48" t="s">
        <v>1373</v>
      </c>
      <c r="H340" s="5" t="s">
        <v>1374</v>
      </c>
      <c r="I340" s="117" t="s">
        <v>1375</v>
      </c>
      <c r="J340" s="6" t="s">
        <v>57</v>
      </c>
      <c r="K340" s="6" t="s">
        <v>1376</v>
      </c>
      <c r="L340" s="3" t="s">
        <v>40</v>
      </c>
      <c r="M340" s="16" t="s">
        <v>1377</v>
      </c>
      <c r="N340" s="3" t="str">
        <f t="shared" si="6"/>
        <v>1  Year</v>
      </c>
      <c r="O340" s="3" t="s">
        <v>42</v>
      </c>
      <c r="P340" s="3" t="s">
        <v>1378</v>
      </c>
      <c r="Q340" s="3">
        <v>2026</v>
      </c>
      <c r="R340" s="6" t="s">
        <v>44</v>
      </c>
      <c r="S340" s="6" t="s">
        <v>45</v>
      </c>
      <c r="T340" s="4" t="s">
        <v>1379</v>
      </c>
      <c r="Y340" t="s">
        <v>47</v>
      </c>
    </row>
    <row r="341" spans="1:25" ht="28.8">
      <c r="A341">
        <v>243</v>
      </c>
      <c r="B341" s="2" t="s">
        <v>1380</v>
      </c>
      <c r="C341" s="19" t="s">
        <v>1381</v>
      </c>
      <c r="D341" s="44" t="s">
        <v>548</v>
      </c>
      <c r="E341" s="2" t="s">
        <v>52</v>
      </c>
      <c r="F341" s="68" t="s">
        <v>1372</v>
      </c>
      <c r="G341" s="48" t="s">
        <v>1373</v>
      </c>
      <c r="H341" s="5" t="s">
        <v>1374</v>
      </c>
      <c r="I341" s="117" t="s">
        <v>1375</v>
      </c>
      <c r="J341" s="6" t="s">
        <v>57</v>
      </c>
      <c r="K341" s="6" t="s">
        <v>1382</v>
      </c>
      <c r="L341" s="3" t="s">
        <v>40</v>
      </c>
      <c r="M341" s="16" t="s">
        <v>1377</v>
      </c>
      <c r="N341" s="3" t="str">
        <f t="shared" si="6"/>
        <v>1  Year</v>
      </c>
      <c r="O341" s="3" t="s">
        <v>42</v>
      </c>
      <c r="P341" s="3" t="s">
        <v>1378</v>
      </c>
      <c r="Q341" s="3">
        <v>2026</v>
      </c>
      <c r="R341" s="6" t="s">
        <v>44</v>
      </c>
      <c r="S341" s="6" t="s">
        <v>45</v>
      </c>
      <c r="T341" s="5" t="s">
        <v>1383</v>
      </c>
      <c r="Y341" t="s">
        <v>47</v>
      </c>
    </row>
    <row r="342" spans="1:25" ht="28.8">
      <c r="A342">
        <v>244</v>
      </c>
      <c r="B342" s="2" t="s">
        <v>1384</v>
      </c>
      <c r="C342" s="19" t="s">
        <v>1385</v>
      </c>
      <c r="D342" s="44" t="s">
        <v>621</v>
      </c>
      <c r="E342" s="2" t="s">
        <v>52</v>
      </c>
      <c r="F342" s="68" t="s">
        <v>1372</v>
      </c>
      <c r="G342" s="48" t="s">
        <v>1373</v>
      </c>
      <c r="H342" s="5" t="s">
        <v>1374</v>
      </c>
      <c r="I342" s="117" t="s">
        <v>1375</v>
      </c>
      <c r="J342" s="6" t="s">
        <v>57</v>
      </c>
      <c r="K342" s="6" t="s">
        <v>1386</v>
      </c>
      <c r="L342" s="3"/>
      <c r="M342" s="16" t="s">
        <v>1377</v>
      </c>
      <c r="N342" s="3" t="str">
        <f t="shared" si="6"/>
        <v/>
      </c>
      <c r="O342" s="3" t="s">
        <v>42</v>
      </c>
      <c r="P342" s="3" t="s">
        <v>1378</v>
      </c>
      <c r="Q342" s="3">
        <v>2026</v>
      </c>
      <c r="R342" s="6" t="s">
        <v>44</v>
      </c>
      <c r="S342" s="6" t="s">
        <v>45</v>
      </c>
      <c r="Y342" t="s">
        <v>47</v>
      </c>
    </row>
    <row r="343" spans="1:25" ht="28.8">
      <c r="A343">
        <v>245</v>
      </c>
      <c r="B343" s="2" t="s">
        <v>1387</v>
      </c>
      <c r="C343" s="19">
        <v>2767900</v>
      </c>
      <c r="D343" s="44" t="s">
        <v>1388</v>
      </c>
      <c r="E343" s="2" t="s">
        <v>52</v>
      </c>
      <c r="F343" s="68" t="s">
        <v>1372</v>
      </c>
      <c r="G343" s="48" t="s">
        <v>1373</v>
      </c>
      <c r="H343" s="5" t="s">
        <v>1374</v>
      </c>
      <c r="I343" s="117" t="s">
        <v>1375</v>
      </c>
      <c r="J343" s="6" t="s">
        <v>57</v>
      </c>
      <c r="K343" s="6" t="s">
        <v>1389</v>
      </c>
      <c r="L343" s="3" t="s">
        <v>40</v>
      </c>
      <c r="M343" s="16" t="s">
        <v>1377</v>
      </c>
      <c r="N343" s="3" t="str">
        <f t="shared" si="6"/>
        <v>1  Year</v>
      </c>
      <c r="O343" s="3" t="s">
        <v>42</v>
      </c>
      <c r="P343" s="3" t="s">
        <v>1378</v>
      </c>
      <c r="Q343" s="3">
        <v>2026</v>
      </c>
      <c r="R343" s="6" t="s">
        <v>44</v>
      </c>
      <c r="S343" s="6" t="s">
        <v>45</v>
      </c>
      <c r="T343" s="4" t="s">
        <v>1390</v>
      </c>
      <c r="Y343" t="s">
        <v>47</v>
      </c>
    </row>
    <row r="344" spans="1:25" ht="28.8">
      <c r="A344">
        <v>246</v>
      </c>
      <c r="B344" s="2" t="s">
        <v>1391</v>
      </c>
      <c r="C344" s="19" t="s">
        <v>1392</v>
      </c>
      <c r="D344" s="44" t="s">
        <v>621</v>
      </c>
      <c r="E344" s="2" t="s">
        <v>52</v>
      </c>
      <c r="F344" s="68" t="s">
        <v>1372</v>
      </c>
      <c r="G344" s="48" t="s">
        <v>1373</v>
      </c>
      <c r="H344" s="5" t="s">
        <v>1374</v>
      </c>
      <c r="I344" s="117" t="s">
        <v>1375</v>
      </c>
      <c r="J344" s="6" t="s">
        <v>57</v>
      </c>
      <c r="K344" s="6" t="s">
        <v>1393</v>
      </c>
      <c r="L344" s="3"/>
      <c r="M344" s="16" t="s">
        <v>1377</v>
      </c>
      <c r="N344" s="3" t="str">
        <f t="shared" si="6"/>
        <v/>
      </c>
      <c r="O344" s="3" t="s">
        <v>42</v>
      </c>
      <c r="P344" s="3" t="s">
        <v>1378</v>
      </c>
      <c r="Q344" s="3">
        <v>2026</v>
      </c>
      <c r="R344" s="6" t="s">
        <v>44</v>
      </c>
      <c r="S344" s="6" t="s">
        <v>45</v>
      </c>
      <c r="T344" s="4" t="s">
        <v>1394</v>
      </c>
      <c r="Y344" t="s">
        <v>47</v>
      </c>
    </row>
    <row r="345" spans="1:25" ht="28.8">
      <c r="A345">
        <v>247</v>
      </c>
      <c r="B345" s="2" t="s">
        <v>1395</v>
      </c>
      <c r="C345" s="19" t="s">
        <v>1396</v>
      </c>
      <c r="D345" s="44" t="s">
        <v>962</v>
      </c>
      <c r="E345" s="2" t="s">
        <v>52</v>
      </c>
      <c r="F345" s="68" t="s">
        <v>1372</v>
      </c>
      <c r="G345" s="48" t="s">
        <v>1373</v>
      </c>
      <c r="H345" s="5" t="s">
        <v>1374</v>
      </c>
      <c r="I345" s="117" t="s">
        <v>1375</v>
      </c>
      <c r="J345" s="6" t="s">
        <v>57</v>
      </c>
      <c r="K345" s="6" t="s">
        <v>1397</v>
      </c>
      <c r="L345" s="3"/>
      <c r="M345" s="16" t="s">
        <v>1377</v>
      </c>
      <c r="N345" s="3" t="str">
        <f t="shared" si="6"/>
        <v/>
      </c>
      <c r="O345" s="3" t="s">
        <v>42</v>
      </c>
      <c r="P345" s="3" t="s">
        <v>1378</v>
      </c>
      <c r="Q345" s="3">
        <v>2026</v>
      </c>
      <c r="R345" s="6" t="s">
        <v>44</v>
      </c>
      <c r="S345" s="6" t="s">
        <v>45</v>
      </c>
      <c r="T345" s="4" t="s">
        <v>1398</v>
      </c>
      <c r="Y345" t="s">
        <v>47</v>
      </c>
    </row>
    <row r="346" spans="1:25" ht="28.8">
      <c r="A346">
        <v>248</v>
      </c>
      <c r="B346" s="2" t="s">
        <v>1399</v>
      </c>
      <c r="C346" s="19" t="s">
        <v>1400</v>
      </c>
      <c r="D346" s="44" t="s">
        <v>1388</v>
      </c>
      <c r="E346" s="2" t="s">
        <v>52</v>
      </c>
      <c r="F346" s="68" t="s">
        <v>1372</v>
      </c>
      <c r="G346" s="48" t="s">
        <v>1373</v>
      </c>
      <c r="H346" s="5" t="s">
        <v>1374</v>
      </c>
      <c r="I346" s="117" t="s">
        <v>1375</v>
      </c>
      <c r="J346" s="6" t="s">
        <v>57</v>
      </c>
      <c r="K346" s="6" t="s">
        <v>1401</v>
      </c>
      <c r="L346" s="3"/>
      <c r="M346" s="16" t="s">
        <v>1377</v>
      </c>
      <c r="N346" s="3" t="str">
        <f t="shared" si="6"/>
        <v/>
      </c>
      <c r="O346" s="3" t="s">
        <v>42</v>
      </c>
      <c r="P346" s="3" t="s">
        <v>1378</v>
      </c>
      <c r="Q346" s="3">
        <v>2026</v>
      </c>
      <c r="R346" s="6" t="s">
        <v>44</v>
      </c>
      <c r="S346" s="6" t="s">
        <v>45</v>
      </c>
      <c r="Y346" t="s">
        <v>47</v>
      </c>
    </row>
    <row r="347" spans="1:25" ht="28.8">
      <c r="A347">
        <v>249</v>
      </c>
      <c r="B347" s="2" t="s">
        <v>1402</v>
      </c>
      <c r="C347" s="19" t="s">
        <v>1403</v>
      </c>
      <c r="D347" s="44" t="s">
        <v>962</v>
      </c>
      <c r="E347" s="2" t="s">
        <v>52</v>
      </c>
      <c r="F347" s="68" t="s">
        <v>1372</v>
      </c>
      <c r="G347" s="48" t="s">
        <v>1373</v>
      </c>
      <c r="H347" s="76" t="s">
        <v>1374</v>
      </c>
      <c r="I347" s="117" t="s">
        <v>1375</v>
      </c>
      <c r="J347" s="6" t="s">
        <v>57</v>
      </c>
      <c r="K347" s="6" t="s">
        <v>1404</v>
      </c>
      <c r="L347" s="3" t="s">
        <v>40</v>
      </c>
      <c r="M347" s="16" t="s">
        <v>1377</v>
      </c>
      <c r="N347" s="3" t="str">
        <f t="shared" si="6"/>
        <v>1  Year</v>
      </c>
      <c r="O347" s="3" t="s">
        <v>42</v>
      </c>
      <c r="P347" s="3" t="s">
        <v>1378</v>
      </c>
      <c r="Q347" s="3">
        <v>2026</v>
      </c>
      <c r="R347" s="6" t="s">
        <v>44</v>
      </c>
      <c r="S347" s="6" t="s">
        <v>45</v>
      </c>
      <c r="T347" s="4" t="s">
        <v>1405</v>
      </c>
      <c r="Y347" t="s">
        <v>47</v>
      </c>
    </row>
    <row r="348" spans="1:25" ht="28.8">
      <c r="A348">
        <v>250</v>
      </c>
      <c r="B348" s="2" t="s">
        <v>1406</v>
      </c>
      <c r="C348" s="19" t="s">
        <v>1407</v>
      </c>
      <c r="D348" s="44" t="s">
        <v>262</v>
      </c>
      <c r="E348" s="2" t="s">
        <v>52</v>
      </c>
      <c r="F348" s="68" t="s">
        <v>1372</v>
      </c>
      <c r="G348" s="48" t="s">
        <v>1373</v>
      </c>
      <c r="H348" s="5" t="s">
        <v>1374</v>
      </c>
      <c r="I348" s="117" t="s">
        <v>1375</v>
      </c>
      <c r="J348" s="6" t="s">
        <v>57</v>
      </c>
      <c r="K348" s="6" t="s">
        <v>1408</v>
      </c>
      <c r="L348" s="3" t="s">
        <v>40</v>
      </c>
      <c r="M348" s="16" t="s">
        <v>1377</v>
      </c>
      <c r="N348" s="3" t="str">
        <f t="shared" si="6"/>
        <v>1  Year</v>
      </c>
      <c r="O348" s="3" t="s">
        <v>42</v>
      </c>
      <c r="P348" s="3" t="s">
        <v>1378</v>
      </c>
      <c r="Q348" s="3">
        <v>2026</v>
      </c>
      <c r="R348" s="6" t="s">
        <v>44</v>
      </c>
      <c r="S348" s="6" t="s">
        <v>45</v>
      </c>
      <c r="T348" s="4" t="s">
        <v>1409</v>
      </c>
      <c r="Y348" t="s">
        <v>47</v>
      </c>
    </row>
    <row r="349" spans="1:25" ht="31.8">
      <c r="A349">
        <v>251</v>
      </c>
      <c r="B349" s="2" t="s">
        <v>1410</v>
      </c>
      <c r="C349" s="19" t="s">
        <v>1411</v>
      </c>
      <c r="D349" s="44" t="s">
        <v>1388</v>
      </c>
      <c r="E349" s="2" t="s">
        <v>52</v>
      </c>
      <c r="F349" s="68" t="s">
        <v>1372</v>
      </c>
      <c r="G349" s="48" t="s">
        <v>1373</v>
      </c>
      <c r="H349" s="76" t="s">
        <v>1374</v>
      </c>
      <c r="I349" s="117" t="s">
        <v>1375</v>
      </c>
      <c r="J349" s="6" t="s">
        <v>57</v>
      </c>
      <c r="K349" s="6" t="s">
        <v>1412</v>
      </c>
      <c r="L349" s="3" t="s">
        <v>40</v>
      </c>
      <c r="M349" s="16" t="s">
        <v>1377</v>
      </c>
      <c r="N349" s="3" t="str">
        <f t="shared" si="6"/>
        <v>1  Year</v>
      </c>
      <c r="O349" s="3" t="s">
        <v>42</v>
      </c>
      <c r="P349" s="3" t="s">
        <v>1378</v>
      </c>
      <c r="Q349" s="3">
        <v>2026</v>
      </c>
      <c r="R349" s="6" t="s">
        <v>44</v>
      </c>
      <c r="S349" s="6" t="s">
        <v>45</v>
      </c>
      <c r="T349" s="4" t="s">
        <v>1413</v>
      </c>
      <c r="Y349" t="s">
        <v>47</v>
      </c>
    </row>
    <row r="350" spans="1:25" ht="28.8">
      <c r="A350">
        <v>252</v>
      </c>
      <c r="B350" s="2" t="s">
        <v>1414</v>
      </c>
      <c r="C350" s="19" t="s">
        <v>1415</v>
      </c>
      <c r="D350" s="44" t="s">
        <v>621</v>
      </c>
      <c r="E350" s="2" t="s">
        <v>52</v>
      </c>
      <c r="F350" s="68" t="s">
        <v>1372</v>
      </c>
      <c r="G350" s="48" t="s">
        <v>1373</v>
      </c>
      <c r="H350" s="5" t="s">
        <v>1374</v>
      </c>
      <c r="I350" s="117" t="s">
        <v>1375</v>
      </c>
      <c r="J350" s="6" t="s">
        <v>57</v>
      </c>
      <c r="K350" s="6" t="s">
        <v>1416</v>
      </c>
      <c r="L350" s="3"/>
      <c r="M350" s="16" t="s">
        <v>1377</v>
      </c>
      <c r="N350" s="3" t="str">
        <f t="shared" si="6"/>
        <v/>
      </c>
      <c r="O350" s="3" t="s">
        <v>42</v>
      </c>
      <c r="P350" s="3" t="s">
        <v>1378</v>
      </c>
      <c r="Q350" s="3">
        <v>2026</v>
      </c>
      <c r="R350" s="6" t="s">
        <v>44</v>
      </c>
      <c r="S350" s="6" t="s">
        <v>45</v>
      </c>
      <c r="T350" s="4" t="s">
        <v>1417</v>
      </c>
      <c r="Y350" t="s">
        <v>47</v>
      </c>
    </row>
    <row r="351" spans="1:25" ht="28.8">
      <c r="A351">
        <v>253</v>
      </c>
      <c r="B351" s="2" t="s">
        <v>1418</v>
      </c>
      <c r="C351" s="19" t="s">
        <v>1419</v>
      </c>
      <c r="D351" s="44" t="s">
        <v>962</v>
      </c>
      <c r="E351" s="2" t="s">
        <v>52</v>
      </c>
      <c r="F351" s="68" t="s">
        <v>1372</v>
      </c>
      <c r="G351" s="48" t="s">
        <v>1373</v>
      </c>
      <c r="H351" s="76" t="s">
        <v>1374</v>
      </c>
      <c r="I351" s="117" t="s">
        <v>1375</v>
      </c>
      <c r="J351" s="6" t="s">
        <v>57</v>
      </c>
      <c r="K351" s="6" t="s">
        <v>1420</v>
      </c>
      <c r="L351" s="3"/>
      <c r="M351" s="16" t="s">
        <v>1377</v>
      </c>
      <c r="N351" s="3" t="str">
        <f t="shared" si="6"/>
        <v/>
      </c>
      <c r="O351" s="3" t="s">
        <v>42</v>
      </c>
      <c r="P351" s="3" t="s">
        <v>1378</v>
      </c>
      <c r="Q351" s="3">
        <v>2026</v>
      </c>
      <c r="R351" s="6" t="s">
        <v>44</v>
      </c>
      <c r="S351" s="6" t="s">
        <v>45</v>
      </c>
      <c r="T351" s="4" t="s">
        <v>1421</v>
      </c>
      <c r="Y351" t="s">
        <v>47</v>
      </c>
    </row>
    <row r="352" spans="1:25" ht="28.8">
      <c r="A352">
        <v>254</v>
      </c>
      <c r="B352" s="2" t="s">
        <v>1422</v>
      </c>
      <c r="C352" s="19" t="s">
        <v>1423</v>
      </c>
      <c r="D352" s="44" t="s">
        <v>262</v>
      </c>
      <c r="E352" s="2" t="s">
        <v>52</v>
      </c>
      <c r="F352" s="68" t="s">
        <v>1372</v>
      </c>
      <c r="G352" s="48" t="s">
        <v>1373</v>
      </c>
      <c r="H352" s="5" t="s">
        <v>1374</v>
      </c>
      <c r="I352" s="117" t="s">
        <v>1375</v>
      </c>
      <c r="J352" s="6" t="s">
        <v>57</v>
      </c>
      <c r="K352" s="6" t="s">
        <v>1424</v>
      </c>
      <c r="L352" s="3"/>
      <c r="M352" s="16" t="s">
        <v>1377</v>
      </c>
      <c r="N352" s="3" t="str">
        <f t="shared" si="6"/>
        <v/>
      </c>
      <c r="O352" s="3" t="s">
        <v>42</v>
      </c>
      <c r="P352" s="3" t="s">
        <v>1378</v>
      </c>
      <c r="Q352" s="3">
        <v>2026</v>
      </c>
      <c r="R352" s="6" t="s">
        <v>44</v>
      </c>
      <c r="S352" s="6" t="s">
        <v>45</v>
      </c>
      <c r="T352" s="4" t="s">
        <v>1425</v>
      </c>
      <c r="Y352" t="s">
        <v>47</v>
      </c>
    </row>
    <row r="353" spans="1:29" ht="28.8">
      <c r="A353">
        <v>255</v>
      </c>
      <c r="B353" s="2" t="s">
        <v>1426</v>
      </c>
      <c r="C353" s="19" t="s">
        <v>1427</v>
      </c>
      <c r="D353" s="44" t="s">
        <v>1388</v>
      </c>
      <c r="E353" s="2" t="s">
        <v>52</v>
      </c>
      <c r="F353" s="68" t="s">
        <v>1372</v>
      </c>
      <c r="G353" s="48" t="s">
        <v>1373</v>
      </c>
      <c r="H353" s="5" t="s">
        <v>1374</v>
      </c>
      <c r="I353" s="117" t="s">
        <v>1375</v>
      </c>
      <c r="J353" s="6" t="s">
        <v>57</v>
      </c>
      <c r="K353" s="6" t="s">
        <v>1428</v>
      </c>
      <c r="L353" s="3"/>
      <c r="M353" s="16" t="s">
        <v>1377</v>
      </c>
      <c r="N353" s="3" t="str">
        <f t="shared" si="6"/>
        <v/>
      </c>
      <c r="O353" s="3" t="s">
        <v>42</v>
      </c>
      <c r="P353" s="3" t="s">
        <v>1378</v>
      </c>
      <c r="Q353" s="3">
        <v>2026</v>
      </c>
      <c r="R353" s="6" t="s">
        <v>44</v>
      </c>
      <c r="S353" s="6" t="s">
        <v>45</v>
      </c>
      <c r="T353" s="4" t="s">
        <v>1429</v>
      </c>
      <c r="Y353" t="s">
        <v>47</v>
      </c>
    </row>
    <row r="354" spans="1:29" ht="28.8">
      <c r="A354">
        <v>256</v>
      </c>
      <c r="B354" s="2" t="s">
        <v>1430</v>
      </c>
      <c r="C354" s="19" t="s">
        <v>1431</v>
      </c>
      <c r="D354" s="44" t="s">
        <v>262</v>
      </c>
      <c r="E354" s="2" t="s">
        <v>52</v>
      </c>
      <c r="F354" s="68" t="s">
        <v>1372</v>
      </c>
      <c r="G354" s="48" t="s">
        <v>1373</v>
      </c>
      <c r="H354" s="5" t="s">
        <v>1374</v>
      </c>
      <c r="I354" s="117" t="s">
        <v>1375</v>
      </c>
      <c r="J354" s="6" t="s">
        <v>57</v>
      </c>
      <c r="K354" s="6" t="s">
        <v>1432</v>
      </c>
      <c r="L354" s="3"/>
      <c r="M354" s="16" t="s">
        <v>1377</v>
      </c>
      <c r="N354" s="3" t="str">
        <f t="shared" si="6"/>
        <v/>
      </c>
      <c r="O354" s="3" t="s">
        <v>42</v>
      </c>
      <c r="P354" s="3" t="s">
        <v>1378</v>
      </c>
      <c r="Q354" s="3">
        <v>2026</v>
      </c>
      <c r="R354" s="6" t="s">
        <v>44</v>
      </c>
      <c r="S354" s="6" t="s">
        <v>45</v>
      </c>
      <c r="T354" s="4" t="s">
        <v>1433</v>
      </c>
      <c r="Y354" t="s">
        <v>47</v>
      </c>
    </row>
    <row r="355" spans="1:29" ht="28.8">
      <c r="A355">
        <v>257</v>
      </c>
      <c r="B355" s="7" t="s">
        <v>1434</v>
      </c>
      <c r="C355" s="19" t="s">
        <v>1435</v>
      </c>
      <c r="D355" s="44" t="s">
        <v>621</v>
      </c>
      <c r="E355" s="2" t="s">
        <v>52</v>
      </c>
      <c r="F355" s="68" t="s">
        <v>1372</v>
      </c>
      <c r="G355" s="48" t="s">
        <v>1373</v>
      </c>
      <c r="H355" s="5" t="s">
        <v>1374</v>
      </c>
      <c r="I355" s="117" t="s">
        <v>1375</v>
      </c>
      <c r="J355" s="6" t="s">
        <v>57</v>
      </c>
      <c r="K355" s="6" t="s">
        <v>1436</v>
      </c>
      <c r="L355" s="3"/>
      <c r="M355" s="16" t="s">
        <v>1377</v>
      </c>
      <c r="N355" s="3" t="str">
        <f t="shared" si="6"/>
        <v/>
      </c>
      <c r="O355" s="3" t="s">
        <v>42</v>
      </c>
      <c r="P355" s="3" t="s">
        <v>1378</v>
      </c>
      <c r="Q355" s="3">
        <v>2026</v>
      </c>
      <c r="R355" s="6" t="s">
        <v>44</v>
      </c>
      <c r="S355" s="6" t="s">
        <v>45</v>
      </c>
      <c r="T355" s="4" t="s">
        <v>1437</v>
      </c>
      <c r="Y355" t="s">
        <v>47</v>
      </c>
    </row>
    <row r="356" spans="1:29" ht="21.6">
      <c r="A356">
        <v>258</v>
      </c>
      <c r="B356" s="7" t="s">
        <v>1438</v>
      </c>
      <c r="C356" s="19" t="s">
        <v>1439</v>
      </c>
      <c r="D356" s="44" t="s">
        <v>1440</v>
      </c>
      <c r="E356" s="2" t="s">
        <v>33</v>
      </c>
      <c r="F356" s="68" t="s">
        <v>1441</v>
      </c>
      <c r="G356" s="48" t="s">
        <v>1442</v>
      </c>
      <c r="H356" s="5" t="s">
        <v>1443</v>
      </c>
      <c r="J356" s="6" t="s">
        <v>48</v>
      </c>
      <c r="K356" s="6" t="s">
        <v>1444</v>
      </c>
      <c r="L356" s="3"/>
      <c r="M356" s="16" t="s">
        <v>1377</v>
      </c>
      <c r="N356" s="3" t="str">
        <f t="shared" si="6"/>
        <v/>
      </c>
      <c r="O356" s="3" t="s">
        <v>42</v>
      </c>
      <c r="P356" s="3" t="s">
        <v>1378</v>
      </c>
      <c r="Q356" s="3">
        <v>2026</v>
      </c>
      <c r="R356" s="6" t="s">
        <v>44</v>
      </c>
      <c r="S356" s="6" t="s">
        <v>45</v>
      </c>
      <c r="T356" s="4" t="s">
        <v>1445</v>
      </c>
      <c r="Y356" t="s">
        <v>47</v>
      </c>
    </row>
    <row r="357" spans="1:29" ht="21.6">
      <c r="A357">
        <v>259</v>
      </c>
      <c r="B357" s="2" t="s">
        <v>1446</v>
      </c>
      <c r="C357" s="19" t="s">
        <v>1447</v>
      </c>
      <c r="D357" s="44" t="s">
        <v>548</v>
      </c>
      <c r="E357" s="2" t="s">
        <v>33</v>
      </c>
      <c r="F357" s="68" t="s">
        <v>1448</v>
      </c>
      <c r="G357" s="48" t="s">
        <v>1449</v>
      </c>
      <c r="I357" s="117" t="s">
        <v>1450</v>
      </c>
      <c r="J357" s="6" t="s">
        <v>88</v>
      </c>
      <c r="K357" s="6" t="s">
        <v>1451</v>
      </c>
      <c r="L357" s="3"/>
      <c r="M357" s="16" t="s">
        <v>1377</v>
      </c>
      <c r="N357" s="3" t="str">
        <f t="shared" si="6"/>
        <v/>
      </c>
      <c r="O357" s="3" t="s">
        <v>42</v>
      </c>
      <c r="P357" s="3" t="s">
        <v>1378</v>
      </c>
      <c r="Q357" s="3">
        <v>2026</v>
      </c>
      <c r="R357" s="6" t="s">
        <v>80</v>
      </c>
      <c r="S357" s="6" t="s">
        <v>1452</v>
      </c>
      <c r="T357" s="4" t="s">
        <v>1453</v>
      </c>
      <c r="Y357" t="s">
        <v>47</v>
      </c>
    </row>
    <row r="358" spans="1:29" ht="21.6">
      <c r="A358">
        <v>259</v>
      </c>
      <c r="B358" s="2" t="s">
        <v>1446</v>
      </c>
      <c r="C358" s="19" t="s">
        <v>1447</v>
      </c>
      <c r="D358" s="44" t="s">
        <v>548</v>
      </c>
      <c r="E358" s="2" t="s">
        <v>33</v>
      </c>
      <c r="F358" s="68" t="s">
        <v>1448</v>
      </c>
      <c r="G358" s="48" t="s">
        <v>1449</v>
      </c>
      <c r="I358" s="117" t="s">
        <v>1450</v>
      </c>
      <c r="J358" s="6" t="s">
        <v>92</v>
      </c>
      <c r="K358" s="6" t="s">
        <v>1451</v>
      </c>
      <c r="L358" s="3"/>
      <c r="M358" s="16" t="s">
        <v>1377</v>
      </c>
      <c r="N358" s="3" t="str">
        <f t="shared" si="6"/>
        <v/>
      </c>
      <c r="O358" s="3" t="s">
        <v>42</v>
      </c>
      <c r="P358" s="3" t="s">
        <v>1378</v>
      </c>
      <c r="Q358" s="3">
        <v>2026</v>
      </c>
      <c r="R358" s="6" t="s">
        <v>80</v>
      </c>
      <c r="S358" s="6" t="s">
        <v>1452</v>
      </c>
      <c r="T358" s="4" t="s">
        <v>1453</v>
      </c>
      <c r="Y358" t="s">
        <v>47</v>
      </c>
    </row>
    <row r="359" spans="1:29" ht="21.6">
      <c r="A359">
        <v>260</v>
      </c>
      <c r="B359" s="2" t="s">
        <v>1454</v>
      </c>
      <c r="C359" s="19" t="s">
        <v>1455</v>
      </c>
      <c r="D359" s="44" t="s">
        <v>32</v>
      </c>
      <c r="E359" s="133" t="s">
        <v>33</v>
      </c>
      <c r="F359" s="68" t="s">
        <v>1456</v>
      </c>
      <c r="G359" s="48" t="s">
        <v>1457</v>
      </c>
      <c r="H359" s="5" t="s">
        <v>537</v>
      </c>
      <c r="I359" s="117" t="s">
        <v>1458</v>
      </c>
      <c r="J359" s="6" t="s">
        <v>88</v>
      </c>
      <c r="K359" s="6" t="s">
        <v>1459</v>
      </c>
      <c r="L359" s="3"/>
      <c r="M359" s="16" t="s">
        <v>1377</v>
      </c>
      <c r="N359" s="3" t="str">
        <f t="shared" si="6"/>
        <v/>
      </c>
      <c r="O359" s="3" t="s">
        <v>42</v>
      </c>
      <c r="P359" s="3" t="s">
        <v>1378</v>
      </c>
      <c r="Q359" s="3">
        <v>2026</v>
      </c>
      <c r="R359" s="6" t="s">
        <v>80</v>
      </c>
      <c r="S359" s="6" t="s">
        <v>45</v>
      </c>
      <c r="T359" s="4" t="s">
        <v>1460</v>
      </c>
      <c r="Y359" t="s">
        <v>47</v>
      </c>
    </row>
    <row r="360" spans="1:29" ht="21.6">
      <c r="A360">
        <v>260</v>
      </c>
      <c r="B360" s="2" t="s">
        <v>1461</v>
      </c>
      <c r="C360" s="19" t="s">
        <v>1455</v>
      </c>
      <c r="D360" s="44" t="s">
        <v>32</v>
      </c>
      <c r="E360" s="2" t="s">
        <v>33</v>
      </c>
      <c r="F360" s="68" t="s">
        <v>1456</v>
      </c>
      <c r="G360" s="48" t="s">
        <v>1457</v>
      </c>
      <c r="H360" s="5" t="s">
        <v>537</v>
      </c>
      <c r="I360" s="117" t="s">
        <v>1458</v>
      </c>
      <c r="J360" s="6" t="s">
        <v>145</v>
      </c>
      <c r="K360" s="6" t="s">
        <v>1459</v>
      </c>
      <c r="L360" s="3"/>
      <c r="M360" s="16" t="s">
        <v>1377</v>
      </c>
      <c r="N360" s="3" t="str">
        <f t="shared" si="6"/>
        <v/>
      </c>
      <c r="O360" s="3" t="s">
        <v>42</v>
      </c>
      <c r="P360" s="3" t="s">
        <v>1378</v>
      </c>
      <c r="Q360" s="3">
        <v>2026</v>
      </c>
      <c r="R360" s="6" t="s">
        <v>80</v>
      </c>
      <c r="S360" s="6" t="s">
        <v>45</v>
      </c>
      <c r="T360" s="4" t="s">
        <v>1460</v>
      </c>
      <c r="U360" t="s">
        <v>162</v>
      </c>
      <c r="W360" t="s">
        <v>1462</v>
      </c>
      <c r="X360" t="s">
        <v>163</v>
      </c>
      <c r="Y360" t="s">
        <v>103</v>
      </c>
      <c r="AB360" t="s">
        <v>105</v>
      </c>
      <c r="AC360" t="s">
        <v>815</v>
      </c>
    </row>
    <row r="361" spans="1:29" ht="21.6">
      <c r="A361">
        <v>261</v>
      </c>
      <c r="B361" s="2" t="s">
        <v>1463</v>
      </c>
      <c r="C361" s="19" t="s">
        <v>1464</v>
      </c>
      <c r="D361" s="44" t="s">
        <v>1465</v>
      </c>
      <c r="E361" s="2" t="s">
        <v>33</v>
      </c>
      <c r="F361" s="68" t="s">
        <v>1466</v>
      </c>
      <c r="G361" s="48" t="s">
        <v>1467</v>
      </c>
      <c r="J361" s="6" t="s">
        <v>88</v>
      </c>
      <c r="K361" s="6" t="s">
        <v>1468</v>
      </c>
      <c r="L361" s="3" t="s">
        <v>40</v>
      </c>
      <c r="M361" s="16" t="s">
        <v>1377</v>
      </c>
      <c r="N361" s="3" t="str">
        <f t="shared" si="6"/>
        <v>1  Year</v>
      </c>
      <c r="O361" s="3" t="s">
        <v>42</v>
      </c>
      <c r="P361" s="3" t="s">
        <v>1378</v>
      </c>
      <c r="Q361" s="3">
        <v>2026</v>
      </c>
      <c r="R361" s="6" t="s">
        <v>80</v>
      </c>
      <c r="S361" s="6" t="s">
        <v>356</v>
      </c>
      <c r="T361" s="4" t="s">
        <v>1469</v>
      </c>
      <c r="Y361" t="s">
        <v>47</v>
      </c>
    </row>
    <row r="362" spans="1:29" ht="21.6">
      <c r="A362">
        <v>261</v>
      </c>
      <c r="B362" s="2" t="s">
        <v>1463</v>
      </c>
      <c r="C362" s="19" t="s">
        <v>1464</v>
      </c>
      <c r="D362" s="44" t="s">
        <v>1465</v>
      </c>
      <c r="E362" s="2" t="s">
        <v>33</v>
      </c>
      <c r="F362" s="68" t="s">
        <v>1466</v>
      </c>
      <c r="G362" s="48" t="s">
        <v>1467</v>
      </c>
      <c r="J362" s="6" t="s">
        <v>92</v>
      </c>
      <c r="K362" s="6" t="s">
        <v>1468</v>
      </c>
      <c r="L362" s="3" t="s">
        <v>40</v>
      </c>
      <c r="M362" s="16" t="s">
        <v>1377</v>
      </c>
      <c r="N362" s="3" t="str">
        <f t="shared" si="6"/>
        <v>1  Year</v>
      </c>
      <c r="O362" s="3" t="s">
        <v>42</v>
      </c>
      <c r="P362" s="3" t="s">
        <v>1378</v>
      </c>
      <c r="Q362" s="3">
        <v>2026</v>
      </c>
      <c r="R362" s="6" t="s">
        <v>80</v>
      </c>
      <c r="S362" s="6" t="s">
        <v>356</v>
      </c>
      <c r="T362" s="4" t="s">
        <v>1469</v>
      </c>
      <c r="Y362" t="s">
        <v>47</v>
      </c>
    </row>
    <row r="363" spans="1:29" ht="21.6">
      <c r="A363">
        <v>262</v>
      </c>
      <c r="B363" s="7" t="s">
        <v>1470</v>
      </c>
      <c r="C363" s="19" t="s">
        <v>1471</v>
      </c>
      <c r="D363" s="44" t="s">
        <v>1472</v>
      </c>
      <c r="E363" s="2" t="s">
        <v>33</v>
      </c>
      <c r="F363" s="68" t="s">
        <v>966</v>
      </c>
      <c r="G363" s="48" t="s">
        <v>1210</v>
      </c>
      <c r="H363" s="5" t="s">
        <v>1473</v>
      </c>
      <c r="I363" s="117" t="s">
        <v>1474</v>
      </c>
      <c r="J363" s="6" t="s">
        <v>88</v>
      </c>
      <c r="K363" s="6" t="s">
        <v>1475</v>
      </c>
      <c r="L363" s="3" t="s">
        <v>40</v>
      </c>
      <c r="M363" s="16" t="s">
        <v>1377</v>
      </c>
      <c r="N363" s="3" t="str">
        <f t="shared" si="6"/>
        <v>1  Year</v>
      </c>
      <c r="O363" s="3" t="s">
        <v>42</v>
      </c>
      <c r="P363" s="3" t="s">
        <v>1378</v>
      </c>
      <c r="Q363" s="3">
        <v>2026</v>
      </c>
      <c r="R363" s="6" t="s">
        <v>80</v>
      </c>
      <c r="S363" s="6" t="s">
        <v>45</v>
      </c>
      <c r="T363" s="4" t="s">
        <v>1214</v>
      </c>
      <c r="Y363" t="s">
        <v>47</v>
      </c>
    </row>
    <row r="364" spans="1:29" ht="21.6">
      <c r="A364">
        <v>262</v>
      </c>
      <c r="B364" s="7" t="s">
        <v>1470</v>
      </c>
      <c r="C364" s="19" t="s">
        <v>1471</v>
      </c>
      <c r="D364" s="44" t="s">
        <v>1472</v>
      </c>
      <c r="E364" s="2" t="s">
        <v>33</v>
      </c>
      <c r="F364" s="68" t="s">
        <v>966</v>
      </c>
      <c r="G364" s="48" t="s">
        <v>1210</v>
      </c>
      <c r="H364" s="5" t="s">
        <v>1473</v>
      </c>
      <c r="I364" s="117" t="s">
        <v>1474</v>
      </c>
      <c r="J364" s="6" t="s">
        <v>145</v>
      </c>
      <c r="K364" s="6" t="s">
        <v>1475</v>
      </c>
      <c r="L364" s="3" t="s">
        <v>40</v>
      </c>
      <c r="M364" s="16" t="s">
        <v>1377</v>
      </c>
      <c r="N364" s="3" t="str">
        <f t="shared" si="6"/>
        <v>1  Year</v>
      </c>
      <c r="O364" s="3" t="s">
        <v>42</v>
      </c>
      <c r="P364" s="3" t="s">
        <v>1378</v>
      </c>
      <c r="Q364" s="3">
        <v>2026</v>
      </c>
      <c r="R364" s="6" t="s">
        <v>80</v>
      </c>
      <c r="S364" s="6" t="s">
        <v>45</v>
      </c>
      <c r="T364" s="4" t="s">
        <v>1214</v>
      </c>
      <c r="Y364" t="s">
        <v>47</v>
      </c>
    </row>
    <row r="365" spans="1:29" ht="28.8">
      <c r="A365">
        <v>263</v>
      </c>
      <c r="B365" s="2" t="s">
        <v>1476</v>
      </c>
      <c r="C365" s="19" t="s">
        <v>1477</v>
      </c>
      <c r="D365" s="44" t="s">
        <v>1478</v>
      </c>
      <c r="E365" s="2" t="s">
        <v>52</v>
      </c>
      <c r="F365" s="68" t="s">
        <v>1479</v>
      </c>
      <c r="G365" s="48" t="s">
        <v>1480</v>
      </c>
      <c r="H365" s="5" t="s">
        <v>1481</v>
      </c>
      <c r="I365" s="117" t="s">
        <v>1482</v>
      </c>
      <c r="J365" s="6" t="s">
        <v>57</v>
      </c>
      <c r="K365" s="6" t="s">
        <v>1483</v>
      </c>
      <c r="L365" s="3" t="s">
        <v>40</v>
      </c>
      <c r="M365" s="16" t="s">
        <v>1377</v>
      </c>
      <c r="N365" s="3" t="str">
        <f t="shared" si="6"/>
        <v>1  Year</v>
      </c>
      <c r="O365" s="3" t="s">
        <v>42</v>
      </c>
      <c r="P365" s="3" t="s">
        <v>1378</v>
      </c>
      <c r="Q365" s="3">
        <v>2026</v>
      </c>
      <c r="R365" s="6" t="s">
        <v>80</v>
      </c>
      <c r="S365" s="6" t="s">
        <v>45</v>
      </c>
      <c r="T365" s="5" t="s">
        <v>1484</v>
      </c>
      <c r="Y365" t="s">
        <v>47</v>
      </c>
    </row>
    <row r="366" spans="1:29" ht="28.8">
      <c r="A366">
        <v>263</v>
      </c>
      <c r="B366" s="2" t="s">
        <v>1476</v>
      </c>
      <c r="C366" s="19" t="s">
        <v>1477</v>
      </c>
      <c r="D366" s="44" t="s">
        <v>1478</v>
      </c>
      <c r="E366" s="2" t="s">
        <v>52</v>
      </c>
      <c r="F366" s="68" t="s">
        <v>1479</v>
      </c>
      <c r="G366" s="48" t="s">
        <v>1480</v>
      </c>
      <c r="H366" s="5" t="s">
        <v>1481</v>
      </c>
      <c r="I366" s="117" t="s">
        <v>1482</v>
      </c>
      <c r="J366" s="6" t="s">
        <v>124</v>
      </c>
      <c r="K366" s="6" t="s">
        <v>1483</v>
      </c>
      <c r="L366" s="3" t="s">
        <v>40</v>
      </c>
      <c r="M366" s="16" t="s">
        <v>1377</v>
      </c>
      <c r="N366" s="3" t="str">
        <f t="shared" si="6"/>
        <v>1  Year</v>
      </c>
      <c r="O366" s="3" t="s">
        <v>42</v>
      </c>
      <c r="P366" s="3" t="s">
        <v>1378</v>
      </c>
      <c r="Q366" s="3">
        <v>2026</v>
      </c>
      <c r="R366" s="6" t="s">
        <v>80</v>
      </c>
      <c r="S366" s="6" t="s">
        <v>45</v>
      </c>
      <c r="T366" s="5" t="s">
        <v>1484</v>
      </c>
      <c r="Y366" t="s">
        <v>47</v>
      </c>
    </row>
    <row r="367" spans="1:29" ht="28.8">
      <c r="A367">
        <v>264</v>
      </c>
      <c r="B367" s="2" t="s">
        <v>1485</v>
      </c>
      <c r="C367" s="19" t="s">
        <v>1486</v>
      </c>
      <c r="D367" s="44" t="s">
        <v>1487</v>
      </c>
      <c r="E367" s="2" t="s">
        <v>52</v>
      </c>
      <c r="F367" s="68" t="s">
        <v>1479</v>
      </c>
      <c r="G367" s="48" t="s">
        <v>1480</v>
      </c>
      <c r="H367" s="5" t="s">
        <v>1488</v>
      </c>
      <c r="I367" s="117" t="s">
        <v>1482</v>
      </c>
      <c r="J367" s="6" t="s">
        <v>57</v>
      </c>
      <c r="K367" s="6" t="s">
        <v>1489</v>
      </c>
      <c r="L367" s="3" t="s">
        <v>40</v>
      </c>
      <c r="M367" s="16" t="s">
        <v>1377</v>
      </c>
      <c r="N367" s="3" t="str">
        <f t="shared" si="6"/>
        <v>1  Year</v>
      </c>
      <c r="O367" s="3" t="s">
        <v>42</v>
      </c>
      <c r="P367" s="3" t="s">
        <v>1378</v>
      </c>
      <c r="Q367" s="3">
        <v>2026</v>
      </c>
      <c r="R367" s="6" t="s">
        <v>80</v>
      </c>
      <c r="S367" s="6" t="s">
        <v>45</v>
      </c>
      <c r="T367" s="5" t="s">
        <v>1490</v>
      </c>
      <c r="Y367" t="s">
        <v>47</v>
      </c>
    </row>
    <row r="368" spans="1:29" ht="28.8">
      <c r="A368">
        <v>265</v>
      </c>
      <c r="B368" s="2" t="s">
        <v>1485</v>
      </c>
      <c r="C368" s="19" t="s">
        <v>1486</v>
      </c>
      <c r="D368" s="44" t="s">
        <v>1487</v>
      </c>
      <c r="E368" s="2" t="s">
        <v>52</v>
      </c>
      <c r="F368" s="68" t="s">
        <v>1479</v>
      </c>
      <c r="G368" s="48" t="s">
        <v>1480</v>
      </c>
      <c r="H368" s="5" t="s">
        <v>1488</v>
      </c>
      <c r="I368" s="117" t="s">
        <v>1482</v>
      </c>
      <c r="J368" s="6" t="s">
        <v>124</v>
      </c>
      <c r="K368" s="6" t="s">
        <v>1491</v>
      </c>
      <c r="L368" s="3" t="s">
        <v>40</v>
      </c>
      <c r="M368" s="16" t="s">
        <v>1377</v>
      </c>
      <c r="N368" s="3" t="str">
        <f t="shared" si="6"/>
        <v>1  Year</v>
      </c>
      <c r="O368" s="3" t="s">
        <v>42</v>
      </c>
      <c r="P368" s="3" t="s">
        <v>1378</v>
      </c>
      <c r="Q368" s="3">
        <v>2026</v>
      </c>
      <c r="R368" s="6" t="s">
        <v>80</v>
      </c>
      <c r="S368" s="6" t="s">
        <v>45</v>
      </c>
      <c r="T368" s="5" t="s">
        <v>1490</v>
      </c>
      <c r="Y368" t="s">
        <v>47</v>
      </c>
    </row>
    <row r="369" spans="1:28" ht="21.6">
      <c r="A369">
        <v>266</v>
      </c>
      <c r="B369" s="2" t="s">
        <v>1492</v>
      </c>
      <c r="C369" s="19" t="s">
        <v>1493</v>
      </c>
      <c r="D369" s="44" t="s">
        <v>621</v>
      </c>
      <c r="E369" s="2" t="s">
        <v>52</v>
      </c>
      <c r="F369" s="68" t="s">
        <v>120</v>
      </c>
      <c r="G369" s="48" t="s">
        <v>1494</v>
      </c>
      <c r="H369" s="5" t="s">
        <v>122</v>
      </c>
      <c r="I369" s="117" t="s">
        <v>1495</v>
      </c>
      <c r="J369" s="6" t="s">
        <v>1081</v>
      </c>
      <c r="K369" s="6" t="s">
        <v>1496</v>
      </c>
      <c r="L369" s="3" t="s">
        <v>40</v>
      </c>
      <c r="M369" s="16" t="s">
        <v>1377</v>
      </c>
      <c r="N369" s="3" t="str">
        <f t="shared" si="6"/>
        <v>1  Year</v>
      </c>
      <c r="O369" s="3" t="s">
        <v>42</v>
      </c>
      <c r="P369" s="3" t="s">
        <v>1378</v>
      </c>
      <c r="Q369" s="3">
        <v>2026</v>
      </c>
      <c r="R369" s="6" t="s">
        <v>80</v>
      </c>
      <c r="S369" s="6" t="s">
        <v>45</v>
      </c>
      <c r="T369" s="4" t="s">
        <v>1497</v>
      </c>
      <c r="Y369" t="s">
        <v>47</v>
      </c>
    </row>
    <row r="370" spans="1:28" ht="31.8">
      <c r="A370">
        <v>267</v>
      </c>
      <c r="B370" s="7" t="s">
        <v>1498</v>
      </c>
      <c r="C370" s="19" t="s">
        <v>1000</v>
      </c>
      <c r="D370" s="44" t="s">
        <v>1499</v>
      </c>
      <c r="E370" s="2" t="s">
        <v>52</v>
      </c>
      <c r="F370" s="68" t="s">
        <v>120</v>
      </c>
      <c r="G370" s="48" t="s">
        <v>1494</v>
      </c>
      <c r="H370" s="5" t="s">
        <v>122</v>
      </c>
      <c r="I370" s="117" t="s">
        <v>1495</v>
      </c>
      <c r="J370" s="6" t="s">
        <v>1081</v>
      </c>
      <c r="K370" s="6" t="s">
        <v>1500</v>
      </c>
      <c r="L370" s="3" t="s">
        <v>40</v>
      </c>
      <c r="M370" s="16" t="s">
        <v>1377</v>
      </c>
      <c r="N370" s="3" t="str">
        <f t="shared" si="6"/>
        <v>1  Year</v>
      </c>
      <c r="O370" s="3" t="s">
        <v>42</v>
      </c>
      <c r="P370" s="3" t="s">
        <v>1378</v>
      </c>
      <c r="Q370" s="3">
        <v>2026</v>
      </c>
      <c r="R370" s="6" t="s">
        <v>80</v>
      </c>
      <c r="S370" s="6" t="s">
        <v>45</v>
      </c>
      <c r="T370" s="4" t="s">
        <v>1501</v>
      </c>
      <c r="Y370" t="s">
        <v>47</v>
      </c>
    </row>
    <row r="371" spans="1:28" ht="31.8">
      <c r="A371">
        <v>268</v>
      </c>
      <c r="B371" s="7" t="s">
        <v>1502</v>
      </c>
      <c r="C371" s="19" t="s">
        <v>1503</v>
      </c>
      <c r="D371" s="44" t="s">
        <v>1499</v>
      </c>
      <c r="E371" s="2" t="s">
        <v>52</v>
      </c>
      <c r="F371" s="68" t="s">
        <v>120</v>
      </c>
      <c r="G371" s="48" t="s">
        <v>1494</v>
      </c>
      <c r="H371" s="5" t="s">
        <v>122</v>
      </c>
      <c r="I371" s="117" t="s">
        <v>1495</v>
      </c>
      <c r="J371" s="6" t="s">
        <v>1081</v>
      </c>
      <c r="K371" s="6" t="s">
        <v>1500</v>
      </c>
      <c r="L371" s="3"/>
      <c r="M371" s="16" t="s">
        <v>1377</v>
      </c>
      <c r="N371" s="3" t="str">
        <f t="shared" si="6"/>
        <v/>
      </c>
      <c r="O371" s="3" t="s">
        <v>42</v>
      </c>
      <c r="P371" s="3" t="s">
        <v>1378</v>
      </c>
      <c r="Q371" s="3">
        <v>2026</v>
      </c>
      <c r="R371" s="6" t="s">
        <v>80</v>
      </c>
      <c r="S371" s="6" t="s">
        <v>45</v>
      </c>
      <c r="T371" s="4" t="s">
        <v>1504</v>
      </c>
      <c r="Y371" t="s">
        <v>47</v>
      </c>
    </row>
    <row r="372" spans="1:28" ht="21.6">
      <c r="A372">
        <v>269</v>
      </c>
      <c r="B372" s="2" t="s">
        <v>1505</v>
      </c>
      <c r="C372" s="19" t="s">
        <v>1506</v>
      </c>
      <c r="D372" s="44" t="s">
        <v>114</v>
      </c>
      <c r="E372" s="2" t="s">
        <v>33</v>
      </c>
      <c r="F372" s="68" t="s">
        <v>1448</v>
      </c>
      <c r="G372" s="48" t="s">
        <v>1449</v>
      </c>
      <c r="I372" s="117" t="s">
        <v>1450</v>
      </c>
      <c r="J372" s="6" t="s">
        <v>88</v>
      </c>
      <c r="K372" s="6" t="s">
        <v>1507</v>
      </c>
      <c r="L372" s="3" t="s">
        <v>40</v>
      </c>
      <c r="M372" s="16" t="s">
        <v>1377</v>
      </c>
      <c r="N372" s="3" t="str">
        <f t="shared" si="6"/>
        <v>1  Year</v>
      </c>
      <c r="O372" s="3" t="s">
        <v>42</v>
      </c>
      <c r="P372" s="3" t="s">
        <v>1378</v>
      </c>
      <c r="Q372" s="3">
        <v>2026</v>
      </c>
      <c r="R372" s="6" t="s">
        <v>80</v>
      </c>
      <c r="S372" s="6" t="s">
        <v>45</v>
      </c>
      <c r="T372" s="4" t="s">
        <v>1508</v>
      </c>
      <c r="Y372" t="s">
        <v>47</v>
      </c>
    </row>
    <row r="373" spans="1:28" ht="21.6">
      <c r="A373">
        <v>269</v>
      </c>
      <c r="B373" s="2" t="s">
        <v>1505</v>
      </c>
      <c r="C373" s="19" t="s">
        <v>1506</v>
      </c>
      <c r="D373" s="44" t="s">
        <v>114</v>
      </c>
      <c r="E373" s="2" t="s">
        <v>33</v>
      </c>
      <c r="F373" s="68" t="s">
        <v>1448</v>
      </c>
      <c r="G373" s="48" t="s">
        <v>1449</v>
      </c>
      <c r="I373" s="117" t="s">
        <v>1450</v>
      </c>
      <c r="J373" s="6" t="s">
        <v>92</v>
      </c>
      <c r="K373" s="6" t="s">
        <v>1507</v>
      </c>
      <c r="L373" s="3" t="s">
        <v>40</v>
      </c>
      <c r="M373" s="16" t="s">
        <v>1377</v>
      </c>
      <c r="N373" s="3" t="str">
        <f t="shared" si="6"/>
        <v>1  Year</v>
      </c>
      <c r="O373" s="3" t="s">
        <v>42</v>
      </c>
      <c r="P373" s="3" t="s">
        <v>1378</v>
      </c>
      <c r="Q373" s="3">
        <v>2026</v>
      </c>
      <c r="R373" s="6" t="s">
        <v>80</v>
      </c>
      <c r="S373" s="6" t="s">
        <v>45</v>
      </c>
      <c r="T373" s="4" t="s">
        <v>1508</v>
      </c>
      <c r="Y373" t="s">
        <v>47</v>
      </c>
    </row>
    <row r="374" spans="1:28" ht="21.6">
      <c r="A374">
        <v>270</v>
      </c>
      <c r="B374" s="7" t="s">
        <v>1509</v>
      </c>
      <c r="C374" s="19" t="s">
        <v>1510</v>
      </c>
      <c r="D374" s="44" t="s">
        <v>1511</v>
      </c>
      <c r="E374" s="2" t="s">
        <v>33</v>
      </c>
      <c r="F374" s="68" t="s">
        <v>966</v>
      </c>
      <c r="G374" s="48" t="s">
        <v>1210</v>
      </c>
      <c r="H374" s="5" t="s">
        <v>1473</v>
      </c>
      <c r="I374" s="117" t="s">
        <v>1474</v>
      </c>
      <c r="J374" s="6" t="s">
        <v>88</v>
      </c>
      <c r="K374" s="6" t="s">
        <v>1512</v>
      </c>
      <c r="L374" s="3" t="s">
        <v>40</v>
      </c>
      <c r="M374" s="16" t="s">
        <v>1377</v>
      </c>
      <c r="N374" s="3" t="str">
        <f t="shared" si="6"/>
        <v>1  Year</v>
      </c>
      <c r="O374" s="3" t="s">
        <v>42</v>
      </c>
      <c r="P374" s="3" t="s">
        <v>1378</v>
      </c>
      <c r="Q374" s="3">
        <v>2026</v>
      </c>
      <c r="R374" s="6" t="s">
        <v>80</v>
      </c>
      <c r="S374" s="6" t="s">
        <v>45</v>
      </c>
      <c r="T374" s="4" t="s">
        <v>1214</v>
      </c>
      <c r="Y374" t="s">
        <v>47</v>
      </c>
    </row>
    <row r="375" spans="1:28" ht="21.6">
      <c r="A375">
        <v>270</v>
      </c>
      <c r="B375" s="7" t="s">
        <v>1509</v>
      </c>
      <c r="C375" s="19" t="s">
        <v>1510</v>
      </c>
      <c r="D375" s="44" t="s">
        <v>1511</v>
      </c>
      <c r="E375" s="2" t="s">
        <v>33</v>
      </c>
      <c r="F375" s="68" t="s">
        <v>966</v>
      </c>
      <c r="G375" s="48" t="s">
        <v>1210</v>
      </c>
      <c r="H375" s="5" t="s">
        <v>1473</v>
      </c>
      <c r="I375" s="117" t="s">
        <v>1474</v>
      </c>
      <c r="J375" s="6" t="s">
        <v>145</v>
      </c>
      <c r="K375" s="6" t="s">
        <v>1512</v>
      </c>
      <c r="L375" s="3" t="s">
        <v>40</v>
      </c>
      <c r="M375" s="16" t="s">
        <v>1377</v>
      </c>
      <c r="N375" s="3" t="str">
        <f t="shared" si="6"/>
        <v>1  Year</v>
      </c>
      <c r="O375" s="3" t="s">
        <v>42</v>
      </c>
      <c r="P375" s="3" t="s">
        <v>1378</v>
      </c>
      <c r="Q375" s="3">
        <v>2026</v>
      </c>
      <c r="R375" s="6" t="s">
        <v>80</v>
      </c>
      <c r="S375" s="6" t="s">
        <v>45</v>
      </c>
      <c r="T375" s="4" t="s">
        <v>1214</v>
      </c>
      <c r="Y375" t="s">
        <v>47</v>
      </c>
    </row>
    <row r="376" spans="1:28" ht="42">
      <c r="A376">
        <v>271</v>
      </c>
      <c r="B376" s="2" t="s">
        <v>1513</v>
      </c>
      <c r="C376" s="19" t="s">
        <v>1514</v>
      </c>
      <c r="D376" s="44" t="s">
        <v>969</v>
      </c>
      <c r="E376" s="2" t="s">
        <v>104</v>
      </c>
      <c r="F376" s="68" t="s">
        <v>1515</v>
      </c>
      <c r="G376" s="48" t="s">
        <v>1516</v>
      </c>
      <c r="H376" s="5" t="s">
        <v>1517</v>
      </c>
      <c r="I376" s="117" t="s">
        <v>1518</v>
      </c>
      <c r="J376" s="6" t="s">
        <v>48</v>
      </c>
      <c r="K376" s="6" t="s">
        <v>1519</v>
      </c>
      <c r="L376" s="3" t="s">
        <v>90</v>
      </c>
      <c r="M376" s="16" t="s">
        <v>1377</v>
      </c>
      <c r="N376" s="3" t="str">
        <f t="shared" si="6"/>
        <v>2 Years</v>
      </c>
      <c r="O376" s="3" t="s">
        <v>1520</v>
      </c>
      <c r="P376" s="3" t="s">
        <v>1378</v>
      </c>
      <c r="Q376" s="3">
        <v>2026</v>
      </c>
      <c r="R376" s="6" t="s">
        <v>44</v>
      </c>
      <c r="S376" s="6" t="s">
        <v>45</v>
      </c>
      <c r="T376" s="4" t="s">
        <v>1521</v>
      </c>
      <c r="Y376" t="s">
        <v>47</v>
      </c>
    </row>
    <row r="377" spans="1:28" ht="42">
      <c r="A377">
        <v>272</v>
      </c>
      <c r="B377" s="2" t="s">
        <v>1522</v>
      </c>
      <c r="C377" s="19" t="s">
        <v>1523</v>
      </c>
      <c r="D377" s="44" t="s">
        <v>969</v>
      </c>
      <c r="E377" s="2" t="s">
        <v>104</v>
      </c>
      <c r="F377" s="68" t="s">
        <v>1515</v>
      </c>
      <c r="G377" s="48" t="s">
        <v>1516</v>
      </c>
      <c r="H377" s="5" t="s">
        <v>1517</v>
      </c>
      <c r="I377" s="117" t="s">
        <v>1518</v>
      </c>
      <c r="J377" s="6" t="s">
        <v>48</v>
      </c>
      <c r="K377" s="6" t="s">
        <v>1524</v>
      </c>
      <c r="L377" s="3" t="s">
        <v>40</v>
      </c>
      <c r="M377" s="16" t="s">
        <v>1377</v>
      </c>
      <c r="N377" s="3" t="str">
        <f t="shared" si="6"/>
        <v>1  Year</v>
      </c>
      <c r="O377" s="3" t="s">
        <v>1520</v>
      </c>
      <c r="P377" s="3" t="s">
        <v>1378</v>
      </c>
      <c r="Q377" s="3">
        <v>2026</v>
      </c>
      <c r="R377" s="6" t="s">
        <v>44</v>
      </c>
      <c r="S377" s="6" t="s">
        <v>45</v>
      </c>
      <c r="T377" s="4" t="s">
        <v>1525</v>
      </c>
      <c r="Y377" t="s">
        <v>47</v>
      </c>
    </row>
    <row r="378" spans="1:28" ht="42">
      <c r="A378">
        <v>273</v>
      </c>
      <c r="B378" s="2" t="s">
        <v>1522</v>
      </c>
      <c r="C378" s="19" t="s">
        <v>1523</v>
      </c>
      <c r="D378" s="44" t="s">
        <v>969</v>
      </c>
      <c r="E378" s="2" t="s">
        <v>104</v>
      </c>
      <c r="F378" s="68" t="s">
        <v>1515</v>
      </c>
      <c r="G378" s="48" t="s">
        <v>1516</v>
      </c>
      <c r="H378" s="5" t="s">
        <v>1517</v>
      </c>
      <c r="I378" s="117" t="s">
        <v>1518</v>
      </c>
      <c r="J378" s="6" t="s">
        <v>48</v>
      </c>
      <c r="K378" s="6" t="s">
        <v>1526</v>
      </c>
      <c r="L378" s="3" t="s">
        <v>40</v>
      </c>
      <c r="M378" s="16" t="s">
        <v>1377</v>
      </c>
      <c r="N378" s="3" t="str">
        <f t="shared" si="6"/>
        <v>1  Year</v>
      </c>
      <c r="O378" s="3" t="s">
        <v>1520</v>
      </c>
      <c r="P378" s="3" t="s">
        <v>1378</v>
      </c>
      <c r="Q378" s="3">
        <v>2026</v>
      </c>
      <c r="R378" s="6" t="s">
        <v>44</v>
      </c>
      <c r="S378" s="6" t="s">
        <v>45</v>
      </c>
      <c r="T378" s="4" t="s">
        <v>1525</v>
      </c>
      <c r="Y378" t="s">
        <v>47</v>
      </c>
    </row>
    <row r="379" spans="1:28" ht="28.8">
      <c r="A379">
        <v>274</v>
      </c>
      <c r="B379" s="2" t="s">
        <v>194</v>
      </c>
      <c r="C379" s="19" t="s">
        <v>195</v>
      </c>
      <c r="D379" s="44" t="s">
        <v>1527</v>
      </c>
      <c r="E379" s="2" t="s">
        <v>104</v>
      </c>
      <c r="F379" s="68" t="s">
        <v>197</v>
      </c>
      <c r="G379" s="48" t="s">
        <v>1346</v>
      </c>
      <c r="I379" s="117" t="s">
        <v>1528</v>
      </c>
      <c r="J379" s="6" t="s">
        <v>92</v>
      </c>
      <c r="K379" s="6" t="s">
        <v>1529</v>
      </c>
      <c r="L379" s="3" t="s">
        <v>40</v>
      </c>
      <c r="M379" s="16" t="s">
        <v>1377</v>
      </c>
      <c r="N379" s="3" t="str">
        <f t="shared" si="6"/>
        <v>1  Year</v>
      </c>
      <c r="O379" s="3" t="s">
        <v>202</v>
      </c>
      <c r="P379" s="3" t="s">
        <v>1378</v>
      </c>
      <c r="Q379" s="3">
        <v>2026</v>
      </c>
      <c r="R379" s="6" t="s">
        <v>80</v>
      </c>
      <c r="S379" s="6" t="s">
        <v>45</v>
      </c>
      <c r="T379" s="5" t="s">
        <v>1530</v>
      </c>
      <c r="Y379" t="s">
        <v>47</v>
      </c>
    </row>
    <row r="380" spans="1:28" ht="28.8">
      <c r="A380">
        <v>275</v>
      </c>
      <c r="B380" s="2" t="s">
        <v>1531</v>
      </c>
      <c r="C380" s="19" t="s">
        <v>1532</v>
      </c>
      <c r="D380" s="44" t="s">
        <v>1533</v>
      </c>
      <c r="E380" s="2" t="s">
        <v>104</v>
      </c>
      <c r="F380" s="68" t="s">
        <v>1534</v>
      </c>
      <c r="G380" s="48" t="s">
        <v>1535</v>
      </c>
      <c r="H380" s="5" t="s">
        <v>1536</v>
      </c>
      <c r="I380" s="117" t="s">
        <v>1537</v>
      </c>
      <c r="J380" s="6" t="s">
        <v>48</v>
      </c>
      <c r="K380" s="6" t="s">
        <v>1538</v>
      </c>
      <c r="L380" s="3" t="s">
        <v>40</v>
      </c>
      <c r="M380" s="16" t="s">
        <v>1377</v>
      </c>
      <c r="N380" s="3" t="str">
        <f t="shared" si="6"/>
        <v>1  Year</v>
      </c>
      <c r="O380" s="3" t="s">
        <v>202</v>
      </c>
      <c r="P380" s="3" t="s">
        <v>1378</v>
      </c>
      <c r="Q380" s="3">
        <v>2026</v>
      </c>
      <c r="R380" s="6" t="s">
        <v>80</v>
      </c>
      <c r="S380" s="6" t="s">
        <v>45</v>
      </c>
      <c r="T380" s="5" t="s">
        <v>1539</v>
      </c>
      <c r="Y380" t="s">
        <v>47</v>
      </c>
    </row>
    <row r="381" spans="1:28" ht="43.2">
      <c r="A381">
        <v>276</v>
      </c>
      <c r="B381" s="7" t="s">
        <v>1540</v>
      </c>
      <c r="C381" s="19" t="s">
        <v>1541</v>
      </c>
      <c r="D381" s="44" t="s">
        <v>1533</v>
      </c>
      <c r="E381" s="2" t="s">
        <v>104</v>
      </c>
      <c r="F381" s="68" t="s">
        <v>1534</v>
      </c>
      <c r="G381" s="48" t="s">
        <v>1535</v>
      </c>
      <c r="H381" s="5" t="s">
        <v>1536</v>
      </c>
      <c r="I381" s="117" t="s">
        <v>1537</v>
      </c>
      <c r="J381" s="6" t="s">
        <v>48</v>
      </c>
      <c r="K381" s="6" t="s">
        <v>1542</v>
      </c>
      <c r="L381" s="3" t="s">
        <v>40</v>
      </c>
      <c r="M381" s="16" t="s">
        <v>1377</v>
      </c>
      <c r="N381" s="3" t="str">
        <f t="shared" si="6"/>
        <v>1  Year</v>
      </c>
      <c r="O381" s="3" t="s">
        <v>202</v>
      </c>
      <c r="P381" s="3" t="s">
        <v>1378</v>
      </c>
      <c r="Q381" s="3">
        <v>2026</v>
      </c>
      <c r="R381" s="6" t="s">
        <v>80</v>
      </c>
      <c r="S381" s="6" t="s">
        <v>45</v>
      </c>
      <c r="T381" s="5" t="s">
        <v>1543</v>
      </c>
      <c r="Y381" t="s">
        <v>47</v>
      </c>
    </row>
    <row r="382" spans="1:28" ht="31.8">
      <c r="A382">
        <v>277</v>
      </c>
      <c r="B382" s="2" t="s">
        <v>1337</v>
      </c>
      <c r="C382" s="19" t="s">
        <v>1544</v>
      </c>
      <c r="D382" s="44" t="s">
        <v>1545</v>
      </c>
      <c r="E382" s="2" t="s">
        <v>104</v>
      </c>
      <c r="F382" s="68" t="s">
        <v>908</v>
      </c>
      <c r="G382" s="48" t="s">
        <v>1340</v>
      </c>
      <c r="H382" s="5" t="s">
        <v>1546</v>
      </c>
      <c r="I382" s="117" t="s">
        <v>1547</v>
      </c>
      <c r="J382" s="6" t="s">
        <v>92</v>
      </c>
      <c r="K382" s="6" t="s">
        <v>1548</v>
      </c>
      <c r="L382" s="3" t="s">
        <v>40</v>
      </c>
      <c r="M382" s="16" t="s">
        <v>1377</v>
      </c>
      <c r="N382" s="3" t="str">
        <f t="shared" si="6"/>
        <v>1  Year</v>
      </c>
      <c r="O382" s="3" t="s">
        <v>202</v>
      </c>
      <c r="P382" s="3" t="s">
        <v>1378</v>
      </c>
      <c r="Q382" s="3">
        <v>2026</v>
      </c>
      <c r="R382" s="6" t="s">
        <v>80</v>
      </c>
      <c r="S382" s="6" t="s">
        <v>356</v>
      </c>
      <c r="T382" s="5" t="s">
        <v>1549</v>
      </c>
      <c r="Y382" t="s">
        <v>47</v>
      </c>
    </row>
    <row r="383" spans="1:28" ht="21.6">
      <c r="A383">
        <v>278</v>
      </c>
      <c r="B383" s="2" t="s">
        <v>1550</v>
      </c>
      <c r="C383" s="19" t="s">
        <v>1551</v>
      </c>
      <c r="D383" s="44" t="s">
        <v>1552</v>
      </c>
      <c r="E383" s="2" t="s">
        <v>104</v>
      </c>
      <c r="F383" s="68" t="s">
        <v>1553</v>
      </c>
      <c r="G383" s="48" t="s">
        <v>1554</v>
      </c>
      <c r="H383" s="5" t="s">
        <v>1555</v>
      </c>
      <c r="I383" s="117" t="s">
        <v>1556</v>
      </c>
      <c r="J383" s="6" t="s">
        <v>48</v>
      </c>
      <c r="K383" s="6" t="s">
        <v>1557</v>
      </c>
      <c r="L383" s="3" t="s">
        <v>40</v>
      </c>
      <c r="M383" s="16" t="s">
        <v>1558</v>
      </c>
      <c r="N383" s="3" t="str">
        <f t="shared" si="6"/>
        <v>1  Year</v>
      </c>
      <c r="O383" s="3" t="s">
        <v>1520</v>
      </c>
      <c r="P383" s="3" t="s">
        <v>1559</v>
      </c>
      <c r="Q383" s="3">
        <v>2026</v>
      </c>
      <c r="R383" s="6" t="s">
        <v>44</v>
      </c>
      <c r="S383" s="6" t="s">
        <v>45</v>
      </c>
      <c r="T383" s="4" t="s">
        <v>1560</v>
      </c>
      <c r="Y383" t="s">
        <v>2319</v>
      </c>
      <c r="AB383" t="s">
        <v>3770</v>
      </c>
    </row>
    <row r="384" spans="1:28" ht="21.6">
      <c r="A384">
        <v>279</v>
      </c>
      <c r="B384" s="2" t="s">
        <v>1550</v>
      </c>
      <c r="C384" s="19" t="s">
        <v>1551</v>
      </c>
      <c r="D384" s="44" t="s">
        <v>1552</v>
      </c>
      <c r="E384" s="2" t="s">
        <v>104</v>
      </c>
      <c r="F384" s="68" t="s">
        <v>1553</v>
      </c>
      <c r="G384" s="48" t="s">
        <v>1554</v>
      </c>
      <c r="H384" s="5" t="s">
        <v>1555</v>
      </c>
      <c r="I384" s="117" t="s">
        <v>1556</v>
      </c>
      <c r="J384" s="6" t="s">
        <v>48</v>
      </c>
      <c r="K384" s="6" t="s">
        <v>1561</v>
      </c>
      <c r="L384" s="3" t="s">
        <v>40</v>
      </c>
      <c r="M384" s="16" t="s">
        <v>1558</v>
      </c>
      <c r="N384" s="3" t="str">
        <f t="shared" si="6"/>
        <v>1  Year</v>
      </c>
      <c r="O384" s="3" t="s">
        <v>1520</v>
      </c>
      <c r="P384" s="3" t="s">
        <v>1559</v>
      </c>
      <c r="Q384" s="3">
        <v>2026</v>
      </c>
      <c r="R384" s="6" t="s">
        <v>44</v>
      </c>
      <c r="S384" s="6" t="s">
        <v>45</v>
      </c>
      <c r="T384" s="4" t="s">
        <v>1560</v>
      </c>
      <c r="Y384" t="s">
        <v>2319</v>
      </c>
      <c r="AB384" t="s">
        <v>3770</v>
      </c>
    </row>
    <row r="385" spans="1:28" ht="21.6">
      <c r="A385">
        <v>280</v>
      </c>
      <c r="B385" s="2" t="s">
        <v>1550</v>
      </c>
      <c r="C385" s="19" t="s">
        <v>1551</v>
      </c>
      <c r="D385" s="44" t="s">
        <v>1552</v>
      </c>
      <c r="E385" s="2" t="s">
        <v>104</v>
      </c>
      <c r="F385" s="68" t="s">
        <v>1553</v>
      </c>
      <c r="G385" s="48" t="s">
        <v>1554</v>
      </c>
      <c r="H385" s="76" t="s">
        <v>1555</v>
      </c>
      <c r="I385" s="117" t="s">
        <v>1556</v>
      </c>
      <c r="J385" s="6" t="s">
        <v>48</v>
      </c>
      <c r="K385" s="6" t="s">
        <v>1562</v>
      </c>
      <c r="L385" s="3" t="s">
        <v>40</v>
      </c>
      <c r="M385" s="16" t="s">
        <v>1558</v>
      </c>
      <c r="N385" s="3" t="str">
        <f t="shared" si="6"/>
        <v>1  Year</v>
      </c>
      <c r="O385" s="3" t="s">
        <v>1520</v>
      </c>
      <c r="P385" s="3" t="s">
        <v>1559</v>
      </c>
      <c r="Q385" s="3">
        <v>2026</v>
      </c>
      <c r="R385" s="6" t="s">
        <v>44</v>
      </c>
      <c r="S385" s="6" t="s">
        <v>45</v>
      </c>
      <c r="T385" s="4" t="s">
        <v>1560</v>
      </c>
      <c r="Y385" t="s">
        <v>2319</v>
      </c>
      <c r="AB385" t="s">
        <v>3770</v>
      </c>
    </row>
    <row r="386" spans="1:28" ht="21.6">
      <c r="A386">
        <v>281</v>
      </c>
      <c r="B386" s="2" t="s">
        <v>1550</v>
      </c>
      <c r="C386" s="19" t="s">
        <v>1551</v>
      </c>
      <c r="D386" s="44" t="s">
        <v>1552</v>
      </c>
      <c r="E386" s="2" t="s">
        <v>104</v>
      </c>
      <c r="F386" s="68" t="s">
        <v>1553</v>
      </c>
      <c r="G386" s="48" t="s">
        <v>1554</v>
      </c>
      <c r="H386" s="5" t="s">
        <v>1555</v>
      </c>
      <c r="I386" s="117" t="s">
        <v>1556</v>
      </c>
      <c r="J386" s="6" t="s">
        <v>48</v>
      </c>
      <c r="K386" s="6" t="s">
        <v>1563</v>
      </c>
      <c r="L386" s="3" t="s">
        <v>40</v>
      </c>
      <c r="M386" s="16" t="s">
        <v>1558</v>
      </c>
      <c r="N386" s="3" t="str">
        <f t="shared" si="6"/>
        <v>1  Year</v>
      </c>
      <c r="O386" s="3" t="s">
        <v>1520</v>
      </c>
      <c r="P386" s="3" t="s">
        <v>1559</v>
      </c>
      <c r="Q386" s="3">
        <v>2026</v>
      </c>
      <c r="R386" s="6" t="s">
        <v>44</v>
      </c>
      <c r="S386" s="6" t="s">
        <v>45</v>
      </c>
      <c r="T386" s="4" t="s">
        <v>1560</v>
      </c>
      <c r="Y386" t="s">
        <v>2319</v>
      </c>
      <c r="AB386" t="s">
        <v>3770</v>
      </c>
    </row>
    <row r="387" spans="1:28" ht="21.6">
      <c r="A387">
        <v>282</v>
      </c>
      <c r="B387" s="2" t="s">
        <v>1550</v>
      </c>
      <c r="C387" s="19" t="s">
        <v>1551</v>
      </c>
      <c r="D387" s="44" t="s">
        <v>1552</v>
      </c>
      <c r="E387" s="2" t="s">
        <v>104</v>
      </c>
      <c r="F387" s="68" t="s">
        <v>1553</v>
      </c>
      <c r="G387" s="48" t="s">
        <v>1554</v>
      </c>
      <c r="H387" s="5" t="s">
        <v>1555</v>
      </c>
      <c r="I387" s="117" t="s">
        <v>1556</v>
      </c>
      <c r="J387" s="6" t="s">
        <v>48</v>
      </c>
      <c r="K387" s="6" t="s">
        <v>1564</v>
      </c>
      <c r="L387" s="3" t="s">
        <v>40</v>
      </c>
      <c r="M387" s="16" t="s">
        <v>1558</v>
      </c>
      <c r="N387" s="3" t="str">
        <f t="shared" si="6"/>
        <v>1  Year</v>
      </c>
      <c r="O387" s="3" t="s">
        <v>1520</v>
      </c>
      <c r="P387" s="3" t="s">
        <v>1559</v>
      </c>
      <c r="Q387" s="3">
        <v>2026</v>
      </c>
      <c r="R387" s="6" t="s">
        <v>44</v>
      </c>
      <c r="S387" s="6" t="s">
        <v>45</v>
      </c>
      <c r="T387" s="4" t="s">
        <v>1560</v>
      </c>
      <c r="Y387" t="s">
        <v>2319</v>
      </c>
      <c r="AB387" t="s">
        <v>3770</v>
      </c>
    </row>
    <row r="388" spans="1:28" ht="21.6">
      <c r="A388">
        <v>283</v>
      </c>
      <c r="B388" s="2" t="s">
        <v>1550</v>
      </c>
      <c r="C388" s="19" t="s">
        <v>1551</v>
      </c>
      <c r="D388" s="44" t="s">
        <v>1552</v>
      </c>
      <c r="E388" s="2" t="s">
        <v>104</v>
      </c>
      <c r="F388" s="68" t="s">
        <v>1553</v>
      </c>
      <c r="G388" s="48" t="s">
        <v>1554</v>
      </c>
      <c r="H388" s="5" t="s">
        <v>1555</v>
      </c>
      <c r="I388" s="117" t="s">
        <v>1556</v>
      </c>
      <c r="J388" s="6" t="s">
        <v>48</v>
      </c>
      <c r="K388" s="6" t="s">
        <v>1565</v>
      </c>
      <c r="L388" s="3" t="s">
        <v>40</v>
      </c>
      <c r="M388" s="16" t="s">
        <v>1558</v>
      </c>
      <c r="N388" s="3" t="str">
        <f t="shared" ref="N388:N404" si="7">IF(L388="New","1  Year",IF(L388="Promotional","15 Weeks",IF(L388="Revalidation","2 Years","")))</f>
        <v>1  Year</v>
      </c>
      <c r="O388" s="3" t="s">
        <v>1520</v>
      </c>
      <c r="P388" s="3" t="s">
        <v>1559</v>
      </c>
      <c r="Q388" s="3">
        <v>2026</v>
      </c>
      <c r="R388" s="6" t="s">
        <v>44</v>
      </c>
      <c r="S388" s="6" t="s">
        <v>45</v>
      </c>
      <c r="T388" s="4" t="s">
        <v>1560</v>
      </c>
      <c r="Y388" t="s">
        <v>2319</v>
      </c>
      <c r="AB388" t="s">
        <v>3770</v>
      </c>
    </row>
    <row r="389" spans="1:28" ht="21.6">
      <c r="A389">
        <v>284</v>
      </c>
      <c r="B389" s="2" t="s">
        <v>1550</v>
      </c>
      <c r="C389" s="19" t="s">
        <v>1551</v>
      </c>
      <c r="D389" s="44" t="s">
        <v>1552</v>
      </c>
      <c r="E389" s="2" t="s">
        <v>104</v>
      </c>
      <c r="F389" s="68" t="s">
        <v>1553</v>
      </c>
      <c r="G389" s="48" t="s">
        <v>1554</v>
      </c>
      <c r="H389" s="5" t="s">
        <v>1555</v>
      </c>
      <c r="I389" s="117" t="s">
        <v>1556</v>
      </c>
      <c r="J389" s="6" t="s">
        <v>48</v>
      </c>
      <c r="K389" s="6" t="s">
        <v>1566</v>
      </c>
      <c r="L389" s="3" t="s">
        <v>40</v>
      </c>
      <c r="M389" s="16" t="s">
        <v>1558</v>
      </c>
      <c r="N389" s="3" t="str">
        <f t="shared" si="7"/>
        <v>1  Year</v>
      </c>
      <c r="O389" s="3" t="s">
        <v>1520</v>
      </c>
      <c r="P389" s="3" t="s">
        <v>1559</v>
      </c>
      <c r="Q389" s="3">
        <v>2026</v>
      </c>
      <c r="R389" s="6" t="s">
        <v>44</v>
      </c>
      <c r="S389" s="6" t="s">
        <v>45</v>
      </c>
      <c r="T389" s="4" t="s">
        <v>1560</v>
      </c>
      <c r="Y389" t="s">
        <v>2319</v>
      </c>
      <c r="AB389" t="s">
        <v>3770</v>
      </c>
    </row>
    <row r="390" spans="1:28" ht="21.6">
      <c r="A390">
        <v>285</v>
      </c>
      <c r="B390" s="2" t="s">
        <v>1550</v>
      </c>
      <c r="C390" s="19" t="s">
        <v>1551</v>
      </c>
      <c r="D390" s="44" t="s">
        <v>1552</v>
      </c>
      <c r="E390" s="2" t="s">
        <v>104</v>
      </c>
      <c r="F390" s="68" t="s">
        <v>1553</v>
      </c>
      <c r="G390" s="48" t="s">
        <v>1554</v>
      </c>
      <c r="H390" s="5" t="s">
        <v>1555</v>
      </c>
      <c r="I390" s="117" t="s">
        <v>1556</v>
      </c>
      <c r="J390" s="6" t="s">
        <v>48</v>
      </c>
      <c r="K390" s="6" t="s">
        <v>1567</v>
      </c>
      <c r="L390" s="3" t="s">
        <v>40</v>
      </c>
      <c r="M390" s="16" t="s">
        <v>1558</v>
      </c>
      <c r="N390" s="3" t="str">
        <f t="shared" si="7"/>
        <v>1  Year</v>
      </c>
      <c r="O390" s="3" t="s">
        <v>1520</v>
      </c>
      <c r="P390" s="3" t="s">
        <v>1559</v>
      </c>
      <c r="Q390" s="3">
        <v>2026</v>
      </c>
      <c r="R390" s="6" t="s">
        <v>44</v>
      </c>
      <c r="S390" s="6" t="s">
        <v>45</v>
      </c>
      <c r="T390" s="4" t="s">
        <v>1560</v>
      </c>
      <c r="Y390" t="s">
        <v>2319</v>
      </c>
      <c r="AB390" t="s">
        <v>3770</v>
      </c>
    </row>
    <row r="391" spans="1:28" ht="21.6">
      <c r="A391">
        <v>286</v>
      </c>
      <c r="B391" s="2" t="s">
        <v>1550</v>
      </c>
      <c r="C391" s="19" t="s">
        <v>1551</v>
      </c>
      <c r="D391" s="44" t="s">
        <v>1552</v>
      </c>
      <c r="E391" s="2" t="s">
        <v>104</v>
      </c>
      <c r="F391" s="68" t="s">
        <v>1553</v>
      </c>
      <c r="G391" s="48" t="s">
        <v>1554</v>
      </c>
      <c r="H391" s="5" t="s">
        <v>1555</v>
      </c>
      <c r="I391" s="117" t="s">
        <v>1556</v>
      </c>
      <c r="J391" s="6" t="s">
        <v>48</v>
      </c>
      <c r="K391" s="6" t="s">
        <v>1568</v>
      </c>
      <c r="L391" s="3" t="s">
        <v>40</v>
      </c>
      <c r="M391" s="16" t="s">
        <v>1558</v>
      </c>
      <c r="N391" s="3" t="str">
        <f t="shared" si="7"/>
        <v>1  Year</v>
      </c>
      <c r="O391" s="3" t="s">
        <v>1520</v>
      </c>
      <c r="P391" s="3" t="s">
        <v>1559</v>
      </c>
      <c r="Q391" s="3">
        <v>2026</v>
      </c>
      <c r="R391" s="6" t="s">
        <v>44</v>
      </c>
      <c r="S391" s="6" t="s">
        <v>45</v>
      </c>
      <c r="T391" s="4" t="s">
        <v>1560</v>
      </c>
      <c r="Y391" t="s">
        <v>2319</v>
      </c>
      <c r="AB391" t="s">
        <v>3770</v>
      </c>
    </row>
    <row r="392" spans="1:28" ht="31.8">
      <c r="A392">
        <v>287</v>
      </c>
      <c r="B392" s="2" t="s">
        <v>1550</v>
      </c>
      <c r="C392" s="19" t="s">
        <v>1551</v>
      </c>
      <c r="D392" s="44" t="s">
        <v>1552</v>
      </c>
      <c r="E392" s="2" t="s">
        <v>104</v>
      </c>
      <c r="F392" s="68" t="s">
        <v>1553</v>
      </c>
      <c r="G392" s="48" t="s">
        <v>1554</v>
      </c>
      <c r="H392" s="5" t="s">
        <v>1555</v>
      </c>
      <c r="I392" s="117" t="s">
        <v>1556</v>
      </c>
      <c r="J392" s="6" t="s">
        <v>145</v>
      </c>
      <c r="K392" s="6" t="s">
        <v>1569</v>
      </c>
      <c r="L392" s="3" t="s">
        <v>40</v>
      </c>
      <c r="M392" s="16" t="s">
        <v>1558</v>
      </c>
      <c r="N392" s="3" t="str">
        <f t="shared" si="7"/>
        <v>1  Year</v>
      </c>
      <c r="O392" s="3" t="s">
        <v>42</v>
      </c>
      <c r="P392" s="3" t="s">
        <v>1559</v>
      </c>
      <c r="Q392" s="3">
        <v>2026</v>
      </c>
      <c r="R392" s="6" t="s">
        <v>44</v>
      </c>
      <c r="S392" s="6" t="s">
        <v>45</v>
      </c>
      <c r="T392" s="4" t="s">
        <v>1560</v>
      </c>
      <c r="Y392" t="s">
        <v>2319</v>
      </c>
      <c r="AB392" t="s">
        <v>3770</v>
      </c>
    </row>
    <row r="393" spans="1:28" ht="21.6">
      <c r="A393">
        <v>288</v>
      </c>
      <c r="B393" s="2" t="s">
        <v>1570</v>
      </c>
      <c r="C393" s="19" t="s">
        <v>1571</v>
      </c>
      <c r="D393" s="44" t="s">
        <v>1572</v>
      </c>
      <c r="E393" s="2" t="s">
        <v>104</v>
      </c>
      <c r="F393" s="68" t="s">
        <v>1573</v>
      </c>
      <c r="G393" s="48" t="s">
        <v>1574</v>
      </c>
      <c r="H393" s="5" t="s">
        <v>1575</v>
      </c>
      <c r="I393" s="117" t="s">
        <v>1576</v>
      </c>
      <c r="J393" s="6" t="s">
        <v>88</v>
      </c>
      <c r="K393" s="6" t="s">
        <v>1577</v>
      </c>
      <c r="L393" s="3" t="s">
        <v>40</v>
      </c>
      <c r="M393" s="16" t="s">
        <v>1558</v>
      </c>
      <c r="N393" s="3" t="str">
        <f t="shared" si="7"/>
        <v>1  Year</v>
      </c>
      <c r="O393" s="3" t="s">
        <v>42</v>
      </c>
      <c r="P393" s="3" t="s">
        <v>1559</v>
      </c>
      <c r="Q393" s="3">
        <v>2026</v>
      </c>
      <c r="R393" s="6" t="s">
        <v>44</v>
      </c>
      <c r="S393" s="6" t="s">
        <v>45</v>
      </c>
      <c r="T393" s="4" t="s">
        <v>1578</v>
      </c>
      <c r="Y393" t="s">
        <v>2319</v>
      </c>
    </row>
    <row r="394" spans="1:28" ht="31.8">
      <c r="A394">
        <v>289</v>
      </c>
      <c r="B394" s="7" t="s">
        <v>1579</v>
      </c>
      <c r="C394" s="19" t="s">
        <v>1580</v>
      </c>
      <c r="D394" s="44" t="s">
        <v>1572</v>
      </c>
      <c r="E394" s="2" t="s">
        <v>33</v>
      </c>
      <c r="F394" s="68" t="s">
        <v>1581</v>
      </c>
      <c r="G394" s="48" t="s">
        <v>1582</v>
      </c>
      <c r="H394" s="5" t="s">
        <v>1583</v>
      </c>
      <c r="I394" s="117" t="s">
        <v>1584</v>
      </c>
      <c r="J394" s="6" t="s">
        <v>48</v>
      </c>
      <c r="K394" s="6" t="s">
        <v>1585</v>
      </c>
      <c r="L394" s="3" t="s">
        <v>40</v>
      </c>
      <c r="M394" s="16" t="s">
        <v>1558</v>
      </c>
      <c r="N394" s="3" t="str">
        <f t="shared" si="7"/>
        <v>1  Year</v>
      </c>
      <c r="O394" s="3" t="s">
        <v>42</v>
      </c>
      <c r="P394" s="3" t="s">
        <v>1559</v>
      </c>
      <c r="Q394" s="3">
        <v>2026</v>
      </c>
      <c r="R394" s="6" t="s">
        <v>44</v>
      </c>
      <c r="S394" s="6" t="s">
        <v>45</v>
      </c>
      <c r="T394" s="4" t="s">
        <v>1586</v>
      </c>
      <c r="Y394" t="s">
        <v>2319</v>
      </c>
    </row>
    <row r="395" spans="1:28" ht="31.8">
      <c r="A395">
        <v>289</v>
      </c>
      <c r="B395" s="2" t="s">
        <v>1579</v>
      </c>
      <c r="C395" s="19" t="s">
        <v>1580</v>
      </c>
      <c r="D395" s="44" t="s">
        <v>1572</v>
      </c>
      <c r="E395" s="2" t="s">
        <v>33</v>
      </c>
      <c r="F395" s="68" t="s">
        <v>1581</v>
      </c>
      <c r="G395" s="48" t="s">
        <v>1582</v>
      </c>
      <c r="H395" s="5" t="s">
        <v>1583</v>
      </c>
      <c r="I395" s="117" t="s">
        <v>1584</v>
      </c>
      <c r="J395" s="6" t="s">
        <v>145</v>
      </c>
      <c r="K395" s="6" t="s">
        <v>1585</v>
      </c>
      <c r="L395" s="3" t="s">
        <v>40</v>
      </c>
      <c r="M395" s="16" t="s">
        <v>1558</v>
      </c>
      <c r="N395" s="3" t="str">
        <f t="shared" si="7"/>
        <v>1  Year</v>
      </c>
      <c r="O395" s="3" t="s">
        <v>42</v>
      </c>
      <c r="P395" s="3" t="s">
        <v>1559</v>
      </c>
      <c r="Q395" s="3">
        <v>2026</v>
      </c>
      <c r="R395" s="6" t="s">
        <v>44</v>
      </c>
      <c r="S395" s="6" t="s">
        <v>45</v>
      </c>
      <c r="T395" s="4" t="s">
        <v>1586</v>
      </c>
      <c r="Y395" t="s">
        <v>47</v>
      </c>
    </row>
    <row r="396" spans="1:28" ht="28.8">
      <c r="A396">
        <v>290</v>
      </c>
      <c r="B396" s="2" t="s">
        <v>1587</v>
      </c>
      <c r="C396" s="19" t="s">
        <v>1588</v>
      </c>
      <c r="D396" s="44" t="s">
        <v>288</v>
      </c>
      <c r="E396" s="2" t="s">
        <v>33</v>
      </c>
      <c r="F396" s="68" t="s">
        <v>1589</v>
      </c>
      <c r="G396" s="48" t="s">
        <v>1590</v>
      </c>
      <c r="H396" s="5" t="s">
        <v>1591</v>
      </c>
      <c r="I396" s="117" t="s">
        <v>1592</v>
      </c>
      <c r="J396" s="6" t="s">
        <v>92</v>
      </c>
      <c r="K396" s="6" t="s">
        <v>1593</v>
      </c>
      <c r="L396" s="3"/>
      <c r="M396" s="16" t="s">
        <v>1558</v>
      </c>
      <c r="N396" s="3" t="str">
        <f t="shared" si="7"/>
        <v/>
      </c>
      <c r="O396" s="3" t="s">
        <v>42</v>
      </c>
      <c r="P396" s="3" t="s">
        <v>1559</v>
      </c>
      <c r="Q396" s="3">
        <v>2026</v>
      </c>
      <c r="R396" s="6" t="s">
        <v>80</v>
      </c>
      <c r="S396" s="6" t="s">
        <v>45</v>
      </c>
      <c r="Y396" t="s">
        <v>2319</v>
      </c>
    </row>
    <row r="397" spans="1:28" ht="31.8">
      <c r="A397">
        <v>291</v>
      </c>
      <c r="B397" s="2" t="s">
        <v>1594</v>
      </c>
      <c r="C397" s="19" t="s">
        <v>1595</v>
      </c>
      <c r="D397" s="44" t="s">
        <v>288</v>
      </c>
      <c r="E397" s="2" t="s">
        <v>33</v>
      </c>
      <c r="F397" s="68" t="s">
        <v>1581</v>
      </c>
      <c r="G397" s="48" t="s">
        <v>1582</v>
      </c>
      <c r="H397" s="5" t="s">
        <v>1583</v>
      </c>
      <c r="I397" s="117" t="s">
        <v>1584</v>
      </c>
      <c r="J397" s="6" t="s">
        <v>48</v>
      </c>
      <c r="K397" s="6" t="s">
        <v>1596</v>
      </c>
      <c r="L397" s="3" t="s">
        <v>40</v>
      </c>
      <c r="M397" s="16" t="s">
        <v>1558</v>
      </c>
      <c r="N397" s="3" t="str">
        <f t="shared" si="7"/>
        <v>1  Year</v>
      </c>
      <c r="O397" s="3" t="s">
        <v>42</v>
      </c>
      <c r="P397" s="3" t="s">
        <v>1559</v>
      </c>
      <c r="Q397" s="3">
        <v>2026</v>
      </c>
      <c r="R397" s="6" t="s">
        <v>44</v>
      </c>
      <c r="S397" s="6" t="s">
        <v>1273</v>
      </c>
      <c r="T397" s="4" t="s">
        <v>1586</v>
      </c>
      <c r="Y397" t="s">
        <v>2319</v>
      </c>
    </row>
    <row r="398" spans="1:28" ht="31.8">
      <c r="A398">
        <v>291</v>
      </c>
      <c r="B398" s="2" t="s">
        <v>1594</v>
      </c>
      <c r="C398" s="19" t="s">
        <v>1595</v>
      </c>
      <c r="D398" s="44" t="s">
        <v>288</v>
      </c>
      <c r="E398" s="2" t="s">
        <v>33</v>
      </c>
      <c r="F398" s="68" t="s">
        <v>1581</v>
      </c>
      <c r="G398" s="48" t="s">
        <v>1582</v>
      </c>
      <c r="H398" s="5" t="s">
        <v>1583</v>
      </c>
      <c r="I398" s="117" t="s">
        <v>1584</v>
      </c>
      <c r="J398" s="6" t="s">
        <v>145</v>
      </c>
      <c r="K398" s="6" t="s">
        <v>1596</v>
      </c>
      <c r="L398" s="3" t="s">
        <v>40</v>
      </c>
      <c r="M398" s="16" t="s">
        <v>1558</v>
      </c>
      <c r="N398" s="3" t="str">
        <f t="shared" si="7"/>
        <v>1  Year</v>
      </c>
      <c r="O398" s="3" t="s">
        <v>42</v>
      </c>
      <c r="P398" s="3" t="s">
        <v>1559</v>
      </c>
      <c r="Q398" s="3">
        <v>2026</v>
      </c>
      <c r="R398" s="6" t="s">
        <v>44</v>
      </c>
      <c r="S398" s="6" t="s">
        <v>1273</v>
      </c>
      <c r="T398" s="4" t="s">
        <v>1586</v>
      </c>
      <c r="Y398" t="s">
        <v>47</v>
      </c>
    </row>
    <row r="399" spans="1:28" ht="21.6">
      <c r="A399">
        <v>292</v>
      </c>
      <c r="B399" s="2" t="s">
        <v>1597</v>
      </c>
      <c r="C399" s="19" t="s">
        <v>1598</v>
      </c>
      <c r="D399" s="44" t="s">
        <v>311</v>
      </c>
      <c r="E399" s="2" t="s">
        <v>104</v>
      </c>
      <c r="F399" s="68" t="s">
        <v>1599</v>
      </c>
      <c r="G399" s="48" t="s">
        <v>1600</v>
      </c>
      <c r="J399" s="6" t="s">
        <v>145</v>
      </c>
      <c r="K399" s="6" t="s">
        <v>1601</v>
      </c>
      <c r="L399" s="3" t="s">
        <v>40</v>
      </c>
      <c r="M399" s="16" t="s">
        <v>1558</v>
      </c>
      <c r="N399" s="3" t="str">
        <f t="shared" si="7"/>
        <v>1  Year</v>
      </c>
      <c r="O399" s="3" t="s">
        <v>1520</v>
      </c>
      <c r="P399" s="3" t="s">
        <v>1559</v>
      </c>
      <c r="Q399" s="3">
        <v>2026</v>
      </c>
      <c r="R399" s="6" t="s">
        <v>44</v>
      </c>
      <c r="S399" s="6" t="s">
        <v>45</v>
      </c>
      <c r="T399" s="4" t="s">
        <v>1602</v>
      </c>
      <c r="Y399" t="s">
        <v>47</v>
      </c>
    </row>
    <row r="400" spans="1:28" ht="21.6">
      <c r="A400">
        <v>293</v>
      </c>
      <c r="B400" s="2" t="s">
        <v>1603</v>
      </c>
      <c r="C400" s="19" t="s">
        <v>1604</v>
      </c>
      <c r="D400" s="44" t="s">
        <v>609</v>
      </c>
      <c r="E400" s="2" t="s">
        <v>104</v>
      </c>
      <c r="F400" s="68" t="s">
        <v>1599</v>
      </c>
      <c r="G400" s="48" t="s">
        <v>1600</v>
      </c>
      <c r="J400" s="6" t="s">
        <v>145</v>
      </c>
      <c r="K400" s="6" t="s">
        <v>1605</v>
      </c>
      <c r="L400" s="3" t="s">
        <v>40</v>
      </c>
      <c r="M400" s="16" t="s">
        <v>1558</v>
      </c>
      <c r="N400" s="3" t="str">
        <f t="shared" si="7"/>
        <v>1  Year</v>
      </c>
      <c r="O400" s="3" t="s">
        <v>1520</v>
      </c>
      <c r="P400" s="3" t="s">
        <v>1559</v>
      </c>
      <c r="Q400" s="3">
        <v>2026</v>
      </c>
      <c r="R400" s="6" t="s">
        <v>44</v>
      </c>
      <c r="S400" s="6" t="s">
        <v>45</v>
      </c>
      <c r="T400" s="4" t="s">
        <v>1602</v>
      </c>
      <c r="Y400" t="s">
        <v>47</v>
      </c>
    </row>
    <row r="401" spans="1:29" ht="21.6">
      <c r="A401">
        <v>294</v>
      </c>
      <c r="B401" s="2" t="s">
        <v>1606</v>
      </c>
      <c r="C401" s="19" t="s">
        <v>1607</v>
      </c>
      <c r="D401" s="44" t="s">
        <v>609</v>
      </c>
      <c r="E401" s="133" t="s">
        <v>104</v>
      </c>
      <c r="F401" s="68" t="s">
        <v>1599</v>
      </c>
      <c r="G401" s="48" t="s">
        <v>1600</v>
      </c>
      <c r="J401" s="6" t="s">
        <v>145</v>
      </c>
      <c r="K401" s="6" t="s">
        <v>1608</v>
      </c>
      <c r="L401" s="3" t="s">
        <v>40</v>
      </c>
      <c r="M401" s="16" t="s">
        <v>1558</v>
      </c>
      <c r="N401" s="3" t="str">
        <f t="shared" si="7"/>
        <v>1  Year</v>
      </c>
      <c r="O401" s="3" t="s">
        <v>1520</v>
      </c>
      <c r="P401" s="3" t="s">
        <v>1559</v>
      </c>
      <c r="Q401" s="3">
        <v>2026</v>
      </c>
      <c r="R401" s="6" t="s">
        <v>44</v>
      </c>
      <c r="S401" s="6" t="s">
        <v>45</v>
      </c>
      <c r="T401" s="4" t="s">
        <v>1602</v>
      </c>
      <c r="Y401" t="s">
        <v>47</v>
      </c>
    </row>
    <row r="402" spans="1:29" ht="21.6">
      <c r="A402">
        <v>295</v>
      </c>
      <c r="B402" s="2" t="s">
        <v>1609</v>
      </c>
      <c r="C402" s="19" t="s">
        <v>1610</v>
      </c>
      <c r="D402" s="44" t="s">
        <v>609</v>
      </c>
      <c r="E402" s="133" t="s">
        <v>104</v>
      </c>
      <c r="F402" s="68" t="s">
        <v>1599</v>
      </c>
      <c r="G402" s="48" t="s">
        <v>1600</v>
      </c>
      <c r="J402" s="6" t="s">
        <v>145</v>
      </c>
      <c r="K402" s="6" t="s">
        <v>1611</v>
      </c>
      <c r="L402" s="3" t="s">
        <v>40</v>
      </c>
      <c r="M402" s="16" t="s">
        <v>1558</v>
      </c>
      <c r="N402" s="3" t="str">
        <f t="shared" si="7"/>
        <v>1  Year</v>
      </c>
      <c r="O402" s="3" t="s">
        <v>1520</v>
      </c>
      <c r="P402" s="3" t="s">
        <v>1559</v>
      </c>
      <c r="Q402" s="3">
        <v>2026</v>
      </c>
      <c r="R402" s="6" t="s">
        <v>44</v>
      </c>
      <c r="S402" s="6" t="s">
        <v>45</v>
      </c>
      <c r="T402" s="4" t="s">
        <v>1602</v>
      </c>
      <c r="Y402" t="s">
        <v>47</v>
      </c>
    </row>
    <row r="403" spans="1:29" ht="21.6">
      <c r="A403">
        <v>296</v>
      </c>
      <c r="B403" s="2" t="s">
        <v>1612</v>
      </c>
      <c r="C403" s="19" t="s">
        <v>1613</v>
      </c>
      <c r="D403" s="44" t="s">
        <v>1614</v>
      </c>
      <c r="E403" s="133" t="s">
        <v>104</v>
      </c>
      <c r="F403" s="68" t="s">
        <v>1599</v>
      </c>
      <c r="G403" s="48" t="s">
        <v>1600</v>
      </c>
      <c r="J403" s="6" t="s">
        <v>145</v>
      </c>
      <c r="K403" s="6" t="s">
        <v>1615</v>
      </c>
      <c r="L403" s="3" t="s">
        <v>40</v>
      </c>
      <c r="M403" s="16" t="s">
        <v>1558</v>
      </c>
      <c r="N403" s="3" t="str">
        <f t="shared" si="7"/>
        <v>1  Year</v>
      </c>
      <c r="O403" s="3" t="s">
        <v>1520</v>
      </c>
      <c r="P403" s="3" t="s">
        <v>1559</v>
      </c>
      <c r="Q403" s="3">
        <v>2026</v>
      </c>
      <c r="R403" s="6" t="s">
        <v>44</v>
      </c>
      <c r="S403" s="6" t="s">
        <v>45</v>
      </c>
      <c r="T403" s="4" t="s">
        <v>1602</v>
      </c>
      <c r="Y403" t="s">
        <v>47</v>
      </c>
    </row>
    <row r="404" spans="1:29" ht="21.6">
      <c r="A404">
        <v>297</v>
      </c>
      <c r="B404" s="2" t="s">
        <v>1616</v>
      </c>
      <c r="C404" s="19" t="s">
        <v>1617</v>
      </c>
      <c r="D404" s="44" t="s">
        <v>609</v>
      </c>
      <c r="E404" s="133" t="s">
        <v>104</v>
      </c>
      <c r="F404" s="68" t="s">
        <v>1599</v>
      </c>
      <c r="G404" s="48" t="s">
        <v>1600</v>
      </c>
      <c r="J404" s="6" t="s">
        <v>145</v>
      </c>
      <c r="K404" s="6" t="s">
        <v>1618</v>
      </c>
      <c r="L404" s="3" t="s">
        <v>40</v>
      </c>
      <c r="M404" s="16" t="s">
        <v>1558</v>
      </c>
      <c r="N404" s="3" t="str">
        <f t="shared" si="7"/>
        <v>1  Year</v>
      </c>
      <c r="O404" s="3" t="s">
        <v>1520</v>
      </c>
      <c r="P404" s="3" t="s">
        <v>1559</v>
      </c>
      <c r="Q404" s="3">
        <v>2026</v>
      </c>
      <c r="R404" s="6" t="s">
        <v>44</v>
      </c>
      <c r="S404" s="6" t="s">
        <v>45</v>
      </c>
      <c r="T404" s="4" t="s">
        <v>1602</v>
      </c>
      <c r="Y404" t="s">
        <v>47</v>
      </c>
    </row>
    <row r="405" spans="1:29" ht="28.8">
      <c r="A405">
        <v>298</v>
      </c>
      <c r="B405" s="2" t="s">
        <v>1619</v>
      </c>
      <c r="C405" s="19" t="s">
        <v>1620</v>
      </c>
      <c r="D405" s="44" t="s">
        <v>609</v>
      </c>
      <c r="E405" s="133" t="s">
        <v>104</v>
      </c>
      <c r="F405" s="68" t="s">
        <v>312</v>
      </c>
      <c r="G405" s="48" t="s">
        <v>1621</v>
      </c>
      <c r="H405" s="5" t="s">
        <v>1622</v>
      </c>
      <c r="I405" s="117" t="s">
        <v>1623</v>
      </c>
      <c r="J405" s="6" t="s">
        <v>145</v>
      </c>
      <c r="K405" s="6" t="s">
        <v>1624</v>
      </c>
      <c r="L405" s="3" t="s">
        <v>40</v>
      </c>
      <c r="M405" s="16" t="s">
        <v>1558</v>
      </c>
      <c r="N405" s="3" t="str">
        <f>IF(L405="New","1  Year",IF(L405="Promotional","15 Weeks",IF(L405="Revalidation","2 Years","")))</f>
        <v>1  Year</v>
      </c>
      <c r="O405" s="3" t="s">
        <v>1520</v>
      </c>
      <c r="P405" s="3" t="s">
        <v>1559</v>
      </c>
      <c r="Q405" s="3">
        <v>2026</v>
      </c>
      <c r="R405" s="6" t="s">
        <v>44</v>
      </c>
      <c r="S405" s="6" t="s">
        <v>45</v>
      </c>
      <c r="T405" s="4" t="s">
        <v>1602</v>
      </c>
      <c r="Y405" t="s">
        <v>47</v>
      </c>
    </row>
    <row r="406" spans="1:29" ht="28.8">
      <c r="A406">
        <v>299</v>
      </c>
      <c r="B406" s="2" t="s">
        <v>1625</v>
      </c>
      <c r="C406" s="19" t="s">
        <v>1626</v>
      </c>
      <c r="D406" s="44" t="s">
        <v>609</v>
      </c>
      <c r="E406" s="133" t="s">
        <v>104</v>
      </c>
      <c r="F406" s="68" t="s">
        <v>312</v>
      </c>
      <c r="G406" s="48" t="s">
        <v>1621</v>
      </c>
      <c r="H406" s="5" t="s">
        <v>1622</v>
      </c>
      <c r="I406" s="117" t="s">
        <v>1623</v>
      </c>
      <c r="J406" s="6" t="s">
        <v>145</v>
      </c>
      <c r="K406" s="6" t="s">
        <v>1627</v>
      </c>
      <c r="L406" s="3" t="s">
        <v>40</v>
      </c>
      <c r="M406" s="16" t="s">
        <v>1558</v>
      </c>
      <c r="N406" s="3" t="str">
        <f>IF(L406="New","1  Year",IF(L406="Promotional","15 Weeks",IF(L406="Revalidation","2 Years","")))</f>
        <v>1  Year</v>
      </c>
      <c r="O406" s="3" t="s">
        <v>1520</v>
      </c>
      <c r="P406" s="3" t="s">
        <v>1559</v>
      </c>
      <c r="Q406" s="3">
        <v>2026</v>
      </c>
      <c r="R406" s="6" t="s">
        <v>44</v>
      </c>
      <c r="S406" s="6" t="s">
        <v>45</v>
      </c>
      <c r="T406" s="4" t="s">
        <v>1602</v>
      </c>
      <c r="Y406" t="s">
        <v>47</v>
      </c>
    </row>
    <row r="407" spans="1:29" ht="31.8">
      <c r="A407">
        <v>300</v>
      </c>
      <c r="B407" s="7" t="s">
        <v>1628</v>
      </c>
      <c r="C407" s="19" t="s">
        <v>1629</v>
      </c>
      <c r="D407" s="44" t="s">
        <v>1630</v>
      </c>
      <c r="E407" s="2" t="s">
        <v>33</v>
      </c>
      <c r="F407" s="68" t="s">
        <v>549</v>
      </c>
      <c r="G407" s="48" t="s">
        <v>597</v>
      </c>
      <c r="H407" s="5" t="s">
        <v>551</v>
      </c>
      <c r="I407" s="117" t="s">
        <v>1631</v>
      </c>
      <c r="J407" s="6" t="s">
        <v>88</v>
      </c>
      <c r="K407" s="6" t="s">
        <v>1632</v>
      </c>
      <c r="L407" s="3" t="s">
        <v>40</v>
      </c>
      <c r="M407" s="16" t="s">
        <v>1558</v>
      </c>
      <c r="N407" s="3" t="str">
        <f t="shared" ref="N407:N471" si="8">IF(L407="New","1  Year",IF(L407="Promotional","15 Weeks",IF(L407="Revalidation","2 Years","")))</f>
        <v>1  Year</v>
      </c>
      <c r="O407" s="3" t="s">
        <v>42</v>
      </c>
      <c r="P407" s="3" t="s">
        <v>1559</v>
      </c>
      <c r="Q407" s="3">
        <v>2026</v>
      </c>
      <c r="R407" s="6" t="s">
        <v>44</v>
      </c>
      <c r="S407" s="6" t="s">
        <v>1633</v>
      </c>
      <c r="T407" s="4" t="s">
        <v>1634</v>
      </c>
      <c r="Y407" t="s">
        <v>2319</v>
      </c>
    </row>
    <row r="408" spans="1:29" ht="31.8">
      <c r="A408">
        <v>300</v>
      </c>
      <c r="B408" s="7" t="s">
        <v>1628</v>
      </c>
      <c r="C408" s="19" t="s">
        <v>1629</v>
      </c>
      <c r="D408" s="44" t="s">
        <v>1630</v>
      </c>
      <c r="E408" s="2" t="s">
        <v>33</v>
      </c>
      <c r="F408" s="68" t="s">
        <v>549</v>
      </c>
      <c r="G408" s="48" t="s">
        <v>597</v>
      </c>
      <c r="H408" s="5" t="s">
        <v>551</v>
      </c>
      <c r="I408" s="117" t="s">
        <v>1631</v>
      </c>
      <c r="J408" s="6" t="s">
        <v>1257</v>
      </c>
      <c r="K408" s="6" t="s">
        <v>1632</v>
      </c>
      <c r="L408" s="3" t="s">
        <v>40</v>
      </c>
      <c r="M408" s="16" t="s">
        <v>1558</v>
      </c>
      <c r="N408" s="3" t="str">
        <f t="shared" si="8"/>
        <v>1  Year</v>
      </c>
      <c r="O408" s="3" t="s">
        <v>42</v>
      </c>
      <c r="P408" s="3" t="s">
        <v>1559</v>
      </c>
      <c r="Q408" s="3">
        <v>2026</v>
      </c>
      <c r="R408" s="6" t="s">
        <v>44</v>
      </c>
      <c r="S408" s="6" t="s">
        <v>1633</v>
      </c>
      <c r="T408" s="4" t="s">
        <v>1634</v>
      </c>
      <c r="Y408" t="s">
        <v>2319</v>
      </c>
    </row>
    <row r="409" spans="1:29" ht="31.8">
      <c r="A409">
        <v>300</v>
      </c>
      <c r="B409" s="7" t="s">
        <v>1628</v>
      </c>
      <c r="C409" s="19" t="s">
        <v>1629</v>
      </c>
      <c r="D409" s="44" t="s">
        <v>1630</v>
      </c>
      <c r="E409" s="2" t="s">
        <v>33</v>
      </c>
      <c r="F409" s="68" t="s">
        <v>549</v>
      </c>
      <c r="G409" s="48" t="s">
        <v>597</v>
      </c>
      <c r="H409" s="5" t="s">
        <v>551</v>
      </c>
      <c r="I409" s="117" t="s">
        <v>1631</v>
      </c>
      <c r="J409" s="6" t="s">
        <v>92</v>
      </c>
      <c r="K409" s="6" t="s">
        <v>1632</v>
      </c>
      <c r="L409" s="3" t="s">
        <v>40</v>
      </c>
      <c r="M409" s="16" t="s">
        <v>1558</v>
      </c>
      <c r="N409" s="3" t="str">
        <f t="shared" si="8"/>
        <v>1  Year</v>
      </c>
      <c r="O409" s="3" t="s">
        <v>42</v>
      </c>
      <c r="P409" s="3" t="s">
        <v>1559</v>
      </c>
      <c r="Q409" s="3">
        <v>2026</v>
      </c>
      <c r="R409" s="6" t="s">
        <v>44</v>
      </c>
      <c r="S409" s="6" t="s">
        <v>1633</v>
      </c>
      <c r="T409" s="4" t="s">
        <v>1634</v>
      </c>
      <c r="Y409" t="s">
        <v>2319</v>
      </c>
    </row>
    <row r="410" spans="1:29" ht="31.8">
      <c r="A410">
        <v>301</v>
      </c>
      <c r="B410" s="7" t="s">
        <v>1628</v>
      </c>
      <c r="C410" s="19" t="s">
        <v>1629</v>
      </c>
      <c r="D410" s="44" t="s">
        <v>1630</v>
      </c>
      <c r="E410" s="2" t="s">
        <v>33</v>
      </c>
      <c r="F410" s="68" t="s">
        <v>549</v>
      </c>
      <c r="G410" s="48" t="s">
        <v>597</v>
      </c>
      <c r="H410" s="5" t="s">
        <v>551</v>
      </c>
      <c r="I410" s="117" t="s">
        <v>1631</v>
      </c>
      <c r="J410" s="6" t="s">
        <v>88</v>
      </c>
      <c r="K410" s="6" t="s">
        <v>1635</v>
      </c>
      <c r="L410" s="3" t="s">
        <v>40</v>
      </c>
      <c r="M410" s="16" t="s">
        <v>1558</v>
      </c>
      <c r="N410" s="3" t="str">
        <f t="shared" si="8"/>
        <v>1  Year</v>
      </c>
      <c r="O410" s="3" t="s">
        <v>42</v>
      </c>
      <c r="P410" s="3" t="s">
        <v>1559</v>
      </c>
      <c r="Q410" s="3">
        <v>2026</v>
      </c>
      <c r="R410" s="6" t="s">
        <v>80</v>
      </c>
      <c r="S410" s="6" t="s">
        <v>1636</v>
      </c>
      <c r="T410" s="4" t="s">
        <v>1634</v>
      </c>
      <c r="Y410" t="s">
        <v>2319</v>
      </c>
    </row>
    <row r="411" spans="1:29" ht="31.8">
      <c r="A411">
        <v>301</v>
      </c>
      <c r="B411" s="7" t="s">
        <v>1628</v>
      </c>
      <c r="C411" s="19" t="s">
        <v>1629</v>
      </c>
      <c r="D411" s="44" t="s">
        <v>1630</v>
      </c>
      <c r="E411" s="2" t="s">
        <v>33</v>
      </c>
      <c r="F411" s="68" t="s">
        <v>549</v>
      </c>
      <c r="G411" s="48" t="s">
        <v>597</v>
      </c>
      <c r="H411" s="5" t="s">
        <v>551</v>
      </c>
      <c r="I411" s="117" t="s">
        <v>1631</v>
      </c>
      <c r="J411" s="6" t="s">
        <v>1257</v>
      </c>
      <c r="K411" s="6" t="s">
        <v>1635</v>
      </c>
      <c r="L411" s="3" t="s">
        <v>40</v>
      </c>
      <c r="M411" s="16" t="s">
        <v>1558</v>
      </c>
      <c r="N411" s="3" t="str">
        <f t="shared" si="8"/>
        <v>1  Year</v>
      </c>
      <c r="O411" s="3" t="s">
        <v>42</v>
      </c>
      <c r="P411" s="3" t="s">
        <v>1559</v>
      </c>
      <c r="Q411" s="3">
        <v>2026</v>
      </c>
      <c r="R411" s="6" t="s">
        <v>80</v>
      </c>
      <c r="S411" s="6" t="s">
        <v>1636</v>
      </c>
      <c r="T411" s="4" t="s">
        <v>1634</v>
      </c>
      <c r="Y411" t="s">
        <v>2319</v>
      </c>
    </row>
    <row r="412" spans="1:29" ht="31.8">
      <c r="A412">
        <v>301</v>
      </c>
      <c r="B412" s="7" t="s">
        <v>1628</v>
      </c>
      <c r="C412" s="19" t="s">
        <v>1629</v>
      </c>
      <c r="D412" s="44" t="s">
        <v>1630</v>
      </c>
      <c r="E412" s="2" t="s">
        <v>33</v>
      </c>
      <c r="F412" s="68" t="s">
        <v>549</v>
      </c>
      <c r="G412" s="48" t="s">
        <v>597</v>
      </c>
      <c r="H412" s="5" t="s">
        <v>551</v>
      </c>
      <c r="I412" s="117" t="s">
        <v>1631</v>
      </c>
      <c r="J412" s="6" t="s">
        <v>48</v>
      </c>
      <c r="K412" s="6" t="s">
        <v>1635</v>
      </c>
      <c r="L412" s="3" t="s">
        <v>40</v>
      </c>
      <c r="M412" s="16" t="s">
        <v>1558</v>
      </c>
      <c r="N412" s="3" t="str">
        <f t="shared" si="8"/>
        <v>1  Year</v>
      </c>
      <c r="O412" s="3" t="s">
        <v>42</v>
      </c>
      <c r="P412" s="3" t="s">
        <v>1559</v>
      </c>
      <c r="Q412" s="3">
        <v>2026</v>
      </c>
      <c r="R412" s="6" t="s">
        <v>80</v>
      </c>
      <c r="S412" s="6" t="s">
        <v>1636</v>
      </c>
      <c r="T412" s="4" t="s">
        <v>1634</v>
      </c>
      <c r="Y412" t="s">
        <v>2319</v>
      </c>
    </row>
    <row r="413" spans="1:29" ht="31.8">
      <c r="A413">
        <v>301</v>
      </c>
      <c r="B413" s="7" t="s">
        <v>1628</v>
      </c>
      <c r="C413" s="19" t="s">
        <v>1629</v>
      </c>
      <c r="D413" s="44" t="s">
        <v>1630</v>
      </c>
      <c r="E413" s="2" t="s">
        <v>33</v>
      </c>
      <c r="F413" s="68" t="s">
        <v>549</v>
      </c>
      <c r="G413" s="48" t="s">
        <v>597</v>
      </c>
      <c r="H413" s="5" t="s">
        <v>551</v>
      </c>
      <c r="I413" s="117" t="s">
        <v>1631</v>
      </c>
      <c r="J413" s="6" t="s">
        <v>92</v>
      </c>
      <c r="K413" s="6" t="s">
        <v>1635</v>
      </c>
      <c r="L413" s="3" t="s">
        <v>40</v>
      </c>
      <c r="M413" s="16" t="s">
        <v>1558</v>
      </c>
      <c r="N413" s="3" t="str">
        <f t="shared" si="8"/>
        <v>1  Year</v>
      </c>
      <c r="O413" s="3" t="s">
        <v>42</v>
      </c>
      <c r="P413" s="3" t="s">
        <v>1559</v>
      </c>
      <c r="Q413" s="3">
        <v>2026</v>
      </c>
      <c r="R413" s="6" t="s">
        <v>80</v>
      </c>
      <c r="S413" s="6" t="s">
        <v>1636</v>
      </c>
      <c r="T413" s="4" t="s">
        <v>1634</v>
      </c>
      <c r="Y413" t="s">
        <v>2319</v>
      </c>
    </row>
    <row r="414" spans="1:29" ht="21.6">
      <c r="A414">
        <v>302</v>
      </c>
      <c r="B414" s="2" t="s">
        <v>1637</v>
      </c>
      <c r="C414" s="19" t="s">
        <v>1471</v>
      </c>
      <c r="D414" s="44" t="s">
        <v>1638</v>
      </c>
      <c r="E414" s="2" t="s">
        <v>33</v>
      </c>
      <c r="F414" s="68" t="s">
        <v>966</v>
      </c>
      <c r="G414" s="48" t="s">
        <v>1639</v>
      </c>
      <c r="H414" s="5" t="s">
        <v>1473</v>
      </c>
      <c r="I414" s="117" t="s">
        <v>1474</v>
      </c>
      <c r="J414" s="6" t="s">
        <v>92</v>
      </c>
      <c r="K414" s="6" t="s">
        <v>1512</v>
      </c>
      <c r="L414" s="3" t="s">
        <v>40</v>
      </c>
      <c r="M414" s="16" t="s">
        <v>1558</v>
      </c>
      <c r="N414" s="3" t="str">
        <f t="shared" si="8"/>
        <v>1  Year</v>
      </c>
      <c r="O414" s="3" t="s">
        <v>42</v>
      </c>
      <c r="P414" s="3" t="s">
        <v>1559</v>
      </c>
      <c r="Q414" s="3">
        <v>2026</v>
      </c>
      <c r="R414" s="6" t="s">
        <v>80</v>
      </c>
      <c r="S414" s="6" t="s">
        <v>45</v>
      </c>
      <c r="T414" s="4" t="s">
        <v>1640</v>
      </c>
      <c r="Y414" t="s">
        <v>2319</v>
      </c>
    </row>
    <row r="415" spans="1:29" ht="21.6">
      <c r="A415">
        <v>302</v>
      </c>
      <c r="B415" s="2" t="s">
        <v>1637</v>
      </c>
      <c r="C415" s="19" t="s">
        <v>1471</v>
      </c>
      <c r="D415" s="44" t="s">
        <v>1638</v>
      </c>
      <c r="E415" s="2" t="s">
        <v>33</v>
      </c>
      <c r="F415" s="68" t="s">
        <v>966</v>
      </c>
      <c r="G415" s="48" t="s">
        <v>1639</v>
      </c>
      <c r="H415" s="5" t="s">
        <v>1473</v>
      </c>
      <c r="I415" s="117" t="s">
        <v>1474</v>
      </c>
      <c r="J415" s="6" t="s">
        <v>145</v>
      </c>
      <c r="K415" s="6" t="s">
        <v>1512</v>
      </c>
      <c r="L415" s="3" t="s">
        <v>40</v>
      </c>
      <c r="M415" s="16" t="s">
        <v>1558</v>
      </c>
      <c r="N415" s="3" t="str">
        <f t="shared" si="8"/>
        <v>1  Year</v>
      </c>
      <c r="O415" s="3" t="s">
        <v>42</v>
      </c>
      <c r="P415" s="3" t="s">
        <v>1559</v>
      </c>
      <c r="Q415" s="3">
        <v>2026</v>
      </c>
      <c r="R415" s="6" t="s">
        <v>80</v>
      </c>
      <c r="S415" s="6" t="s">
        <v>45</v>
      </c>
      <c r="T415" s="4" t="s">
        <v>1640</v>
      </c>
      <c r="U415" t="s">
        <v>162</v>
      </c>
      <c r="W415" t="s">
        <v>1641</v>
      </c>
      <c r="X415" t="s">
        <v>163</v>
      </c>
      <c r="Y415" s="79" t="s">
        <v>103</v>
      </c>
      <c r="Z415" t="s">
        <v>104</v>
      </c>
      <c r="AA415" s="4" t="s">
        <v>1642</v>
      </c>
      <c r="AB415" t="s">
        <v>165</v>
      </c>
      <c r="AC415" s="80">
        <v>46220</v>
      </c>
    </row>
    <row r="416" spans="1:29" ht="31.8">
      <c r="A416">
        <v>303</v>
      </c>
      <c r="B416" s="2" t="s">
        <v>836</v>
      </c>
      <c r="C416" s="19" t="s">
        <v>837</v>
      </c>
      <c r="D416" s="44" t="s">
        <v>1643</v>
      </c>
      <c r="E416" s="2" t="s">
        <v>33</v>
      </c>
      <c r="F416" s="68" t="s">
        <v>838</v>
      </c>
      <c r="G416" s="48" t="s">
        <v>1644</v>
      </c>
      <c r="I416" s="117" t="s">
        <v>1645</v>
      </c>
      <c r="J416" s="6" t="s">
        <v>88</v>
      </c>
      <c r="K416" s="6" t="s">
        <v>1646</v>
      </c>
      <c r="L416" s="3" t="s">
        <v>40</v>
      </c>
      <c r="M416" s="16" t="s">
        <v>1558</v>
      </c>
      <c r="N416" s="3" t="str">
        <f t="shared" si="8"/>
        <v>1  Year</v>
      </c>
      <c r="O416" s="3" t="s">
        <v>42</v>
      </c>
      <c r="P416" s="3" t="s">
        <v>1559</v>
      </c>
      <c r="Q416" s="3">
        <v>2026</v>
      </c>
      <c r="R416" s="6" t="s">
        <v>80</v>
      </c>
      <c r="S416" s="6" t="s">
        <v>841</v>
      </c>
      <c r="T416" s="4" t="s">
        <v>1647</v>
      </c>
      <c r="Y416" t="s">
        <v>2319</v>
      </c>
    </row>
    <row r="417" spans="1:25" ht="31.8">
      <c r="A417">
        <v>303</v>
      </c>
      <c r="B417" s="2" t="s">
        <v>836</v>
      </c>
      <c r="C417" s="19" t="s">
        <v>837</v>
      </c>
      <c r="D417" s="44" t="s">
        <v>1643</v>
      </c>
      <c r="E417" s="2" t="s">
        <v>33</v>
      </c>
      <c r="F417" s="68" t="s">
        <v>838</v>
      </c>
      <c r="G417" s="48" t="s">
        <v>1644</v>
      </c>
      <c r="I417" s="117" t="s">
        <v>1645</v>
      </c>
      <c r="J417" s="6" t="s">
        <v>92</v>
      </c>
      <c r="K417" s="6" t="s">
        <v>1646</v>
      </c>
      <c r="L417" s="3" t="s">
        <v>40</v>
      </c>
      <c r="M417" s="16" t="s">
        <v>1558</v>
      </c>
      <c r="N417" s="3" t="str">
        <f t="shared" si="8"/>
        <v>1  Year</v>
      </c>
      <c r="O417" s="3" t="s">
        <v>42</v>
      </c>
      <c r="P417" s="3" t="s">
        <v>1559</v>
      </c>
      <c r="Q417" s="3">
        <v>2026</v>
      </c>
      <c r="R417" s="6" t="s">
        <v>80</v>
      </c>
      <c r="S417" s="6" t="s">
        <v>841</v>
      </c>
      <c r="T417" s="4" t="s">
        <v>1647</v>
      </c>
      <c r="Y417" t="s">
        <v>2319</v>
      </c>
    </row>
    <row r="418" spans="1:25" ht="31.8">
      <c r="A418">
        <v>303</v>
      </c>
      <c r="B418" s="2" t="s">
        <v>836</v>
      </c>
      <c r="C418" s="19" t="s">
        <v>837</v>
      </c>
      <c r="D418" s="44" t="s">
        <v>1643</v>
      </c>
      <c r="E418" s="2" t="s">
        <v>33</v>
      </c>
      <c r="F418" s="68" t="s">
        <v>838</v>
      </c>
      <c r="G418" s="48" t="s">
        <v>1644</v>
      </c>
      <c r="I418" s="117" t="s">
        <v>1645</v>
      </c>
      <c r="J418" s="6" t="s">
        <v>48</v>
      </c>
      <c r="K418" s="6" t="s">
        <v>1646</v>
      </c>
      <c r="L418" s="3" t="s">
        <v>40</v>
      </c>
      <c r="M418" s="16" t="s">
        <v>1558</v>
      </c>
      <c r="N418" s="3" t="str">
        <f t="shared" si="8"/>
        <v>1  Year</v>
      </c>
      <c r="O418" s="3" t="s">
        <v>42</v>
      </c>
      <c r="P418" s="3" t="s">
        <v>1559</v>
      </c>
      <c r="Q418" s="3">
        <v>2026</v>
      </c>
      <c r="R418" s="6" t="s">
        <v>80</v>
      </c>
      <c r="S418" s="6" t="s">
        <v>841</v>
      </c>
      <c r="T418" s="4" t="s">
        <v>1647</v>
      </c>
      <c r="Y418" t="s">
        <v>2319</v>
      </c>
    </row>
    <row r="419" spans="1:25" ht="31.8">
      <c r="A419">
        <v>303</v>
      </c>
      <c r="B419" s="2" t="s">
        <v>836</v>
      </c>
      <c r="C419" s="19" t="s">
        <v>837</v>
      </c>
      <c r="D419" s="44" t="s">
        <v>1643</v>
      </c>
      <c r="E419" s="2" t="s">
        <v>33</v>
      </c>
      <c r="F419" s="68" t="s">
        <v>838</v>
      </c>
      <c r="G419" s="48" t="s">
        <v>1644</v>
      </c>
      <c r="I419" s="117" t="s">
        <v>1645</v>
      </c>
      <c r="J419" s="6" t="s">
        <v>145</v>
      </c>
      <c r="K419" s="6" t="s">
        <v>1646</v>
      </c>
      <c r="L419" s="3" t="s">
        <v>40</v>
      </c>
      <c r="M419" s="16" t="s">
        <v>1558</v>
      </c>
      <c r="N419" s="3" t="str">
        <f t="shared" si="8"/>
        <v>1  Year</v>
      </c>
      <c r="O419" s="3" t="s">
        <v>42</v>
      </c>
      <c r="P419" s="3" t="s">
        <v>1559</v>
      </c>
      <c r="Q419" s="3">
        <v>2026</v>
      </c>
      <c r="R419" s="6" t="s">
        <v>80</v>
      </c>
      <c r="S419" s="6" t="s">
        <v>841</v>
      </c>
      <c r="T419" s="4" t="s">
        <v>1647</v>
      </c>
      <c r="Y419" t="s">
        <v>47</v>
      </c>
    </row>
    <row r="420" spans="1:25" ht="21.6">
      <c r="A420">
        <v>304</v>
      </c>
      <c r="B420" s="2" t="s">
        <v>1550</v>
      </c>
      <c r="C420" s="19" t="s">
        <v>1551</v>
      </c>
      <c r="D420" s="44" t="s">
        <v>1552</v>
      </c>
      <c r="E420" s="2" t="s">
        <v>104</v>
      </c>
      <c r="F420" s="68" t="s">
        <v>1553</v>
      </c>
      <c r="G420" s="48" t="s">
        <v>1554</v>
      </c>
      <c r="H420" s="5" t="s">
        <v>1555</v>
      </c>
      <c r="I420" s="117" t="s">
        <v>1556</v>
      </c>
      <c r="J420" s="6" t="s">
        <v>57</v>
      </c>
      <c r="K420" s="6" t="s">
        <v>1568</v>
      </c>
      <c r="L420" s="3" t="s">
        <v>40</v>
      </c>
      <c r="M420" s="16" t="s">
        <v>1558</v>
      </c>
      <c r="N420" s="3" t="str">
        <f t="shared" si="8"/>
        <v>1  Year</v>
      </c>
      <c r="O420" s="3" t="s">
        <v>42</v>
      </c>
      <c r="P420" s="3" t="s">
        <v>1559</v>
      </c>
      <c r="Q420" s="3">
        <v>2026</v>
      </c>
      <c r="R420" s="6" t="s">
        <v>44</v>
      </c>
      <c r="S420" s="6" t="s">
        <v>45</v>
      </c>
      <c r="T420" s="4" t="s">
        <v>1560</v>
      </c>
      <c r="Y420" t="s">
        <v>47</v>
      </c>
    </row>
    <row r="421" spans="1:25" ht="21.6">
      <c r="A421">
        <v>305</v>
      </c>
      <c r="B421" s="2" t="s">
        <v>1648</v>
      </c>
      <c r="C421" s="19" t="s">
        <v>1649</v>
      </c>
      <c r="D421" s="44" t="s">
        <v>169</v>
      </c>
      <c r="E421" s="2" t="s">
        <v>52</v>
      </c>
      <c r="F421" s="68" t="s">
        <v>1650</v>
      </c>
      <c r="G421" s="48" t="s">
        <v>1651</v>
      </c>
      <c r="H421" s="5" t="s">
        <v>1652</v>
      </c>
      <c r="I421" s="117" t="s">
        <v>1653</v>
      </c>
      <c r="J421" s="6" t="s">
        <v>38</v>
      </c>
      <c r="K421" s="6" t="s">
        <v>1654</v>
      </c>
      <c r="L421" s="3" t="s">
        <v>40</v>
      </c>
      <c r="M421" s="16" t="s">
        <v>1558</v>
      </c>
      <c r="N421" s="3" t="str">
        <f t="shared" si="8"/>
        <v>1  Year</v>
      </c>
      <c r="O421" s="3" t="s">
        <v>42</v>
      </c>
      <c r="P421" s="3" t="s">
        <v>1559</v>
      </c>
      <c r="Q421" s="3">
        <v>2026</v>
      </c>
      <c r="R421" s="6" t="s">
        <v>44</v>
      </c>
      <c r="S421" s="6" t="s">
        <v>45</v>
      </c>
      <c r="T421" s="4" t="s">
        <v>1655</v>
      </c>
      <c r="Y421" t="s">
        <v>47</v>
      </c>
    </row>
    <row r="422" spans="1:25" ht="21.6">
      <c r="A422">
        <v>306</v>
      </c>
      <c r="B422" s="2" t="s">
        <v>1656</v>
      </c>
      <c r="C422" s="19" t="s">
        <v>1657</v>
      </c>
      <c r="D422" s="44" t="s">
        <v>1658</v>
      </c>
      <c r="E422" s="2" t="s">
        <v>52</v>
      </c>
      <c r="F422" s="68" t="s">
        <v>1650</v>
      </c>
      <c r="G422" s="48" t="s">
        <v>1651</v>
      </c>
      <c r="H422" s="5" t="s">
        <v>1652</v>
      </c>
      <c r="I422" s="117" t="s">
        <v>1653</v>
      </c>
      <c r="J422" s="6" t="s">
        <v>38</v>
      </c>
      <c r="K422" s="6" t="s">
        <v>1659</v>
      </c>
      <c r="L422" s="3" t="s">
        <v>40</v>
      </c>
      <c r="M422" s="16" t="s">
        <v>1558</v>
      </c>
      <c r="N422" s="3" t="str">
        <f t="shared" si="8"/>
        <v>1  Year</v>
      </c>
      <c r="O422" s="3" t="s">
        <v>42</v>
      </c>
      <c r="P422" s="3" t="s">
        <v>1559</v>
      </c>
      <c r="Q422" s="3">
        <v>2026</v>
      </c>
      <c r="R422" s="6" t="s">
        <v>44</v>
      </c>
      <c r="S422" s="6" t="s">
        <v>45</v>
      </c>
      <c r="T422" s="4" t="s">
        <v>1655</v>
      </c>
      <c r="Y422" t="s">
        <v>47</v>
      </c>
    </row>
    <row r="423" spans="1:25" ht="21.6">
      <c r="A423">
        <v>307</v>
      </c>
      <c r="B423" s="2" t="s">
        <v>1660</v>
      </c>
      <c r="C423" s="19" t="s">
        <v>1661</v>
      </c>
      <c r="D423" s="44" t="s">
        <v>1662</v>
      </c>
      <c r="E423" s="2" t="s">
        <v>52</v>
      </c>
      <c r="F423" s="68" t="s">
        <v>1650</v>
      </c>
      <c r="G423" s="48" t="s">
        <v>1651</v>
      </c>
      <c r="H423" s="5" t="s">
        <v>1652</v>
      </c>
      <c r="I423" s="117" t="s">
        <v>1653</v>
      </c>
      <c r="J423" s="6" t="s">
        <v>38</v>
      </c>
      <c r="K423" s="6" t="s">
        <v>1663</v>
      </c>
      <c r="L423" s="3" t="s">
        <v>40</v>
      </c>
      <c r="M423" s="16" t="s">
        <v>1558</v>
      </c>
      <c r="N423" s="3" t="str">
        <f t="shared" si="8"/>
        <v>1  Year</v>
      </c>
      <c r="O423" s="3" t="s">
        <v>42</v>
      </c>
      <c r="P423" s="3" t="s">
        <v>1559</v>
      </c>
      <c r="Q423" s="3">
        <v>2026</v>
      </c>
      <c r="R423" s="6" t="s">
        <v>44</v>
      </c>
      <c r="S423" s="6" t="s">
        <v>45</v>
      </c>
      <c r="T423" s="4" t="s">
        <v>1655</v>
      </c>
      <c r="Y423" t="s">
        <v>47</v>
      </c>
    </row>
    <row r="424" spans="1:25" ht="21.6">
      <c r="A424">
        <v>308</v>
      </c>
      <c r="B424" s="2" t="s">
        <v>1664</v>
      </c>
      <c r="C424" s="19" t="s">
        <v>1665</v>
      </c>
      <c r="D424" s="44" t="s">
        <v>1666</v>
      </c>
      <c r="E424" s="2" t="s">
        <v>52</v>
      </c>
      <c r="F424" s="68" t="s">
        <v>1650</v>
      </c>
      <c r="G424" s="48" t="s">
        <v>1651</v>
      </c>
      <c r="H424" s="76" t="s">
        <v>1652</v>
      </c>
      <c r="I424" s="117" t="s">
        <v>1653</v>
      </c>
      <c r="J424" s="6" t="s">
        <v>38</v>
      </c>
      <c r="K424" s="6" t="s">
        <v>1667</v>
      </c>
      <c r="L424" s="3" t="s">
        <v>40</v>
      </c>
      <c r="M424" s="16" t="s">
        <v>1558</v>
      </c>
      <c r="N424" s="3" t="str">
        <f t="shared" si="8"/>
        <v>1  Year</v>
      </c>
      <c r="O424" s="3" t="s">
        <v>42</v>
      </c>
      <c r="P424" s="3" t="s">
        <v>1559</v>
      </c>
      <c r="Q424" s="3">
        <v>2026</v>
      </c>
      <c r="R424" s="6" t="s">
        <v>44</v>
      </c>
      <c r="S424" s="6" t="s">
        <v>45</v>
      </c>
      <c r="T424" s="4" t="s">
        <v>1655</v>
      </c>
      <c r="Y424" t="s">
        <v>47</v>
      </c>
    </row>
    <row r="425" spans="1:25" ht="21.6">
      <c r="A425">
        <v>309</v>
      </c>
      <c r="B425" s="2" t="s">
        <v>1668</v>
      </c>
      <c r="C425" s="19" t="s">
        <v>1669</v>
      </c>
      <c r="D425" s="44" t="s">
        <v>169</v>
      </c>
      <c r="E425" s="2" t="s">
        <v>52</v>
      </c>
      <c r="F425" s="68" t="s">
        <v>1650</v>
      </c>
      <c r="G425" s="48" t="s">
        <v>1651</v>
      </c>
      <c r="H425" s="5" t="s">
        <v>1652</v>
      </c>
      <c r="I425" s="117" t="s">
        <v>1653</v>
      </c>
      <c r="J425" s="6" t="s">
        <v>38</v>
      </c>
      <c r="K425" s="6" t="s">
        <v>1670</v>
      </c>
      <c r="L425" s="3" t="s">
        <v>40</v>
      </c>
      <c r="M425" s="16" t="s">
        <v>1558</v>
      </c>
      <c r="N425" s="3" t="str">
        <f t="shared" si="8"/>
        <v>1  Year</v>
      </c>
      <c r="O425" s="3" t="s">
        <v>42</v>
      </c>
      <c r="P425" s="3" t="s">
        <v>1559</v>
      </c>
      <c r="Q425" s="3">
        <v>2026</v>
      </c>
      <c r="R425" s="6" t="s">
        <v>44</v>
      </c>
      <c r="S425" s="6" t="s">
        <v>45</v>
      </c>
      <c r="T425" s="4" t="s">
        <v>1655</v>
      </c>
      <c r="Y425" t="s">
        <v>47</v>
      </c>
    </row>
    <row r="426" spans="1:25" ht="21.6">
      <c r="A426">
        <v>310</v>
      </c>
      <c r="B426" s="2" t="s">
        <v>1671</v>
      </c>
      <c r="C426" s="19" t="s">
        <v>1672</v>
      </c>
      <c r="D426" s="44" t="s">
        <v>1673</v>
      </c>
      <c r="E426" s="2" t="s">
        <v>52</v>
      </c>
      <c r="F426" s="68" t="s">
        <v>1650</v>
      </c>
      <c r="G426" s="48" t="s">
        <v>1651</v>
      </c>
      <c r="H426" s="76" t="s">
        <v>1652</v>
      </c>
      <c r="I426" s="117" t="s">
        <v>1653</v>
      </c>
      <c r="J426" s="6" t="s">
        <v>38</v>
      </c>
      <c r="K426" s="6" t="s">
        <v>1674</v>
      </c>
      <c r="L426" s="3" t="s">
        <v>40</v>
      </c>
      <c r="M426" s="16" t="s">
        <v>1558</v>
      </c>
      <c r="N426" s="3" t="str">
        <f t="shared" si="8"/>
        <v>1  Year</v>
      </c>
      <c r="O426" s="3" t="s">
        <v>42</v>
      </c>
      <c r="P426" s="3" t="s">
        <v>1559</v>
      </c>
      <c r="Q426" s="3">
        <v>2026</v>
      </c>
      <c r="R426" s="6" t="s">
        <v>44</v>
      </c>
      <c r="S426" s="6" t="s">
        <v>45</v>
      </c>
      <c r="T426" s="4" t="s">
        <v>1655</v>
      </c>
      <c r="Y426" t="s">
        <v>47</v>
      </c>
    </row>
    <row r="427" spans="1:25" ht="28.8">
      <c r="A427">
        <v>311</v>
      </c>
      <c r="B427" s="2" t="s">
        <v>1675</v>
      </c>
      <c r="C427" s="19" t="s">
        <v>1676</v>
      </c>
      <c r="D427" s="44" t="s">
        <v>1677</v>
      </c>
      <c r="E427" s="2" t="s">
        <v>104</v>
      </c>
      <c r="F427" s="68" t="s">
        <v>1678</v>
      </c>
      <c r="G427" s="48" t="s">
        <v>1679</v>
      </c>
      <c r="H427" s="5" t="s">
        <v>1680</v>
      </c>
      <c r="I427" s="117" t="s">
        <v>1681</v>
      </c>
      <c r="J427" s="6" t="s">
        <v>145</v>
      </c>
      <c r="K427" s="6" t="s">
        <v>1682</v>
      </c>
      <c r="L427" s="3" t="s">
        <v>40</v>
      </c>
      <c r="M427" s="16" t="s">
        <v>1558</v>
      </c>
      <c r="N427" s="3" t="str">
        <f t="shared" si="8"/>
        <v>1  Year</v>
      </c>
      <c r="O427" s="3" t="s">
        <v>1520</v>
      </c>
      <c r="P427" s="3" t="s">
        <v>1559</v>
      </c>
      <c r="Q427" s="3">
        <v>2026</v>
      </c>
      <c r="R427" s="6" t="s">
        <v>44</v>
      </c>
      <c r="S427" s="6" t="s">
        <v>45</v>
      </c>
      <c r="T427" s="5" t="s">
        <v>1683</v>
      </c>
      <c r="Y427" t="s">
        <v>47</v>
      </c>
    </row>
    <row r="428" spans="1:25" ht="28.8">
      <c r="A428">
        <v>312</v>
      </c>
      <c r="B428" s="2" t="s">
        <v>1684</v>
      </c>
      <c r="C428" s="19" t="s">
        <v>1685</v>
      </c>
      <c r="D428" s="44" t="s">
        <v>1677</v>
      </c>
      <c r="E428" s="2" t="s">
        <v>104</v>
      </c>
      <c r="F428" s="68" t="s">
        <v>1678</v>
      </c>
      <c r="G428" s="48" t="s">
        <v>1679</v>
      </c>
      <c r="H428" s="5" t="s">
        <v>1680</v>
      </c>
      <c r="I428" s="117" t="s">
        <v>1681</v>
      </c>
      <c r="J428" s="6" t="s">
        <v>145</v>
      </c>
      <c r="K428" s="6" t="s">
        <v>1686</v>
      </c>
      <c r="L428" s="3" t="s">
        <v>40</v>
      </c>
      <c r="M428" s="16" t="s">
        <v>1558</v>
      </c>
      <c r="N428" s="3" t="str">
        <f t="shared" si="8"/>
        <v>1  Year</v>
      </c>
      <c r="O428" s="3" t="s">
        <v>1520</v>
      </c>
      <c r="P428" s="3" t="s">
        <v>1559</v>
      </c>
      <c r="Q428" s="3">
        <v>2026</v>
      </c>
      <c r="R428" s="6" t="s">
        <v>44</v>
      </c>
      <c r="S428" s="6" t="s">
        <v>45</v>
      </c>
      <c r="T428" s="5" t="s">
        <v>1683</v>
      </c>
      <c r="Y428" t="s">
        <v>47</v>
      </c>
    </row>
    <row r="429" spans="1:25" ht="28.8">
      <c r="A429">
        <v>313</v>
      </c>
      <c r="B429" s="2" t="s">
        <v>1687</v>
      </c>
      <c r="C429" s="19" t="s">
        <v>1685</v>
      </c>
      <c r="D429" s="44" t="s">
        <v>1677</v>
      </c>
      <c r="E429" s="2" t="s">
        <v>104</v>
      </c>
      <c r="F429" s="68" t="s">
        <v>1678</v>
      </c>
      <c r="G429" s="48" t="s">
        <v>1679</v>
      </c>
      <c r="H429" s="5" t="s">
        <v>1680</v>
      </c>
      <c r="I429" s="117" t="s">
        <v>1681</v>
      </c>
      <c r="J429" s="6" t="s">
        <v>145</v>
      </c>
      <c r="K429" s="6" t="s">
        <v>1688</v>
      </c>
      <c r="L429" s="3" t="s">
        <v>40</v>
      </c>
      <c r="M429" s="16" t="s">
        <v>1558</v>
      </c>
      <c r="N429" s="3" t="str">
        <f t="shared" si="8"/>
        <v>1  Year</v>
      </c>
      <c r="O429" s="3" t="s">
        <v>1520</v>
      </c>
      <c r="P429" s="3" t="s">
        <v>1559</v>
      </c>
      <c r="Q429" s="3">
        <v>2026</v>
      </c>
      <c r="R429" s="6" t="s">
        <v>44</v>
      </c>
      <c r="S429" s="6" t="s">
        <v>45</v>
      </c>
      <c r="T429" s="5" t="s">
        <v>1683</v>
      </c>
      <c r="Y429" t="s">
        <v>47</v>
      </c>
    </row>
    <row r="430" spans="1:25" ht="21.6">
      <c r="A430">
        <v>314</v>
      </c>
      <c r="B430" s="7" t="s">
        <v>1689</v>
      </c>
      <c r="C430" s="19" t="s">
        <v>1690</v>
      </c>
      <c r="D430" s="44" t="s">
        <v>693</v>
      </c>
      <c r="E430" s="2" t="s">
        <v>104</v>
      </c>
      <c r="F430" s="68" t="s">
        <v>235</v>
      </c>
      <c r="G430" s="48" t="s">
        <v>1691</v>
      </c>
      <c r="J430" s="6" t="s">
        <v>88</v>
      </c>
      <c r="K430" s="6" t="s">
        <v>1692</v>
      </c>
      <c r="L430" s="3" t="s">
        <v>40</v>
      </c>
      <c r="M430" s="16" t="s">
        <v>1558</v>
      </c>
      <c r="N430" s="3" t="str">
        <f t="shared" si="8"/>
        <v>1  Year</v>
      </c>
      <c r="O430" s="3" t="s">
        <v>202</v>
      </c>
      <c r="P430" s="3" t="s">
        <v>1559</v>
      </c>
      <c r="Q430" s="3">
        <v>2026</v>
      </c>
      <c r="R430" s="6" t="s">
        <v>80</v>
      </c>
      <c r="S430" s="6" t="s">
        <v>356</v>
      </c>
      <c r="T430" s="4" t="s">
        <v>1693</v>
      </c>
      <c r="Y430" t="s">
        <v>2319</v>
      </c>
    </row>
    <row r="431" spans="1:25" ht="21.6">
      <c r="A431">
        <v>314</v>
      </c>
      <c r="B431" s="2" t="s">
        <v>1689</v>
      </c>
      <c r="C431" s="19" t="s">
        <v>1690</v>
      </c>
      <c r="D431" s="44" t="s">
        <v>693</v>
      </c>
      <c r="E431" s="2" t="s">
        <v>104</v>
      </c>
      <c r="F431" s="68" t="s">
        <v>235</v>
      </c>
      <c r="G431" s="48" t="s">
        <v>1691</v>
      </c>
      <c r="J431" s="6" t="s">
        <v>92</v>
      </c>
      <c r="K431" s="6" t="s">
        <v>1692</v>
      </c>
      <c r="L431" s="3" t="s">
        <v>40</v>
      </c>
      <c r="M431" s="16" t="s">
        <v>1558</v>
      </c>
      <c r="N431" s="3" t="str">
        <f t="shared" si="8"/>
        <v>1  Year</v>
      </c>
      <c r="O431" s="3" t="s">
        <v>202</v>
      </c>
      <c r="P431" s="3" t="s">
        <v>1559</v>
      </c>
      <c r="Q431" s="3">
        <v>2026</v>
      </c>
      <c r="R431" s="6" t="s">
        <v>80</v>
      </c>
      <c r="S431" s="6" t="s">
        <v>356</v>
      </c>
      <c r="T431" s="4" t="s">
        <v>1693</v>
      </c>
      <c r="Y431" t="s">
        <v>2319</v>
      </c>
    </row>
    <row r="432" spans="1:25">
      <c r="A432">
        <v>315</v>
      </c>
      <c r="B432" s="2" t="s">
        <v>1689</v>
      </c>
      <c r="C432" s="19" t="s">
        <v>1690</v>
      </c>
      <c r="D432" s="44" t="s">
        <v>693</v>
      </c>
      <c r="E432" s="2" t="s">
        <v>104</v>
      </c>
      <c r="F432" s="68" t="s">
        <v>235</v>
      </c>
      <c r="G432" s="48" t="s">
        <v>1691</v>
      </c>
      <c r="J432" s="6" t="s">
        <v>88</v>
      </c>
      <c r="K432" s="6" t="s">
        <v>1694</v>
      </c>
      <c r="L432" s="3" t="s">
        <v>40</v>
      </c>
      <c r="M432" s="16" t="s">
        <v>1558</v>
      </c>
      <c r="N432" s="3" t="str">
        <f t="shared" si="8"/>
        <v>1  Year</v>
      </c>
      <c r="O432" s="3" t="s">
        <v>202</v>
      </c>
      <c r="P432" s="3" t="s">
        <v>1559</v>
      </c>
      <c r="Q432" s="3">
        <v>2026</v>
      </c>
      <c r="R432" s="6" t="s">
        <v>80</v>
      </c>
      <c r="S432" s="6" t="s">
        <v>45</v>
      </c>
      <c r="T432" s="4" t="s">
        <v>1693</v>
      </c>
      <c r="Y432" t="s">
        <v>2319</v>
      </c>
    </row>
    <row r="433" spans="1:25">
      <c r="A433">
        <v>315</v>
      </c>
      <c r="B433" s="2" t="s">
        <v>1689</v>
      </c>
      <c r="C433" s="19" t="s">
        <v>1690</v>
      </c>
      <c r="D433" s="44" t="s">
        <v>693</v>
      </c>
      <c r="E433" s="2" t="s">
        <v>104</v>
      </c>
      <c r="F433" s="68" t="s">
        <v>235</v>
      </c>
      <c r="G433" s="48" t="s">
        <v>1691</v>
      </c>
      <c r="J433" s="6" t="s">
        <v>92</v>
      </c>
      <c r="K433" s="6" t="s">
        <v>1694</v>
      </c>
      <c r="L433" s="3" t="s">
        <v>40</v>
      </c>
      <c r="M433" s="16" t="s">
        <v>1558</v>
      </c>
      <c r="N433" s="3" t="str">
        <f t="shared" si="8"/>
        <v>1  Year</v>
      </c>
      <c r="O433" s="3" t="s">
        <v>202</v>
      </c>
      <c r="P433" s="3" t="s">
        <v>1559</v>
      </c>
      <c r="Q433" s="3">
        <v>2026</v>
      </c>
      <c r="R433" s="6" t="s">
        <v>80</v>
      </c>
      <c r="S433" s="6" t="s">
        <v>45</v>
      </c>
      <c r="T433" s="4" t="s">
        <v>1693</v>
      </c>
      <c r="Y433" t="s">
        <v>2319</v>
      </c>
    </row>
    <row r="434" spans="1:25">
      <c r="A434">
        <v>315</v>
      </c>
      <c r="B434" s="2" t="s">
        <v>1689</v>
      </c>
      <c r="C434" s="19" t="s">
        <v>1690</v>
      </c>
      <c r="D434" s="44" t="s">
        <v>693</v>
      </c>
      <c r="E434" s="2" t="s">
        <v>104</v>
      </c>
      <c r="F434" s="68" t="s">
        <v>235</v>
      </c>
      <c r="G434" s="48" t="s">
        <v>1691</v>
      </c>
      <c r="J434" s="6" t="s">
        <v>48</v>
      </c>
      <c r="K434" s="6" t="s">
        <v>1694</v>
      </c>
      <c r="L434" s="3" t="s">
        <v>40</v>
      </c>
      <c r="M434" s="16" t="s">
        <v>1558</v>
      </c>
      <c r="N434" s="3" t="str">
        <f t="shared" si="8"/>
        <v>1  Year</v>
      </c>
      <c r="O434" s="3" t="s">
        <v>202</v>
      </c>
      <c r="P434" s="3" t="s">
        <v>1559</v>
      </c>
      <c r="Q434" s="3">
        <v>2026</v>
      </c>
      <c r="R434" s="6" t="s">
        <v>80</v>
      </c>
      <c r="S434" s="6" t="s">
        <v>45</v>
      </c>
      <c r="T434" s="4" t="s">
        <v>1693</v>
      </c>
      <c r="Y434" t="s">
        <v>2319</v>
      </c>
    </row>
    <row r="435" spans="1:25">
      <c r="A435">
        <v>315</v>
      </c>
      <c r="B435" s="2" t="s">
        <v>1689</v>
      </c>
      <c r="C435" s="19" t="s">
        <v>1690</v>
      </c>
      <c r="D435" s="44" t="s">
        <v>693</v>
      </c>
      <c r="E435" s="2" t="s">
        <v>104</v>
      </c>
      <c r="F435" s="68" t="s">
        <v>235</v>
      </c>
      <c r="G435" s="48" t="s">
        <v>1691</v>
      </c>
      <c r="J435" s="6" t="s">
        <v>145</v>
      </c>
      <c r="K435" s="6" t="s">
        <v>1694</v>
      </c>
      <c r="L435" s="3" t="s">
        <v>40</v>
      </c>
      <c r="M435" s="16" t="s">
        <v>1558</v>
      </c>
      <c r="N435" s="3" t="str">
        <f t="shared" si="8"/>
        <v>1  Year</v>
      </c>
      <c r="O435" s="3" t="s">
        <v>202</v>
      </c>
      <c r="P435" s="3" t="s">
        <v>1559</v>
      </c>
      <c r="Q435" s="3">
        <v>2026</v>
      </c>
      <c r="R435" s="6" t="s">
        <v>80</v>
      </c>
      <c r="S435" s="6" t="s">
        <v>45</v>
      </c>
      <c r="T435" s="4" t="s">
        <v>1693</v>
      </c>
      <c r="Y435" t="s">
        <v>47</v>
      </c>
    </row>
    <row r="436" spans="1:25" ht="21.6">
      <c r="A436">
        <v>316</v>
      </c>
      <c r="B436" s="2" t="s">
        <v>1695</v>
      </c>
      <c r="C436" s="19" t="s">
        <v>1696</v>
      </c>
      <c r="D436" s="44" t="s">
        <v>1697</v>
      </c>
      <c r="E436" s="2" t="s">
        <v>104</v>
      </c>
      <c r="F436" s="68" t="s">
        <v>966</v>
      </c>
      <c r="G436" s="48" t="s">
        <v>1210</v>
      </c>
      <c r="H436" s="5" t="s">
        <v>1473</v>
      </c>
      <c r="I436" s="117" t="s">
        <v>1474</v>
      </c>
      <c r="J436" s="6" t="s">
        <v>88</v>
      </c>
      <c r="K436" s="6" t="s">
        <v>1698</v>
      </c>
      <c r="L436" s="3" t="s">
        <v>40</v>
      </c>
      <c r="M436" s="16" t="s">
        <v>1558</v>
      </c>
      <c r="N436" s="3" t="str">
        <f t="shared" si="8"/>
        <v>1  Year</v>
      </c>
      <c r="O436" s="3" t="s">
        <v>202</v>
      </c>
      <c r="P436" s="3" t="s">
        <v>1559</v>
      </c>
      <c r="Q436" s="3">
        <v>2026</v>
      </c>
      <c r="R436" s="6" t="s">
        <v>80</v>
      </c>
      <c r="S436" s="6" t="s">
        <v>45</v>
      </c>
      <c r="T436" s="4" t="s">
        <v>1699</v>
      </c>
      <c r="Y436" t="s">
        <v>2319</v>
      </c>
    </row>
    <row r="437" spans="1:25" ht="21.6">
      <c r="A437">
        <v>316</v>
      </c>
      <c r="B437" s="2" t="s">
        <v>1695</v>
      </c>
      <c r="C437" s="19" t="s">
        <v>1696</v>
      </c>
      <c r="D437" s="44" t="s">
        <v>1697</v>
      </c>
      <c r="E437" s="2" t="s">
        <v>104</v>
      </c>
      <c r="F437" s="68" t="s">
        <v>966</v>
      </c>
      <c r="G437" s="48" t="s">
        <v>1210</v>
      </c>
      <c r="H437" s="5" t="s">
        <v>1473</v>
      </c>
      <c r="I437" s="117" t="s">
        <v>1474</v>
      </c>
      <c r="J437" s="6" t="s">
        <v>145</v>
      </c>
      <c r="K437" s="6" t="s">
        <v>1698</v>
      </c>
      <c r="L437" s="3" t="s">
        <v>40</v>
      </c>
      <c r="M437" s="16" t="s">
        <v>1558</v>
      </c>
      <c r="N437" s="3" t="str">
        <f t="shared" si="8"/>
        <v>1  Year</v>
      </c>
      <c r="O437" s="3" t="s">
        <v>202</v>
      </c>
      <c r="P437" s="3" t="s">
        <v>1559</v>
      </c>
      <c r="Q437" s="3">
        <v>2026</v>
      </c>
      <c r="R437" s="6" t="s">
        <v>80</v>
      </c>
      <c r="S437" s="6" t="s">
        <v>45</v>
      </c>
      <c r="T437" s="4" t="s">
        <v>1699</v>
      </c>
      <c r="Y437" t="s">
        <v>47</v>
      </c>
    </row>
    <row r="438" spans="1:25">
      <c r="A438">
        <v>317</v>
      </c>
      <c r="B438" s="2" t="s">
        <v>1700</v>
      </c>
      <c r="C438" s="19" t="s">
        <v>1701</v>
      </c>
      <c r="D438" s="44" t="s">
        <v>1702</v>
      </c>
      <c r="E438" s="2" t="s">
        <v>104</v>
      </c>
      <c r="F438" s="68" t="s">
        <v>1703</v>
      </c>
      <c r="G438" s="48" t="s">
        <v>1704</v>
      </c>
      <c r="I438" s="117" t="s">
        <v>1528</v>
      </c>
      <c r="J438" s="6" t="s">
        <v>145</v>
      </c>
      <c r="K438" s="6" t="s">
        <v>1705</v>
      </c>
      <c r="L438" s="3" t="s">
        <v>40</v>
      </c>
      <c r="M438" s="16" t="s">
        <v>1558</v>
      </c>
      <c r="N438" s="3" t="str">
        <f t="shared" si="8"/>
        <v>1  Year</v>
      </c>
      <c r="O438" s="3" t="s">
        <v>202</v>
      </c>
      <c r="P438" s="3" t="s">
        <v>1559</v>
      </c>
      <c r="Q438" s="3">
        <v>2026</v>
      </c>
      <c r="R438" s="6" t="s">
        <v>44</v>
      </c>
      <c r="S438" s="6" t="s">
        <v>45</v>
      </c>
      <c r="T438" s="4" t="s">
        <v>1706</v>
      </c>
      <c r="Y438" t="s">
        <v>47</v>
      </c>
    </row>
    <row r="439" spans="1:25">
      <c r="A439">
        <v>318</v>
      </c>
      <c r="B439" s="2" t="s">
        <v>1707</v>
      </c>
      <c r="C439" s="19" t="s">
        <v>874</v>
      </c>
      <c r="D439" s="44" t="s">
        <v>1708</v>
      </c>
      <c r="E439" s="2" t="s">
        <v>104</v>
      </c>
      <c r="F439" s="68" t="s">
        <v>1703</v>
      </c>
      <c r="G439" s="48" t="s">
        <v>1704</v>
      </c>
      <c r="I439" s="117" t="s">
        <v>1528</v>
      </c>
      <c r="J439" s="6" t="s">
        <v>145</v>
      </c>
      <c r="K439" s="6" t="s">
        <v>1709</v>
      </c>
      <c r="L439" s="3" t="s">
        <v>40</v>
      </c>
      <c r="M439" s="16" t="s">
        <v>1558</v>
      </c>
      <c r="N439" s="3" t="str">
        <f t="shared" si="8"/>
        <v>1  Year</v>
      </c>
      <c r="O439" s="3" t="s">
        <v>202</v>
      </c>
      <c r="P439" s="3" t="s">
        <v>1559</v>
      </c>
      <c r="Q439" s="3">
        <v>2026</v>
      </c>
      <c r="R439" s="6" t="s">
        <v>44</v>
      </c>
      <c r="S439" s="6" t="s">
        <v>45</v>
      </c>
      <c r="T439" s="4" t="s">
        <v>1710</v>
      </c>
      <c r="Y439" t="s">
        <v>47</v>
      </c>
    </row>
    <row r="440" spans="1:25" ht="31.8">
      <c r="A440">
        <v>319</v>
      </c>
      <c r="B440" s="2" t="s">
        <v>1711</v>
      </c>
      <c r="C440" s="19" t="s">
        <v>1148</v>
      </c>
      <c r="D440" s="44" t="s">
        <v>1149</v>
      </c>
      <c r="E440" s="2" t="s">
        <v>104</v>
      </c>
      <c r="F440" s="68" t="s">
        <v>1712</v>
      </c>
      <c r="G440" s="48" t="s">
        <v>1713</v>
      </c>
      <c r="H440" s="5" t="s">
        <v>1546</v>
      </c>
      <c r="I440" s="117" t="s">
        <v>1547</v>
      </c>
      <c r="J440" s="6" t="s">
        <v>92</v>
      </c>
      <c r="K440" s="6" t="s">
        <v>1714</v>
      </c>
      <c r="L440" s="3" t="s">
        <v>40</v>
      </c>
      <c r="M440" s="16" t="s">
        <v>1558</v>
      </c>
      <c r="N440" s="3" t="str">
        <f t="shared" si="8"/>
        <v>1  Year</v>
      </c>
      <c r="O440" s="3" t="s">
        <v>202</v>
      </c>
      <c r="P440" s="3" t="s">
        <v>1559</v>
      </c>
      <c r="Q440" s="3">
        <v>2026</v>
      </c>
      <c r="R440" s="6" t="s">
        <v>422</v>
      </c>
      <c r="S440" s="6" t="s">
        <v>1715</v>
      </c>
      <c r="T440" s="4" t="s">
        <v>1716</v>
      </c>
      <c r="Y440" t="s">
        <v>2319</v>
      </c>
    </row>
    <row r="441" spans="1:25" ht="21.6">
      <c r="A441">
        <v>320</v>
      </c>
      <c r="B441" s="7" t="s">
        <v>1717</v>
      </c>
      <c r="C441" s="19" t="s">
        <v>1718</v>
      </c>
      <c r="D441" s="44" t="s">
        <v>383</v>
      </c>
      <c r="E441" s="2" t="s">
        <v>104</v>
      </c>
      <c r="F441" s="68" t="s">
        <v>1719</v>
      </c>
      <c r="G441" s="48" t="s">
        <v>1720</v>
      </c>
      <c r="H441" s="5" t="s">
        <v>735</v>
      </c>
      <c r="I441" s="117" t="s">
        <v>1721</v>
      </c>
      <c r="J441" s="6" t="s">
        <v>48</v>
      </c>
      <c r="K441" s="6" t="s">
        <v>1722</v>
      </c>
      <c r="L441" s="3" t="s">
        <v>40</v>
      </c>
      <c r="M441" s="16" t="s">
        <v>1558</v>
      </c>
      <c r="N441" s="3" t="str">
        <f t="shared" si="8"/>
        <v>1  Year</v>
      </c>
      <c r="O441" s="3" t="s">
        <v>202</v>
      </c>
      <c r="P441" s="3" t="s">
        <v>1559</v>
      </c>
      <c r="Q441" s="3">
        <v>2026</v>
      </c>
      <c r="R441" s="6" t="s">
        <v>422</v>
      </c>
      <c r="S441" s="6" t="s">
        <v>45</v>
      </c>
      <c r="T441" s="4" t="s">
        <v>1723</v>
      </c>
      <c r="Y441" t="s">
        <v>2319</v>
      </c>
    </row>
    <row r="442" spans="1:25" ht="21.6">
      <c r="A442">
        <v>320</v>
      </c>
      <c r="B442" s="7" t="s">
        <v>1717</v>
      </c>
      <c r="C442" s="19" t="s">
        <v>1718</v>
      </c>
      <c r="D442" s="44" t="s">
        <v>383</v>
      </c>
      <c r="E442" s="2" t="s">
        <v>104</v>
      </c>
      <c r="F442" s="68" t="s">
        <v>1719</v>
      </c>
      <c r="G442" s="48" t="s">
        <v>1720</v>
      </c>
      <c r="H442" s="5" t="s">
        <v>735</v>
      </c>
      <c r="I442" s="117" t="s">
        <v>1721</v>
      </c>
      <c r="J442" s="6" t="s">
        <v>145</v>
      </c>
      <c r="K442" s="6" t="s">
        <v>1722</v>
      </c>
      <c r="L442" s="3" t="s">
        <v>40</v>
      </c>
      <c r="M442" s="16" t="s">
        <v>1558</v>
      </c>
      <c r="N442" s="3" t="str">
        <f t="shared" si="8"/>
        <v>1  Year</v>
      </c>
      <c r="O442" s="3" t="s">
        <v>202</v>
      </c>
      <c r="P442" s="3" t="s">
        <v>1559</v>
      </c>
      <c r="Q442" s="3">
        <v>2026</v>
      </c>
      <c r="R442" s="6" t="s">
        <v>422</v>
      </c>
      <c r="S442" s="6" t="s">
        <v>45</v>
      </c>
      <c r="T442" s="4" t="s">
        <v>1723</v>
      </c>
      <c r="Y442" t="s">
        <v>47</v>
      </c>
    </row>
    <row r="443" spans="1:25" ht="31.8">
      <c r="A443">
        <v>321</v>
      </c>
      <c r="B443" s="2" t="s">
        <v>1724</v>
      </c>
      <c r="C443" s="19" t="s">
        <v>1725</v>
      </c>
      <c r="D443" s="44" t="s">
        <v>1726</v>
      </c>
      <c r="E443" s="2" t="s">
        <v>104</v>
      </c>
      <c r="F443" s="68" t="s">
        <v>1727</v>
      </c>
      <c r="G443" s="48" t="s">
        <v>1728</v>
      </c>
      <c r="I443" s="117" t="s">
        <v>1729</v>
      </c>
      <c r="J443" s="6" t="s">
        <v>48</v>
      </c>
      <c r="K443" s="6" t="s">
        <v>1730</v>
      </c>
      <c r="L443" s="3" t="s">
        <v>1731</v>
      </c>
      <c r="M443" s="16" t="s">
        <v>1558</v>
      </c>
      <c r="N443" s="3" t="str">
        <f t="shared" si="8"/>
        <v/>
      </c>
      <c r="O443" s="3" t="s">
        <v>202</v>
      </c>
      <c r="P443" s="3" t="s">
        <v>1559</v>
      </c>
      <c r="Q443" s="3">
        <v>2026</v>
      </c>
      <c r="R443" s="6" t="s">
        <v>422</v>
      </c>
      <c r="S443" s="6" t="s">
        <v>45</v>
      </c>
      <c r="T443" s="4" t="s">
        <v>1732</v>
      </c>
      <c r="Y443" t="s">
        <v>2319</v>
      </c>
    </row>
    <row r="444" spans="1:25" ht="21.6">
      <c r="A444">
        <v>322</v>
      </c>
      <c r="B444" s="7" t="s">
        <v>1733</v>
      </c>
      <c r="C444" s="19" t="s">
        <v>1734</v>
      </c>
      <c r="D444" s="44" t="s">
        <v>1735</v>
      </c>
      <c r="E444" s="2" t="s">
        <v>104</v>
      </c>
      <c r="F444" s="68" t="s">
        <v>347</v>
      </c>
      <c r="G444" s="48" t="s">
        <v>1736</v>
      </c>
      <c r="H444" s="5" t="s">
        <v>1737</v>
      </c>
      <c r="J444" s="6" t="s">
        <v>88</v>
      </c>
      <c r="K444" s="6" t="s">
        <v>1738</v>
      </c>
      <c r="L444" s="3" t="s">
        <v>1731</v>
      </c>
      <c r="M444" s="16" t="s">
        <v>1558</v>
      </c>
      <c r="N444" s="3" t="str">
        <f t="shared" si="8"/>
        <v/>
      </c>
      <c r="O444" s="3" t="s">
        <v>202</v>
      </c>
      <c r="P444" s="3" t="s">
        <v>1559</v>
      </c>
      <c r="Q444" s="3">
        <v>2026</v>
      </c>
      <c r="R444" s="6" t="s">
        <v>44</v>
      </c>
      <c r="S444" s="6" t="s">
        <v>45</v>
      </c>
      <c r="T444" s="4" t="s">
        <v>1739</v>
      </c>
      <c r="Y444" t="s">
        <v>2319</v>
      </c>
    </row>
    <row r="445" spans="1:25" ht="28.8">
      <c r="A445">
        <v>323</v>
      </c>
      <c r="B445" s="2" t="s">
        <v>1740</v>
      </c>
      <c r="C445" s="19" t="s">
        <v>1741</v>
      </c>
      <c r="D445" s="44" t="s">
        <v>693</v>
      </c>
      <c r="E445" s="2" t="s">
        <v>104</v>
      </c>
      <c r="F445" s="68" t="s">
        <v>908</v>
      </c>
      <c r="G445" s="48" t="s">
        <v>1742</v>
      </c>
      <c r="H445" s="5" t="s">
        <v>1546</v>
      </c>
      <c r="I445" s="117" t="s">
        <v>1743</v>
      </c>
      <c r="J445" s="6" t="s">
        <v>88</v>
      </c>
      <c r="K445" s="6" t="s">
        <v>1744</v>
      </c>
      <c r="L445" s="3" t="s">
        <v>40</v>
      </c>
      <c r="M445" s="16" t="s">
        <v>1558</v>
      </c>
      <c r="N445" s="3" t="str">
        <f t="shared" si="8"/>
        <v>1  Year</v>
      </c>
      <c r="O445" s="3" t="s">
        <v>202</v>
      </c>
      <c r="P445" s="3" t="s">
        <v>1559</v>
      </c>
      <c r="Q445" s="3">
        <v>2026</v>
      </c>
      <c r="R445" s="6" t="s">
        <v>80</v>
      </c>
      <c r="S445" s="6" t="s">
        <v>45</v>
      </c>
      <c r="T445" s="4" t="s">
        <v>1745</v>
      </c>
      <c r="Y445" t="s">
        <v>2319</v>
      </c>
    </row>
    <row r="446" spans="1:25" ht="21.6">
      <c r="A446">
        <v>324</v>
      </c>
      <c r="B446" s="2" t="s">
        <v>194</v>
      </c>
      <c r="C446" s="19" t="s">
        <v>195</v>
      </c>
      <c r="D446" s="44" t="s">
        <v>196</v>
      </c>
      <c r="E446" s="2" t="s">
        <v>104</v>
      </c>
      <c r="F446" s="68" t="s">
        <v>197</v>
      </c>
      <c r="G446" s="48" t="s">
        <v>1346</v>
      </c>
      <c r="J446" s="6" t="s">
        <v>88</v>
      </c>
      <c r="K446" s="6" t="s">
        <v>1746</v>
      </c>
      <c r="L446" s="3" t="s">
        <v>40</v>
      </c>
      <c r="M446" s="16" t="s">
        <v>1558</v>
      </c>
      <c r="N446" s="3" t="str">
        <f t="shared" si="8"/>
        <v>1  Year</v>
      </c>
      <c r="O446" s="3" t="s">
        <v>202</v>
      </c>
      <c r="P446" s="3" t="s">
        <v>1559</v>
      </c>
      <c r="Q446" s="3">
        <v>2026</v>
      </c>
      <c r="R446" s="6" t="s">
        <v>80</v>
      </c>
      <c r="S446" s="6" t="s">
        <v>45</v>
      </c>
      <c r="T446" s="4" t="s">
        <v>1747</v>
      </c>
      <c r="Y446" t="s">
        <v>2319</v>
      </c>
    </row>
    <row r="447" spans="1:25" ht="28.8">
      <c r="A447">
        <v>325</v>
      </c>
      <c r="B447" s="7" t="s">
        <v>1748</v>
      </c>
      <c r="C447" s="19" t="s">
        <v>1749</v>
      </c>
      <c r="D447" s="44" t="s">
        <v>1750</v>
      </c>
      <c r="E447" s="2" t="s">
        <v>104</v>
      </c>
      <c r="F447" s="68" t="s">
        <v>217</v>
      </c>
      <c r="G447" s="48" t="s">
        <v>1751</v>
      </c>
      <c r="H447" s="5" t="s">
        <v>219</v>
      </c>
      <c r="I447" s="117" t="s">
        <v>1729</v>
      </c>
      <c r="J447" s="6" t="s">
        <v>88</v>
      </c>
      <c r="K447" s="6" t="s">
        <v>1752</v>
      </c>
      <c r="L447" s="3" t="s">
        <v>1731</v>
      </c>
      <c r="M447" s="16" t="s">
        <v>1558</v>
      </c>
      <c r="N447" s="3" t="str">
        <f t="shared" si="8"/>
        <v/>
      </c>
      <c r="O447" s="3" t="s">
        <v>202</v>
      </c>
      <c r="P447" s="3" t="s">
        <v>1559</v>
      </c>
      <c r="Q447" s="3">
        <v>2026</v>
      </c>
      <c r="R447" s="6" t="s">
        <v>44</v>
      </c>
      <c r="S447" s="6" t="s">
        <v>1753</v>
      </c>
      <c r="T447" s="4" t="s">
        <v>1754</v>
      </c>
      <c r="Y447" t="s">
        <v>2319</v>
      </c>
    </row>
    <row r="448" spans="1:25" ht="28.8">
      <c r="A448">
        <v>325</v>
      </c>
      <c r="B448" s="7" t="s">
        <v>1748</v>
      </c>
      <c r="C448" s="19" t="s">
        <v>1749</v>
      </c>
      <c r="D448" s="44" t="s">
        <v>1750</v>
      </c>
      <c r="E448" s="2" t="s">
        <v>104</v>
      </c>
      <c r="F448" s="68" t="s">
        <v>217</v>
      </c>
      <c r="G448" s="48" t="s">
        <v>1751</v>
      </c>
      <c r="H448" s="5" t="s">
        <v>219</v>
      </c>
      <c r="I448" s="117" t="s">
        <v>1729</v>
      </c>
      <c r="J448" s="6" t="s">
        <v>145</v>
      </c>
      <c r="K448" s="6" t="s">
        <v>1752</v>
      </c>
      <c r="L448" s="3" t="s">
        <v>1731</v>
      </c>
      <c r="M448" s="16" t="s">
        <v>1558</v>
      </c>
      <c r="N448" s="3" t="str">
        <f t="shared" si="8"/>
        <v/>
      </c>
      <c r="O448" s="3" t="s">
        <v>202</v>
      </c>
      <c r="P448" s="3" t="s">
        <v>1559</v>
      </c>
      <c r="Q448" s="3">
        <v>2026</v>
      </c>
      <c r="R448" s="6" t="s">
        <v>44</v>
      </c>
      <c r="S448" s="6" t="s">
        <v>1753</v>
      </c>
      <c r="T448" s="4" t="s">
        <v>1754</v>
      </c>
      <c r="Y448" t="s">
        <v>47</v>
      </c>
    </row>
    <row r="449" spans="1:28" ht="28.8">
      <c r="A449">
        <v>325</v>
      </c>
      <c r="B449" s="7" t="s">
        <v>1748</v>
      </c>
      <c r="C449" s="19" t="s">
        <v>1749</v>
      </c>
      <c r="D449" s="44" t="s">
        <v>1750</v>
      </c>
      <c r="E449" s="2" t="s">
        <v>104</v>
      </c>
      <c r="F449" s="68" t="s">
        <v>1755</v>
      </c>
      <c r="G449" s="48" t="s">
        <v>1751</v>
      </c>
      <c r="H449" s="5" t="s">
        <v>219</v>
      </c>
      <c r="I449" s="117" t="s">
        <v>1729</v>
      </c>
      <c r="J449" s="6" t="s">
        <v>92</v>
      </c>
      <c r="K449" s="6" t="s">
        <v>1752</v>
      </c>
      <c r="L449" s="3" t="s">
        <v>1731</v>
      </c>
      <c r="M449" s="16" t="s">
        <v>1558</v>
      </c>
      <c r="N449" s="3" t="str">
        <f t="shared" si="8"/>
        <v/>
      </c>
      <c r="O449" s="3" t="s">
        <v>202</v>
      </c>
      <c r="P449" s="3" t="s">
        <v>1559</v>
      </c>
      <c r="Q449" s="3">
        <v>2026</v>
      </c>
      <c r="R449" s="6" t="s">
        <v>44</v>
      </c>
      <c r="S449" s="6" t="s">
        <v>1753</v>
      </c>
      <c r="T449" s="4" t="s">
        <v>1754</v>
      </c>
      <c r="Y449" t="s">
        <v>2319</v>
      </c>
      <c r="AB449" t="s">
        <v>3770</v>
      </c>
    </row>
    <row r="450" spans="1:28" ht="21.6">
      <c r="A450">
        <v>326</v>
      </c>
      <c r="B450" s="12" t="s">
        <v>1756</v>
      </c>
      <c r="C450" s="20" t="s">
        <v>1757</v>
      </c>
      <c r="D450" s="50" t="s">
        <v>1758</v>
      </c>
      <c r="E450" s="12" t="s">
        <v>52</v>
      </c>
      <c r="F450" s="68" t="s">
        <v>120</v>
      </c>
      <c r="G450" s="48" t="s">
        <v>1759</v>
      </c>
      <c r="H450" s="5" t="s">
        <v>122</v>
      </c>
      <c r="I450" s="117" t="s">
        <v>1495</v>
      </c>
      <c r="J450" s="6" t="s">
        <v>57</v>
      </c>
      <c r="K450" s="10" t="s">
        <v>1760</v>
      </c>
      <c r="L450" s="9" t="s">
        <v>40</v>
      </c>
      <c r="M450" s="16" t="s">
        <v>1761</v>
      </c>
      <c r="N450" s="3" t="str">
        <f t="shared" si="8"/>
        <v>1  Year</v>
      </c>
      <c r="O450" s="14" t="s">
        <v>42</v>
      </c>
      <c r="P450" s="9" t="s">
        <v>1762</v>
      </c>
      <c r="Q450">
        <v>2026</v>
      </c>
      <c r="R450" s="10" t="s">
        <v>80</v>
      </c>
      <c r="S450" s="48" t="s">
        <v>45</v>
      </c>
      <c r="T450" s="4" t="s">
        <v>1763</v>
      </c>
      <c r="Y450" t="s">
        <v>47</v>
      </c>
    </row>
    <row r="451" spans="1:28" ht="21.6">
      <c r="A451">
        <v>327</v>
      </c>
      <c r="B451" s="13" t="s">
        <v>1764</v>
      </c>
      <c r="C451" s="21" t="s">
        <v>1765</v>
      </c>
      <c r="D451" s="50" t="s">
        <v>1766</v>
      </c>
      <c r="E451" s="13" t="s">
        <v>52</v>
      </c>
      <c r="F451" s="68" t="s">
        <v>120</v>
      </c>
      <c r="G451" s="74" t="s">
        <v>1759</v>
      </c>
      <c r="H451" s="5" t="s">
        <v>122</v>
      </c>
      <c r="I451" s="117" t="s">
        <v>1495</v>
      </c>
      <c r="J451" s="6" t="s">
        <v>57</v>
      </c>
      <c r="K451" s="11" t="s">
        <v>1760</v>
      </c>
      <c r="L451" s="9" t="s">
        <v>40</v>
      </c>
      <c r="M451" s="16" t="s">
        <v>1761</v>
      </c>
      <c r="N451" s="3" t="str">
        <f t="shared" si="8"/>
        <v>1  Year</v>
      </c>
      <c r="O451" s="9" t="s">
        <v>42</v>
      </c>
      <c r="P451" s="9" t="s">
        <v>1762</v>
      </c>
      <c r="Q451">
        <v>2026</v>
      </c>
      <c r="R451" s="11" t="s">
        <v>80</v>
      </c>
      <c r="S451" s="10" t="s">
        <v>45</v>
      </c>
      <c r="T451" s="4" t="s">
        <v>1767</v>
      </c>
      <c r="Y451" t="s">
        <v>47</v>
      </c>
    </row>
    <row r="452" spans="1:28" ht="21.6">
      <c r="A452">
        <v>328</v>
      </c>
      <c r="B452" s="15" t="s">
        <v>1768</v>
      </c>
      <c r="C452" s="20" t="s">
        <v>1769</v>
      </c>
      <c r="D452" s="50" t="s">
        <v>1770</v>
      </c>
      <c r="E452" s="15" t="s">
        <v>104</v>
      </c>
      <c r="F452" s="68" t="s">
        <v>1599</v>
      </c>
      <c r="G452" s="48" t="s">
        <v>1771</v>
      </c>
      <c r="H452" s="5"/>
      <c r="J452" s="10" t="s">
        <v>145</v>
      </c>
      <c r="K452" s="10" t="s">
        <v>1772</v>
      </c>
      <c r="L452" s="9" t="s">
        <v>40</v>
      </c>
      <c r="M452" s="16" t="s">
        <v>1761</v>
      </c>
      <c r="N452" s="3" t="str">
        <f t="shared" si="8"/>
        <v>1  Year</v>
      </c>
      <c r="O452" s="9" t="s">
        <v>1520</v>
      </c>
      <c r="P452" s="9" t="s">
        <v>1762</v>
      </c>
      <c r="Q452">
        <v>2026</v>
      </c>
      <c r="R452" s="10" t="s">
        <v>44</v>
      </c>
      <c r="S452" s="10" t="s">
        <v>45</v>
      </c>
      <c r="T452" s="4" t="s">
        <v>1773</v>
      </c>
      <c r="Y452" t="s">
        <v>47</v>
      </c>
    </row>
    <row r="453" spans="1:28">
      <c r="A453">
        <v>329</v>
      </c>
      <c r="B453" t="s">
        <v>1774</v>
      </c>
      <c r="C453" s="22" t="s">
        <v>1775</v>
      </c>
      <c r="D453" s="51" t="s">
        <v>1770</v>
      </c>
      <c r="E453" t="s">
        <v>104</v>
      </c>
      <c r="F453" s="68" t="s">
        <v>1599</v>
      </c>
      <c r="G453" s="48" t="s">
        <v>1771</v>
      </c>
      <c r="J453" s="10" t="s">
        <v>145</v>
      </c>
      <c r="K453" s="10" t="s">
        <v>1776</v>
      </c>
      <c r="L453" s="9" t="s">
        <v>40</v>
      </c>
      <c r="M453" s="16" t="s">
        <v>1761</v>
      </c>
      <c r="N453" s="3" t="str">
        <f t="shared" si="8"/>
        <v>1  Year</v>
      </c>
      <c r="O453" s="14" t="s">
        <v>1520</v>
      </c>
      <c r="P453" s="9" t="s">
        <v>1762</v>
      </c>
      <c r="Q453">
        <v>2026</v>
      </c>
      <c r="R453" s="29" t="s">
        <v>44</v>
      </c>
      <c r="S453" s="29" t="s">
        <v>45</v>
      </c>
      <c r="T453" s="4" t="s">
        <v>1777</v>
      </c>
      <c r="Y453" t="s">
        <v>47</v>
      </c>
    </row>
    <row r="454" spans="1:28" ht="21.6">
      <c r="A454">
        <v>330</v>
      </c>
      <c r="B454" t="s">
        <v>1778</v>
      </c>
      <c r="C454" s="22" t="s">
        <v>1779</v>
      </c>
      <c r="D454" s="134" t="s">
        <v>609</v>
      </c>
      <c r="E454" t="s">
        <v>104</v>
      </c>
      <c r="F454" s="68" t="s">
        <v>312</v>
      </c>
      <c r="G454" s="48" t="s">
        <v>1780</v>
      </c>
      <c r="H454" s="5" t="s">
        <v>295</v>
      </c>
      <c r="I454" s="117" t="s">
        <v>1781</v>
      </c>
      <c r="J454" s="10" t="s">
        <v>48</v>
      </c>
      <c r="K454" s="10" t="s">
        <v>1782</v>
      </c>
      <c r="L454" t="s">
        <v>40</v>
      </c>
      <c r="M454" s="16" t="s">
        <v>1761</v>
      </c>
      <c r="N454" s="3" t="str">
        <f t="shared" si="8"/>
        <v>1  Year</v>
      </c>
      <c r="O454" t="s">
        <v>1520</v>
      </c>
      <c r="P454" t="s">
        <v>1783</v>
      </c>
      <c r="Q454">
        <v>2026</v>
      </c>
      <c r="R454" s="10" t="s">
        <v>44</v>
      </c>
      <c r="S454" s="29" t="s">
        <v>45</v>
      </c>
      <c r="T454" s="4" t="s">
        <v>1784</v>
      </c>
      <c r="Y454" t="s">
        <v>47</v>
      </c>
    </row>
    <row r="455" spans="1:28" ht="21.6">
      <c r="B455" t="s">
        <v>1778</v>
      </c>
      <c r="C455" s="22" t="s">
        <v>1779</v>
      </c>
      <c r="D455" s="134" t="s">
        <v>609</v>
      </c>
      <c r="E455" t="s">
        <v>104</v>
      </c>
      <c r="F455" s="68" t="s">
        <v>312</v>
      </c>
      <c r="G455" s="48" t="s">
        <v>1780</v>
      </c>
      <c r="H455" s="5" t="s">
        <v>295</v>
      </c>
      <c r="I455" s="117" t="s">
        <v>1781</v>
      </c>
      <c r="J455" s="10" t="s">
        <v>145</v>
      </c>
      <c r="K455" s="10" t="s">
        <v>1782</v>
      </c>
      <c r="L455" t="s">
        <v>40</v>
      </c>
      <c r="M455" s="16" t="s">
        <v>1761</v>
      </c>
      <c r="N455" s="3" t="str">
        <f t="shared" ref="N455" si="9">IF(L455="New","1  Year",IF(L455="Promotional","15 Weeks",IF(L455="Revalidation","2 Years","")))</f>
        <v>1  Year</v>
      </c>
      <c r="O455" t="s">
        <v>1520</v>
      </c>
      <c r="P455" t="s">
        <v>1783</v>
      </c>
      <c r="Q455">
        <v>2026</v>
      </c>
      <c r="R455" s="10" t="s">
        <v>44</v>
      </c>
      <c r="S455" s="29" t="s">
        <v>45</v>
      </c>
      <c r="T455" s="4" t="s">
        <v>1784</v>
      </c>
    </row>
    <row r="456" spans="1:28" ht="28.8">
      <c r="A456">
        <v>331</v>
      </c>
      <c r="B456" t="s">
        <v>1785</v>
      </c>
      <c r="C456" s="135" t="s">
        <v>1786</v>
      </c>
      <c r="D456" s="52" t="s">
        <v>609</v>
      </c>
      <c r="E456" t="s">
        <v>104</v>
      </c>
      <c r="F456" s="69" t="s">
        <v>312</v>
      </c>
      <c r="G456" s="48" t="s">
        <v>1780</v>
      </c>
      <c r="H456" s="5" t="s">
        <v>295</v>
      </c>
      <c r="I456" s="117" t="s">
        <v>1781</v>
      </c>
      <c r="J456" s="29" t="s">
        <v>48</v>
      </c>
      <c r="K456" s="10" t="s">
        <v>1787</v>
      </c>
      <c r="L456" t="s">
        <v>40</v>
      </c>
      <c r="M456" s="16" t="s">
        <v>1761</v>
      </c>
      <c r="N456" s="3" t="str">
        <f t="shared" si="8"/>
        <v>1  Year</v>
      </c>
      <c r="O456" t="s">
        <v>1520</v>
      </c>
      <c r="P456" t="s">
        <v>1783</v>
      </c>
      <c r="Q456">
        <v>2026</v>
      </c>
      <c r="R456" s="29" t="s">
        <v>44</v>
      </c>
      <c r="S456" s="29" t="s">
        <v>45</v>
      </c>
      <c r="T456" s="4" t="s">
        <v>1788</v>
      </c>
      <c r="Y456" t="s">
        <v>47</v>
      </c>
    </row>
    <row r="457" spans="1:28" ht="43.2">
      <c r="A457">
        <v>332</v>
      </c>
      <c r="B457" t="s">
        <v>1789</v>
      </c>
      <c r="C457" s="20" t="s">
        <v>1790</v>
      </c>
      <c r="D457" s="52" t="s">
        <v>1791</v>
      </c>
      <c r="E457" t="s">
        <v>104</v>
      </c>
      <c r="F457" s="69" t="s">
        <v>312</v>
      </c>
      <c r="G457" s="48" t="s">
        <v>1780</v>
      </c>
      <c r="H457" s="5" t="s">
        <v>295</v>
      </c>
      <c r="I457" s="117" t="s">
        <v>1781</v>
      </c>
      <c r="J457" s="29" t="s">
        <v>48</v>
      </c>
      <c r="K457" s="29" t="s">
        <v>1792</v>
      </c>
      <c r="L457" t="s">
        <v>40</v>
      </c>
      <c r="M457" s="16" t="s">
        <v>1761</v>
      </c>
      <c r="N457" s="3" t="str">
        <f t="shared" si="8"/>
        <v>1  Year</v>
      </c>
      <c r="O457" t="s">
        <v>1520</v>
      </c>
      <c r="P457" t="s">
        <v>1783</v>
      </c>
      <c r="Q457">
        <v>2026</v>
      </c>
      <c r="R457" s="29" t="s">
        <v>44</v>
      </c>
      <c r="S457" s="29" t="s">
        <v>45</v>
      </c>
      <c r="T457" s="4" t="s">
        <v>1793</v>
      </c>
      <c r="Y457" t="s">
        <v>47</v>
      </c>
    </row>
    <row r="458" spans="1:28" ht="55.8">
      <c r="A458">
        <v>333</v>
      </c>
      <c r="B458" t="s">
        <v>1789</v>
      </c>
      <c r="C458" s="22" t="s">
        <v>1790</v>
      </c>
      <c r="D458" s="52" t="s">
        <v>1791</v>
      </c>
      <c r="E458" t="s">
        <v>104</v>
      </c>
      <c r="F458" s="68" t="s">
        <v>312</v>
      </c>
      <c r="G458" s="48" t="s">
        <v>1780</v>
      </c>
      <c r="H458" s="5" t="s">
        <v>295</v>
      </c>
      <c r="I458" s="117" t="s">
        <v>1781</v>
      </c>
      <c r="J458" s="29" t="s">
        <v>145</v>
      </c>
      <c r="K458" s="34" t="s">
        <v>1792</v>
      </c>
      <c r="L458" t="s">
        <v>40</v>
      </c>
      <c r="M458" s="16" t="s">
        <v>1761</v>
      </c>
      <c r="N458" s="3" t="str">
        <f t="shared" si="8"/>
        <v>1  Year</v>
      </c>
      <c r="O458" t="s">
        <v>1520</v>
      </c>
      <c r="P458" t="s">
        <v>1783</v>
      </c>
      <c r="Q458">
        <v>2026</v>
      </c>
      <c r="R458" s="29" t="s">
        <v>44</v>
      </c>
      <c r="S458" s="29" t="s">
        <v>45</v>
      </c>
      <c r="T458" s="4" t="s">
        <v>1793</v>
      </c>
      <c r="Y458" t="s">
        <v>47</v>
      </c>
    </row>
    <row r="459" spans="1:28" ht="43.2">
      <c r="A459">
        <v>334</v>
      </c>
      <c r="B459" t="s">
        <v>1756</v>
      </c>
      <c r="C459" s="22" t="s">
        <v>1794</v>
      </c>
      <c r="D459" s="52" t="s">
        <v>1795</v>
      </c>
      <c r="E459" t="s">
        <v>52</v>
      </c>
      <c r="F459" s="68" t="s">
        <v>1796</v>
      </c>
      <c r="G459" s="48" t="s">
        <v>1797</v>
      </c>
      <c r="H459" s="5" t="s">
        <v>122</v>
      </c>
      <c r="I459" s="117" t="s">
        <v>1495</v>
      </c>
      <c r="J459" s="29" t="s">
        <v>57</v>
      </c>
      <c r="K459" s="36" t="s">
        <v>1798</v>
      </c>
      <c r="L459" t="s">
        <v>40</v>
      </c>
      <c r="M459" s="16" t="s">
        <v>1761</v>
      </c>
      <c r="N459" s="3" t="s">
        <v>1799</v>
      </c>
      <c r="O459" t="s">
        <v>1800</v>
      </c>
      <c r="P459" t="s">
        <v>1783</v>
      </c>
      <c r="Q459">
        <v>2026</v>
      </c>
      <c r="R459" s="29" t="s">
        <v>80</v>
      </c>
      <c r="S459" s="29" t="s">
        <v>45</v>
      </c>
      <c r="T459" s="4" t="s">
        <v>1763</v>
      </c>
      <c r="Y459" t="s">
        <v>47</v>
      </c>
    </row>
    <row r="460" spans="1:28" ht="28.8">
      <c r="A460">
        <v>335</v>
      </c>
      <c r="B460" t="s">
        <v>1756</v>
      </c>
      <c r="C460" s="22" t="s">
        <v>1757</v>
      </c>
      <c r="D460" s="52" t="s">
        <v>1795</v>
      </c>
      <c r="E460" t="s">
        <v>52</v>
      </c>
      <c r="F460" s="68" t="s">
        <v>120</v>
      </c>
      <c r="G460" s="48" t="s">
        <v>1797</v>
      </c>
      <c r="H460" s="5" t="s">
        <v>122</v>
      </c>
      <c r="I460" s="117" t="s">
        <v>1495</v>
      </c>
      <c r="J460" s="29" t="s">
        <v>145</v>
      </c>
      <c r="K460" s="35" t="s">
        <v>1801</v>
      </c>
      <c r="L460" t="s">
        <v>40</v>
      </c>
      <c r="M460" s="16" t="s">
        <v>1761</v>
      </c>
      <c r="N460" s="3" t="s">
        <v>1799</v>
      </c>
      <c r="O460" t="s">
        <v>1802</v>
      </c>
      <c r="P460" t="s">
        <v>1783</v>
      </c>
      <c r="Q460">
        <v>2026</v>
      </c>
      <c r="R460" s="29" t="s">
        <v>80</v>
      </c>
      <c r="S460" s="29" t="s">
        <v>45</v>
      </c>
      <c r="T460" s="4" t="s">
        <v>1763</v>
      </c>
      <c r="Y460" t="s">
        <v>47</v>
      </c>
    </row>
    <row r="461" spans="1:28" ht="28.8">
      <c r="A461">
        <v>336</v>
      </c>
      <c r="B461" t="s">
        <v>1764</v>
      </c>
      <c r="C461" s="22" t="s">
        <v>1765</v>
      </c>
      <c r="D461" s="52" t="s">
        <v>1795</v>
      </c>
      <c r="E461" t="s">
        <v>52</v>
      </c>
      <c r="F461" s="68" t="s">
        <v>120</v>
      </c>
      <c r="G461" s="48" t="s">
        <v>1803</v>
      </c>
      <c r="H461" s="5" t="s">
        <v>122</v>
      </c>
      <c r="I461" s="117" t="s">
        <v>1495</v>
      </c>
      <c r="J461" s="29" t="s">
        <v>57</v>
      </c>
      <c r="K461" s="29" t="s">
        <v>1801</v>
      </c>
      <c r="L461" t="s">
        <v>40</v>
      </c>
      <c r="M461" s="16" t="s">
        <v>1761</v>
      </c>
      <c r="N461" s="3" t="str">
        <f t="shared" si="8"/>
        <v>1  Year</v>
      </c>
      <c r="O461" t="s">
        <v>1800</v>
      </c>
      <c r="P461" s="37" t="s">
        <v>1783</v>
      </c>
      <c r="Q461" s="37">
        <v>2026</v>
      </c>
      <c r="R461" s="29" t="s">
        <v>80</v>
      </c>
      <c r="S461" s="29" t="s">
        <v>45</v>
      </c>
      <c r="T461" s="4" t="s">
        <v>1767</v>
      </c>
      <c r="Y461" t="s">
        <v>47</v>
      </c>
    </row>
    <row r="462" spans="1:28" ht="28.8">
      <c r="A462">
        <v>337</v>
      </c>
      <c r="B462" t="s">
        <v>1764</v>
      </c>
      <c r="C462" s="22" t="s">
        <v>1765</v>
      </c>
      <c r="D462" s="52" t="s">
        <v>1795</v>
      </c>
      <c r="E462" t="s">
        <v>52</v>
      </c>
      <c r="F462" s="68" t="s">
        <v>120</v>
      </c>
      <c r="G462" s="48" t="s">
        <v>1803</v>
      </c>
      <c r="H462" s="5" t="s">
        <v>122</v>
      </c>
      <c r="I462" s="117" t="s">
        <v>1495</v>
      </c>
      <c r="J462" s="29" t="s">
        <v>145</v>
      </c>
      <c r="K462" s="29" t="s">
        <v>1801</v>
      </c>
      <c r="L462" t="s">
        <v>40</v>
      </c>
      <c r="M462" s="16" t="s">
        <v>1761</v>
      </c>
      <c r="N462" s="3" t="str">
        <f t="shared" si="8"/>
        <v>1  Year</v>
      </c>
      <c r="O462" t="s">
        <v>1804</v>
      </c>
      <c r="P462" s="37" t="s">
        <v>1783</v>
      </c>
      <c r="Q462" s="37">
        <v>2026</v>
      </c>
      <c r="R462" s="29" t="s">
        <v>80</v>
      </c>
      <c r="S462" s="29" t="s">
        <v>45</v>
      </c>
      <c r="T462" s="4" t="s">
        <v>1767</v>
      </c>
      <c r="Y462" t="s">
        <v>47</v>
      </c>
    </row>
    <row r="463" spans="1:28" ht="28.8">
      <c r="A463">
        <v>338</v>
      </c>
      <c r="B463" t="s">
        <v>1805</v>
      </c>
      <c r="C463" s="22" t="s">
        <v>1806</v>
      </c>
      <c r="D463" s="52" t="s">
        <v>1807</v>
      </c>
      <c r="E463" t="s">
        <v>104</v>
      </c>
      <c r="F463" s="68" t="s">
        <v>208</v>
      </c>
      <c r="G463" s="48" t="s">
        <v>1808</v>
      </c>
      <c r="H463" s="5" t="s">
        <v>1737</v>
      </c>
      <c r="J463" s="29" t="s">
        <v>48</v>
      </c>
      <c r="K463" s="29" t="s">
        <v>1809</v>
      </c>
      <c r="L463" t="s">
        <v>90</v>
      </c>
      <c r="M463" s="16" t="s">
        <v>1761</v>
      </c>
      <c r="N463" s="3" t="str">
        <f t="shared" si="8"/>
        <v>2 Years</v>
      </c>
      <c r="P463" s="37" t="s">
        <v>1783</v>
      </c>
      <c r="Q463" s="37">
        <v>2026</v>
      </c>
      <c r="R463" s="29" t="s">
        <v>44</v>
      </c>
      <c r="S463" s="29" t="s">
        <v>45</v>
      </c>
      <c r="T463" s="4" t="s">
        <v>1810</v>
      </c>
      <c r="Y463" t="s">
        <v>47</v>
      </c>
    </row>
    <row r="464" spans="1:28" ht="28.8">
      <c r="A464">
        <v>339</v>
      </c>
      <c r="B464" t="s">
        <v>1805</v>
      </c>
      <c r="C464" s="22" t="s">
        <v>1806</v>
      </c>
      <c r="D464" s="52" t="s">
        <v>1807</v>
      </c>
      <c r="E464" t="s">
        <v>104</v>
      </c>
      <c r="F464" s="68" t="s">
        <v>208</v>
      </c>
      <c r="G464" s="48" t="s">
        <v>1808</v>
      </c>
      <c r="H464" s="5" t="s">
        <v>1737</v>
      </c>
      <c r="J464" s="29" t="s">
        <v>88</v>
      </c>
      <c r="K464" s="29" t="s">
        <v>1811</v>
      </c>
      <c r="L464" t="s">
        <v>90</v>
      </c>
      <c r="M464" s="16" t="s">
        <v>1761</v>
      </c>
      <c r="N464" s="3" t="str">
        <f t="shared" si="8"/>
        <v>2 Years</v>
      </c>
      <c r="P464" s="37" t="s">
        <v>1783</v>
      </c>
      <c r="Q464" s="37">
        <v>2026</v>
      </c>
      <c r="R464" s="29" t="s">
        <v>44</v>
      </c>
      <c r="S464" s="29" t="s">
        <v>45</v>
      </c>
      <c r="T464" s="4" t="s">
        <v>1810</v>
      </c>
      <c r="Y464" t="s">
        <v>47</v>
      </c>
    </row>
    <row r="465" spans="1:29" ht="28.8">
      <c r="A465">
        <v>340</v>
      </c>
      <c r="B465" t="s">
        <v>1812</v>
      </c>
      <c r="C465" s="22" t="s">
        <v>1813</v>
      </c>
      <c r="D465" s="52" t="s">
        <v>1814</v>
      </c>
      <c r="E465" t="s">
        <v>104</v>
      </c>
      <c r="F465" s="68" t="s">
        <v>208</v>
      </c>
      <c r="G465" s="48" t="s">
        <v>1808</v>
      </c>
      <c r="H465" s="5" t="s">
        <v>1737</v>
      </c>
      <c r="J465" s="29" t="s">
        <v>48</v>
      </c>
      <c r="K465" s="29" t="s">
        <v>1815</v>
      </c>
      <c r="L465" t="s">
        <v>90</v>
      </c>
      <c r="M465" s="16" t="s">
        <v>1761</v>
      </c>
      <c r="N465" s="3" t="s">
        <v>1816</v>
      </c>
      <c r="P465" s="37" t="s">
        <v>1783</v>
      </c>
      <c r="Q465" s="37">
        <v>2026</v>
      </c>
      <c r="R465" s="29" t="s">
        <v>44</v>
      </c>
      <c r="S465" s="29" t="s">
        <v>45</v>
      </c>
      <c r="T465" s="4" t="s">
        <v>1817</v>
      </c>
      <c r="Y465" t="s">
        <v>47</v>
      </c>
    </row>
    <row r="466" spans="1:29" ht="28.8">
      <c r="A466">
        <v>341</v>
      </c>
      <c r="B466" t="s">
        <v>1812</v>
      </c>
      <c r="C466" s="22" t="s">
        <v>1813</v>
      </c>
      <c r="D466" s="52" t="s">
        <v>1814</v>
      </c>
      <c r="E466" t="s">
        <v>104</v>
      </c>
      <c r="F466" s="68" t="s">
        <v>208</v>
      </c>
      <c r="G466" s="48" t="s">
        <v>1808</v>
      </c>
      <c r="H466" s="5" t="s">
        <v>1737</v>
      </c>
      <c r="J466" s="29" t="s">
        <v>88</v>
      </c>
      <c r="K466" s="43" t="s">
        <v>1818</v>
      </c>
      <c r="L466" t="s">
        <v>90</v>
      </c>
      <c r="M466" s="16" t="s">
        <v>1761</v>
      </c>
      <c r="N466" s="3" t="str">
        <f t="shared" si="8"/>
        <v>2 Years</v>
      </c>
      <c r="P466" s="37" t="s">
        <v>1783</v>
      </c>
      <c r="Q466">
        <v>2026</v>
      </c>
      <c r="R466" s="29" t="s">
        <v>44</v>
      </c>
      <c r="S466" s="29" t="s">
        <v>45</v>
      </c>
      <c r="T466" s="4" t="s">
        <v>1817</v>
      </c>
      <c r="Y466" t="s">
        <v>47</v>
      </c>
    </row>
    <row r="467" spans="1:29" ht="57.6">
      <c r="A467">
        <v>342</v>
      </c>
      <c r="B467" t="s">
        <v>1819</v>
      </c>
      <c r="C467" s="22" t="s">
        <v>1820</v>
      </c>
      <c r="D467" s="52" t="s">
        <v>1821</v>
      </c>
      <c r="E467" t="s">
        <v>33</v>
      </c>
      <c r="F467" s="68" t="s">
        <v>1822</v>
      </c>
      <c r="G467" s="48" t="s">
        <v>1823</v>
      </c>
      <c r="H467" s="5" t="s">
        <v>1824</v>
      </c>
      <c r="I467" s="117" t="s">
        <v>1825</v>
      </c>
      <c r="J467" s="29" t="s">
        <v>38</v>
      </c>
      <c r="K467" s="29" t="s">
        <v>1826</v>
      </c>
      <c r="L467" t="s">
        <v>90</v>
      </c>
      <c r="M467" s="16" t="s">
        <v>1761</v>
      </c>
      <c r="N467" s="3" t="str">
        <f t="shared" si="8"/>
        <v>2 Years</v>
      </c>
      <c r="O467" t="s">
        <v>1800</v>
      </c>
      <c r="P467" s="37" t="s">
        <v>1783</v>
      </c>
      <c r="Q467" s="37">
        <v>2026</v>
      </c>
      <c r="R467" s="29" t="s">
        <v>44</v>
      </c>
      <c r="S467" s="29" t="s">
        <v>45</v>
      </c>
      <c r="T467" s="4" t="s">
        <v>1827</v>
      </c>
      <c r="Y467" t="s">
        <v>47</v>
      </c>
    </row>
    <row r="468" spans="1:29" ht="43.2">
      <c r="A468">
        <v>343</v>
      </c>
      <c r="B468" t="s">
        <v>1828</v>
      </c>
      <c r="C468" s="22" t="s">
        <v>1829</v>
      </c>
      <c r="D468" s="52" t="s">
        <v>169</v>
      </c>
      <c r="E468" t="s">
        <v>33</v>
      </c>
      <c r="F468" s="68" t="s">
        <v>1830</v>
      </c>
      <c r="G468" s="48" t="s">
        <v>1831</v>
      </c>
      <c r="H468" s="5" t="s">
        <v>1832</v>
      </c>
      <c r="I468" s="120" t="s">
        <v>1833</v>
      </c>
      <c r="J468" s="29" t="s">
        <v>48</v>
      </c>
      <c r="K468" s="29" t="s">
        <v>1834</v>
      </c>
      <c r="L468" t="s">
        <v>40</v>
      </c>
      <c r="M468" s="16" t="s">
        <v>1761</v>
      </c>
      <c r="N468" s="3" t="str">
        <f t="shared" si="8"/>
        <v>1  Year</v>
      </c>
      <c r="O468" t="s">
        <v>1800</v>
      </c>
      <c r="P468" s="37" t="s">
        <v>1783</v>
      </c>
      <c r="Q468">
        <v>2026</v>
      </c>
      <c r="R468" s="29" t="s">
        <v>44</v>
      </c>
      <c r="S468" s="29" t="s">
        <v>45</v>
      </c>
      <c r="T468" s="4" t="s">
        <v>1835</v>
      </c>
      <c r="Y468" t="s">
        <v>47</v>
      </c>
    </row>
    <row r="469" spans="1:29" ht="28.8">
      <c r="A469">
        <v>343</v>
      </c>
      <c r="B469" t="s">
        <v>1828</v>
      </c>
      <c r="C469" s="22" t="s">
        <v>1829</v>
      </c>
      <c r="D469" s="52" t="s">
        <v>169</v>
      </c>
      <c r="E469" t="s">
        <v>33</v>
      </c>
      <c r="F469" s="68" t="s">
        <v>1830</v>
      </c>
      <c r="G469" s="48" t="s">
        <v>1836</v>
      </c>
      <c r="H469" s="5" t="s">
        <v>1832</v>
      </c>
      <c r="I469" s="120" t="s">
        <v>1833</v>
      </c>
      <c r="J469" s="29" t="s">
        <v>159</v>
      </c>
      <c r="K469" s="29" t="s">
        <v>1837</v>
      </c>
      <c r="L469" t="s">
        <v>40</v>
      </c>
      <c r="M469" s="16" t="s">
        <v>1761</v>
      </c>
      <c r="N469" s="3" t="str">
        <f t="shared" si="8"/>
        <v>1  Year</v>
      </c>
      <c r="O469" t="s">
        <v>1800</v>
      </c>
      <c r="P469" s="37" t="s">
        <v>1783</v>
      </c>
      <c r="Q469">
        <v>2026</v>
      </c>
      <c r="R469" s="29" t="s">
        <v>44</v>
      </c>
      <c r="S469" s="29" t="s">
        <v>45</v>
      </c>
      <c r="T469" s="4" t="s">
        <v>1835</v>
      </c>
      <c r="Y469" t="s">
        <v>47</v>
      </c>
    </row>
    <row r="470" spans="1:29" ht="187.2">
      <c r="A470">
        <v>344</v>
      </c>
      <c r="B470" t="s">
        <v>1838</v>
      </c>
      <c r="C470" s="22" t="s">
        <v>1839</v>
      </c>
      <c r="D470" s="52" t="s">
        <v>1840</v>
      </c>
      <c r="E470" t="s">
        <v>104</v>
      </c>
      <c r="F470" s="68" t="s">
        <v>1841</v>
      </c>
      <c r="G470" s="48" t="s">
        <v>1842</v>
      </c>
      <c r="H470" s="5" t="s">
        <v>1843</v>
      </c>
      <c r="I470" s="117" t="s">
        <v>1844</v>
      </c>
      <c r="J470" s="29" t="s">
        <v>48</v>
      </c>
      <c r="K470" s="29" t="s">
        <v>1845</v>
      </c>
      <c r="L470" t="s">
        <v>40</v>
      </c>
      <c r="M470" s="16" t="s">
        <v>1761</v>
      </c>
      <c r="N470" s="3" t="str">
        <f t="shared" si="8"/>
        <v>1  Year</v>
      </c>
      <c r="O470" t="s">
        <v>1520</v>
      </c>
      <c r="P470" s="37" t="s">
        <v>1783</v>
      </c>
      <c r="Q470">
        <v>2026</v>
      </c>
      <c r="R470" s="29" t="s">
        <v>44</v>
      </c>
      <c r="S470" s="29" t="s">
        <v>45</v>
      </c>
      <c r="T470" s="4" t="s">
        <v>1846</v>
      </c>
      <c r="Y470" t="s">
        <v>47</v>
      </c>
    </row>
    <row r="471" spans="1:29" ht="187.2">
      <c r="A471">
        <v>345</v>
      </c>
      <c r="B471" t="s">
        <v>1838</v>
      </c>
      <c r="C471" s="22" t="s">
        <v>1839</v>
      </c>
      <c r="D471" s="52" t="s">
        <v>1840</v>
      </c>
      <c r="E471" t="s">
        <v>104</v>
      </c>
      <c r="F471" s="68" t="s">
        <v>1847</v>
      </c>
      <c r="G471" s="48" t="s">
        <v>1842</v>
      </c>
      <c r="H471" s="5" t="s">
        <v>1848</v>
      </c>
      <c r="I471" s="117" t="s">
        <v>1844</v>
      </c>
      <c r="J471" s="29" t="s">
        <v>159</v>
      </c>
      <c r="K471" s="29" t="s">
        <v>1845</v>
      </c>
      <c r="L471" t="s">
        <v>40</v>
      </c>
      <c r="M471" s="16" t="s">
        <v>1761</v>
      </c>
      <c r="N471" s="3" t="str">
        <f t="shared" si="8"/>
        <v>1  Year</v>
      </c>
      <c r="O471" t="s">
        <v>1520</v>
      </c>
      <c r="P471" t="s">
        <v>1783</v>
      </c>
      <c r="Q471">
        <v>2026</v>
      </c>
      <c r="R471" s="29" t="s">
        <v>44</v>
      </c>
      <c r="S471" s="29" t="s">
        <v>45</v>
      </c>
      <c r="T471" s="4" t="s">
        <v>1846</v>
      </c>
      <c r="Y471" t="s">
        <v>47</v>
      </c>
    </row>
    <row r="472" spans="1:29" ht="28.8">
      <c r="A472">
        <v>346</v>
      </c>
      <c r="B472" t="s">
        <v>1849</v>
      </c>
      <c r="C472" s="22" t="s">
        <v>1850</v>
      </c>
      <c r="D472" s="52" t="s">
        <v>1851</v>
      </c>
      <c r="E472" t="s">
        <v>33</v>
      </c>
      <c r="F472" s="68" t="s">
        <v>1852</v>
      </c>
      <c r="G472" s="48" t="s">
        <v>1853</v>
      </c>
      <c r="H472" s="5" t="s">
        <v>1854</v>
      </c>
      <c r="I472" s="117" t="s">
        <v>1855</v>
      </c>
      <c r="J472" s="29" t="s">
        <v>145</v>
      </c>
      <c r="K472" s="29" t="s">
        <v>1856</v>
      </c>
      <c r="L472" t="s">
        <v>40</v>
      </c>
      <c r="M472" s="16" t="s">
        <v>1761</v>
      </c>
      <c r="N472" s="3" t="str">
        <f t="shared" ref="N472:N587" si="10">IF(L472="New","1  Year",IF(L472="Promotional","15 Weeks",IF(L472="Revalidation","2 Years","")))</f>
        <v>1  Year</v>
      </c>
      <c r="O472" t="s">
        <v>1800</v>
      </c>
      <c r="P472" t="s">
        <v>1783</v>
      </c>
      <c r="Q472">
        <v>2026</v>
      </c>
      <c r="R472" s="29" t="s">
        <v>80</v>
      </c>
      <c r="S472" s="29" t="s">
        <v>45</v>
      </c>
      <c r="T472" s="4" t="s">
        <v>1857</v>
      </c>
      <c r="U472" t="s">
        <v>162</v>
      </c>
      <c r="W472" t="s">
        <v>1858</v>
      </c>
      <c r="X472" t="s">
        <v>163</v>
      </c>
      <c r="Y472" s="79" t="s">
        <v>103</v>
      </c>
      <c r="AB472" t="s">
        <v>105</v>
      </c>
      <c r="AC472" t="s">
        <v>815</v>
      </c>
    </row>
    <row r="473" spans="1:29" ht="28.8">
      <c r="A473">
        <v>347</v>
      </c>
      <c r="B473" t="s">
        <v>1859</v>
      </c>
      <c r="C473" s="22" t="s">
        <v>1860</v>
      </c>
      <c r="D473" s="52" t="s">
        <v>1861</v>
      </c>
      <c r="E473" t="s">
        <v>104</v>
      </c>
      <c r="F473" s="68" t="s">
        <v>1862</v>
      </c>
      <c r="G473" s="48" t="s">
        <v>1863</v>
      </c>
      <c r="H473" s="5" t="s">
        <v>1864</v>
      </c>
      <c r="I473" s="117" t="s">
        <v>1865</v>
      </c>
      <c r="J473" s="29" t="s">
        <v>48</v>
      </c>
      <c r="K473" s="29" t="s">
        <v>1866</v>
      </c>
      <c r="L473" t="s">
        <v>40</v>
      </c>
      <c r="M473" s="16" t="s">
        <v>1761</v>
      </c>
      <c r="N473" s="3" t="str">
        <f t="shared" si="10"/>
        <v>1  Year</v>
      </c>
      <c r="O473" t="s">
        <v>1867</v>
      </c>
      <c r="P473" t="s">
        <v>1783</v>
      </c>
      <c r="Q473">
        <v>2026</v>
      </c>
      <c r="R473" s="29" t="s">
        <v>80</v>
      </c>
      <c r="S473" s="29" t="s">
        <v>45</v>
      </c>
      <c r="T473" s="4" t="s">
        <v>1868</v>
      </c>
      <c r="Y473" t="s">
        <v>47</v>
      </c>
    </row>
    <row r="474" spans="1:29" ht="28.8">
      <c r="A474">
        <v>348</v>
      </c>
      <c r="B474" t="s">
        <v>1869</v>
      </c>
      <c r="C474" s="22" t="s">
        <v>1870</v>
      </c>
      <c r="D474" s="52" t="s">
        <v>1861</v>
      </c>
      <c r="E474" t="s">
        <v>104</v>
      </c>
      <c r="F474" s="68" t="s">
        <v>1862</v>
      </c>
      <c r="G474" s="48" t="s">
        <v>1863</v>
      </c>
      <c r="H474" s="5" t="s">
        <v>1864</v>
      </c>
      <c r="I474" s="117" t="s">
        <v>1865</v>
      </c>
      <c r="J474" s="29" t="s">
        <v>48</v>
      </c>
      <c r="K474" s="29" t="s">
        <v>1866</v>
      </c>
      <c r="L474" t="s">
        <v>40</v>
      </c>
      <c r="M474" s="16" t="s">
        <v>1761</v>
      </c>
      <c r="N474" s="3" t="str">
        <f t="shared" si="10"/>
        <v>1  Year</v>
      </c>
      <c r="O474" t="s">
        <v>1867</v>
      </c>
      <c r="P474" t="s">
        <v>1783</v>
      </c>
      <c r="Q474">
        <v>2026</v>
      </c>
      <c r="R474" s="29" t="s">
        <v>80</v>
      </c>
      <c r="S474" s="29" t="s">
        <v>45</v>
      </c>
      <c r="T474" s="4" t="s">
        <v>1868</v>
      </c>
      <c r="Y474" t="s">
        <v>47</v>
      </c>
    </row>
    <row r="475" spans="1:29" ht="28.8">
      <c r="A475">
        <v>348</v>
      </c>
      <c r="B475" t="s">
        <v>1871</v>
      </c>
      <c r="C475" s="22" t="s">
        <v>1872</v>
      </c>
      <c r="D475" s="52" t="s">
        <v>1861</v>
      </c>
      <c r="E475" t="s">
        <v>104</v>
      </c>
      <c r="F475" s="68" t="s">
        <v>1862</v>
      </c>
      <c r="G475" s="48" t="s">
        <v>1863</v>
      </c>
      <c r="H475" s="5" t="s">
        <v>1864</v>
      </c>
      <c r="I475" s="117" t="s">
        <v>1865</v>
      </c>
      <c r="J475" s="29" t="s">
        <v>48</v>
      </c>
      <c r="K475" s="29" t="s">
        <v>1866</v>
      </c>
      <c r="L475" t="s">
        <v>40</v>
      </c>
      <c r="M475" s="16" t="s">
        <v>1761</v>
      </c>
      <c r="N475" s="3" t="str">
        <f t="shared" si="10"/>
        <v>1  Year</v>
      </c>
      <c r="O475" t="s">
        <v>1867</v>
      </c>
      <c r="P475" t="s">
        <v>1783</v>
      </c>
      <c r="Q475">
        <v>2026</v>
      </c>
      <c r="R475" s="29" t="s">
        <v>80</v>
      </c>
      <c r="S475" s="29" t="s">
        <v>45</v>
      </c>
      <c r="T475" s="4" t="s">
        <v>1868</v>
      </c>
      <c r="Y475" t="s">
        <v>47</v>
      </c>
    </row>
    <row r="476" spans="1:29" ht="28.8">
      <c r="A476">
        <v>349</v>
      </c>
      <c r="B476" t="s">
        <v>1873</v>
      </c>
      <c r="C476" s="22" t="s">
        <v>1874</v>
      </c>
      <c r="D476" s="52" t="s">
        <v>1861</v>
      </c>
      <c r="E476" t="s">
        <v>104</v>
      </c>
      <c r="F476" s="68" t="s">
        <v>1862</v>
      </c>
      <c r="G476" s="48" t="s">
        <v>1863</v>
      </c>
      <c r="H476" s="5" t="s">
        <v>1864</v>
      </c>
      <c r="I476" s="117" t="s">
        <v>1865</v>
      </c>
      <c r="J476" s="29" t="s">
        <v>48</v>
      </c>
      <c r="K476" s="29" t="s">
        <v>1866</v>
      </c>
      <c r="L476" t="s">
        <v>40</v>
      </c>
      <c r="M476" s="16" t="s">
        <v>1761</v>
      </c>
      <c r="N476" s="3" t="str">
        <f>IF(L476="New","1  Year",IF(L476="Promotional","15 Weeks",IF(L476="Revalidation","2 Years","")))</f>
        <v>1  Year</v>
      </c>
      <c r="O476" t="s">
        <v>1867</v>
      </c>
      <c r="P476" t="s">
        <v>1783</v>
      </c>
      <c r="Q476">
        <v>2026</v>
      </c>
      <c r="R476" s="29" t="s">
        <v>80</v>
      </c>
      <c r="S476" s="29" t="s">
        <v>45</v>
      </c>
      <c r="T476" s="4" t="s">
        <v>1868</v>
      </c>
      <c r="Y476" t="s">
        <v>47</v>
      </c>
    </row>
    <row r="477" spans="1:29" ht="86.4">
      <c r="A477">
        <v>350</v>
      </c>
      <c r="B477" t="s">
        <v>1875</v>
      </c>
      <c r="C477" s="22" t="s">
        <v>1876</v>
      </c>
      <c r="D477" s="52" t="s">
        <v>1877</v>
      </c>
      <c r="E477" t="s">
        <v>104</v>
      </c>
      <c r="F477" s="68" t="s">
        <v>1878</v>
      </c>
      <c r="G477" s="48" t="s">
        <v>1879</v>
      </c>
      <c r="H477" s="5" t="s">
        <v>1880</v>
      </c>
      <c r="J477" s="29" t="s">
        <v>48</v>
      </c>
      <c r="K477" s="29" t="s">
        <v>1881</v>
      </c>
      <c r="L477" t="s">
        <v>90</v>
      </c>
      <c r="M477" s="16" t="s">
        <v>1761</v>
      </c>
      <c r="N477" s="3" t="str">
        <f t="shared" si="10"/>
        <v>2 Years</v>
      </c>
      <c r="O477" t="s">
        <v>1867</v>
      </c>
      <c r="P477" t="s">
        <v>1783</v>
      </c>
      <c r="Q477">
        <v>2026</v>
      </c>
      <c r="R477" s="29" t="s">
        <v>44</v>
      </c>
      <c r="S477" s="29" t="s">
        <v>356</v>
      </c>
      <c r="T477" s="4" t="s">
        <v>1882</v>
      </c>
      <c r="Y477" t="s">
        <v>47</v>
      </c>
    </row>
    <row r="478" spans="1:29" ht="72">
      <c r="A478">
        <v>351</v>
      </c>
      <c r="B478" t="s">
        <v>1875</v>
      </c>
      <c r="C478" s="22" t="s">
        <v>1876</v>
      </c>
      <c r="D478" s="52" t="s">
        <v>1877</v>
      </c>
      <c r="E478" t="s">
        <v>104</v>
      </c>
      <c r="F478" s="68" t="s">
        <v>1878</v>
      </c>
      <c r="G478" s="48" t="s">
        <v>1879</v>
      </c>
      <c r="H478" s="5" t="s">
        <v>1880</v>
      </c>
      <c r="J478" s="29" t="s">
        <v>92</v>
      </c>
      <c r="K478" s="29" t="s">
        <v>1883</v>
      </c>
      <c r="L478" t="s">
        <v>90</v>
      </c>
      <c r="M478" s="16" t="s">
        <v>1761</v>
      </c>
      <c r="N478" s="3" t="str">
        <f t="shared" si="10"/>
        <v>2 Years</v>
      </c>
      <c r="O478" t="s">
        <v>1867</v>
      </c>
      <c r="P478" t="s">
        <v>1783</v>
      </c>
      <c r="Q478">
        <v>2026</v>
      </c>
      <c r="R478" s="29" t="s">
        <v>44</v>
      </c>
      <c r="S478" s="29" t="s">
        <v>356</v>
      </c>
      <c r="T478" s="4" t="s">
        <v>1882</v>
      </c>
      <c r="Y478" t="s">
        <v>47</v>
      </c>
    </row>
    <row r="479" spans="1:29" ht="43.2">
      <c r="A479">
        <v>352</v>
      </c>
      <c r="B479" t="s">
        <v>1884</v>
      </c>
      <c r="C479" s="22" t="s">
        <v>1885</v>
      </c>
      <c r="D479" s="52" t="s">
        <v>1886</v>
      </c>
      <c r="E479" t="s">
        <v>104</v>
      </c>
      <c r="F479" s="68" t="s">
        <v>1887</v>
      </c>
      <c r="G479" s="48" t="s">
        <v>1888</v>
      </c>
      <c r="H479" s="5" t="s">
        <v>1889</v>
      </c>
      <c r="J479" s="29" t="s">
        <v>159</v>
      </c>
      <c r="K479" s="29" t="s">
        <v>1890</v>
      </c>
      <c r="L479" t="s">
        <v>40</v>
      </c>
      <c r="M479" s="16" t="s">
        <v>1761</v>
      </c>
      <c r="N479" s="3" t="str">
        <f t="shared" si="10"/>
        <v>1  Year</v>
      </c>
      <c r="O479" t="s">
        <v>1520</v>
      </c>
      <c r="P479" t="s">
        <v>1783</v>
      </c>
      <c r="Q479">
        <v>2026</v>
      </c>
      <c r="R479" s="29" t="s">
        <v>44</v>
      </c>
      <c r="S479" s="29" t="s">
        <v>45</v>
      </c>
      <c r="T479" s="4" t="s">
        <v>1891</v>
      </c>
      <c r="Y479" t="s">
        <v>47</v>
      </c>
    </row>
    <row r="480" spans="1:29" ht="43.2">
      <c r="A480">
        <v>353</v>
      </c>
      <c r="B480" t="s">
        <v>1892</v>
      </c>
      <c r="C480" s="22" t="s">
        <v>1893</v>
      </c>
      <c r="D480" s="52" t="s">
        <v>1770</v>
      </c>
      <c r="E480" t="s">
        <v>104</v>
      </c>
      <c r="F480" s="68" t="s">
        <v>1599</v>
      </c>
      <c r="G480" s="48" t="s">
        <v>1894</v>
      </c>
      <c r="H480" s="5"/>
      <c r="J480" s="29" t="s">
        <v>145</v>
      </c>
      <c r="K480" s="29" t="s">
        <v>1895</v>
      </c>
      <c r="L480" t="s">
        <v>40</v>
      </c>
      <c r="M480" s="16" t="s">
        <v>1761</v>
      </c>
      <c r="N480" s="3" t="str">
        <f t="shared" si="10"/>
        <v>1  Year</v>
      </c>
      <c r="O480" t="s">
        <v>1520</v>
      </c>
      <c r="P480" t="s">
        <v>1783</v>
      </c>
      <c r="Q480">
        <v>2026</v>
      </c>
      <c r="R480" s="29" t="s">
        <v>44</v>
      </c>
      <c r="S480" s="29" t="s">
        <v>45</v>
      </c>
      <c r="T480" s="4" t="s">
        <v>1896</v>
      </c>
      <c r="Y480" t="s">
        <v>47</v>
      </c>
    </row>
    <row r="481" spans="1:29" ht="31.8">
      <c r="A481">
        <v>354</v>
      </c>
      <c r="B481" t="s">
        <v>1897</v>
      </c>
      <c r="C481" s="22" t="s">
        <v>1898</v>
      </c>
      <c r="D481" s="52" t="s">
        <v>1899</v>
      </c>
      <c r="E481" t="s">
        <v>104</v>
      </c>
      <c r="F481" s="68" t="s">
        <v>1581</v>
      </c>
      <c r="G481" s="48" t="s">
        <v>1900</v>
      </c>
      <c r="H481" s="5" t="s">
        <v>1583</v>
      </c>
      <c r="I481" s="117" t="s">
        <v>1584</v>
      </c>
      <c r="J481" s="29" t="s">
        <v>145</v>
      </c>
      <c r="K481" s="29" t="s">
        <v>1901</v>
      </c>
      <c r="L481" t="s">
        <v>40</v>
      </c>
      <c r="M481" s="16" t="s">
        <v>1761</v>
      </c>
      <c r="N481" s="3" t="str">
        <f t="shared" si="10"/>
        <v>1  Year</v>
      </c>
      <c r="O481" t="s">
        <v>1520</v>
      </c>
      <c r="P481" t="s">
        <v>1783</v>
      </c>
      <c r="Q481">
        <v>2026</v>
      </c>
      <c r="R481" s="29" t="s">
        <v>44</v>
      </c>
      <c r="S481" s="29" t="s">
        <v>45</v>
      </c>
      <c r="T481" s="4" t="s">
        <v>1902</v>
      </c>
      <c r="Y481" t="s">
        <v>47</v>
      </c>
    </row>
    <row r="482" spans="1:29" ht="28.8">
      <c r="A482">
        <v>355</v>
      </c>
      <c r="B482" t="s">
        <v>1903</v>
      </c>
      <c r="C482" s="22" t="s">
        <v>1904</v>
      </c>
      <c r="D482" s="52" t="s">
        <v>1905</v>
      </c>
      <c r="E482" t="s">
        <v>104</v>
      </c>
      <c r="F482" s="68" t="s">
        <v>226</v>
      </c>
      <c r="G482" s="48" t="s">
        <v>1906</v>
      </c>
      <c r="H482" s="5" t="s">
        <v>1907</v>
      </c>
      <c r="I482" s="117" t="s">
        <v>1908</v>
      </c>
      <c r="J482" s="29" t="s">
        <v>48</v>
      </c>
      <c r="K482" s="29" t="s">
        <v>1909</v>
      </c>
      <c r="L482" t="s">
        <v>40</v>
      </c>
      <c r="M482" s="16" t="s">
        <v>1761</v>
      </c>
      <c r="N482" s="3" t="str">
        <f t="shared" si="10"/>
        <v>1  Year</v>
      </c>
      <c r="O482" t="s">
        <v>1910</v>
      </c>
      <c r="P482" t="s">
        <v>1783</v>
      </c>
      <c r="Q482">
        <v>2026</v>
      </c>
      <c r="R482" s="29" t="s">
        <v>44</v>
      </c>
      <c r="S482" s="29" t="s">
        <v>45</v>
      </c>
      <c r="T482" s="4" t="s">
        <v>1911</v>
      </c>
      <c r="Y482" t="s">
        <v>47</v>
      </c>
    </row>
    <row r="483" spans="1:29" ht="28.8">
      <c r="A483">
        <v>356</v>
      </c>
      <c r="B483" t="s">
        <v>1903</v>
      </c>
      <c r="C483" s="22" t="s">
        <v>1904</v>
      </c>
      <c r="D483" s="52" t="s">
        <v>1905</v>
      </c>
      <c r="E483" t="s">
        <v>104</v>
      </c>
      <c r="F483" s="68" t="s">
        <v>226</v>
      </c>
      <c r="G483" s="48" t="s">
        <v>1906</v>
      </c>
      <c r="H483" s="5" t="s">
        <v>1907</v>
      </c>
      <c r="I483" s="117" t="s">
        <v>1908</v>
      </c>
      <c r="J483" s="29" t="s">
        <v>92</v>
      </c>
      <c r="K483" s="29" t="s">
        <v>1909</v>
      </c>
      <c r="L483" t="s">
        <v>40</v>
      </c>
      <c r="M483" s="16" t="s">
        <v>1761</v>
      </c>
      <c r="N483" s="3" t="str">
        <f t="shared" si="10"/>
        <v>1  Year</v>
      </c>
      <c r="O483" t="s">
        <v>1910</v>
      </c>
      <c r="P483" t="s">
        <v>1783</v>
      </c>
      <c r="Q483">
        <v>2026</v>
      </c>
      <c r="R483" s="29" t="s">
        <v>44</v>
      </c>
      <c r="S483" s="29" t="s">
        <v>45</v>
      </c>
      <c r="T483" s="4" t="s">
        <v>1911</v>
      </c>
      <c r="Y483" t="s">
        <v>47</v>
      </c>
    </row>
    <row r="484" spans="1:29" ht="42">
      <c r="A484">
        <v>357</v>
      </c>
      <c r="B484" t="s">
        <v>1912</v>
      </c>
      <c r="C484" s="22" t="s">
        <v>1913</v>
      </c>
      <c r="D484" s="52" t="s">
        <v>1914</v>
      </c>
      <c r="E484" t="s">
        <v>33</v>
      </c>
      <c r="F484" s="68" t="s">
        <v>832</v>
      </c>
      <c r="G484" s="48" t="s">
        <v>1915</v>
      </c>
      <c r="H484" s="5" t="s">
        <v>1824</v>
      </c>
      <c r="I484" s="117" t="s">
        <v>1825</v>
      </c>
      <c r="J484" s="29" t="s">
        <v>48</v>
      </c>
      <c r="K484" s="29" t="s">
        <v>1916</v>
      </c>
      <c r="L484" t="s">
        <v>90</v>
      </c>
      <c r="M484" s="16" t="s">
        <v>1761</v>
      </c>
      <c r="N484" s="3" t="str">
        <f t="shared" si="10"/>
        <v>2 Years</v>
      </c>
      <c r="O484" t="s">
        <v>42</v>
      </c>
      <c r="P484" t="s">
        <v>1783</v>
      </c>
      <c r="Q484">
        <v>2026</v>
      </c>
      <c r="R484" s="29" t="s">
        <v>44</v>
      </c>
      <c r="S484" s="29" t="s">
        <v>45</v>
      </c>
      <c r="T484" s="4" t="s">
        <v>1917</v>
      </c>
      <c r="Y484" t="s">
        <v>47</v>
      </c>
    </row>
    <row r="485" spans="1:29" ht="28.8">
      <c r="A485">
        <v>358</v>
      </c>
      <c r="B485" t="s">
        <v>1912</v>
      </c>
      <c r="C485" s="22" t="s">
        <v>1913</v>
      </c>
      <c r="D485" s="52" t="s">
        <v>1914</v>
      </c>
      <c r="E485" t="s">
        <v>33</v>
      </c>
      <c r="F485" s="68" t="s">
        <v>832</v>
      </c>
      <c r="G485" s="48" t="s">
        <v>1918</v>
      </c>
      <c r="H485" s="5" t="s">
        <v>1824</v>
      </c>
      <c r="I485" s="117" t="s">
        <v>1825</v>
      </c>
      <c r="J485" s="29" t="s">
        <v>145</v>
      </c>
      <c r="K485" s="29" t="s">
        <v>1916</v>
      </c>
      <c r="L485" t="s">
        <v>90</v>
      </c>
      <c r="M485" s="16" t="s">
        <v>1761</v>
      </c>
      <c r="N485" s="3" t="str">
        <f t="shared" si="10"/>
        <v>2 Years</v>
      </c>
      <c r="O485" t="s">
        <v>42</v>
      </c>
      <c r="P485" t="s">
        <v>1783</v>
      </c>
      <c r="Q485" s="37">
        <v>2026</v>
      </c>
      <c r="R485" s="29" t="s">
        <v>44</v>
      </c>
      <c r="S485" s="29" t="s">
        <v>45</v>
      </c>
      <c r="T485" s="4" t="s">
        <v>1917</v>
      </c>
      <c r="U485" t="s">
        <v>162</v>
      </c>
      <c r="W485" t="s">
        <v>1919</v>
      </c>
      <c r="X485" t="s">
        <v>163</v>
      </c>
      <c r="Y485" s="79" t="s">
        <v>103</v>
      </c>
      <c r="AB485" t="s">
        <v>105</v>
      </c>
      <c r="AC485" t="s">
        <v>1920</v>
      </c>
    </row>
    <row r="486" spans="1:29" ht="28.8">
      <c r="A486">
        <v>359</v>
      </c>
      <c r="B486" t="s">
        <v>1912</v>
      </c>
      <c r="C486" s="22" t="s">
        <v>1913</v>
      </c>
      <c r="D486" s="52" t="s">
        <v>1914</v>
      </c>
      <c r="E486" t="s">
        <v>33</v>
      </c>
      <c r="F486" s="68" t="s">
        <v>832</v>
      </c>
      <c r="G486" s="48" t="s">
        <v>1918</v>
      </c>
      <c r="H486" s="5" t="s">
        <v>1824</v>
      </c>
      <c r="I486" s="117" t="s">
        <v>1825</v>
      </c>
      <c r="J486" s="29" t="s">
        <v>159</v>
      </c>
      <c r="K486" s="29" t="s">
        <v>1916</v>
      </c>
      <c r="L486" t="s">
        <v>90</v>
      </c>
      <c r="M486" s="16" t="s">
        <v>1761</v>
      </c>
      <c r="N486" s="3" t="str">
        <f t="shared" si="10"/>
        <v>2 Years</v>
      </c>
      <c r="O486" t="s">
        <v>42</v>
      </c>
      <c r="P486" t="s">
        <v>1783</v>
      </c>
      <c r="Q486">
        <v>2026</v>
      </c>
      <c r="R486" s="29" t="s">
        <v>44</v>
      </c>
      <c r="S486" s="29" t="s">
        <v>45</v>
      </c>
      <c r="T486" s="4" t="s">
        <v>1917</v>
      </c>
      <c r="Y486" t="s">
        <v>47</v>
      </c>
    </row>
    <row r="487" spans="1:29" ht="28.8">
      <c r="A487">
        <v>360</v>
      </c>
      <c r="B487" t="s">
        <v>1921</v>
      </c>
      <c r="C487" s="22" t="s">
        <v>1922</v>
      </c>
      <c r="D487" s="52" t="s">
        <v>1923</v>
      </c>
      <c r="E487" t="s">
        <v>33</v>
      </c>
      <c r="F487" s="68" t="s">
        <v>832</v>
      </c>
      <c r="G487" s="48" t="s">
        <v>1918</v>
      </c>
      <c r="H487" s="5" t="s">
        <v>1824</v>
      </c>
      <c r="I487" s="117" t="s">
        <v>1825</v>
      </c>
      <c r="J487" s="29" t="s">
        <v>48</v>
      </c>
      <c r="K487" s="29" t="s">
        <v>1924</v>
      </c>
      <c r="L487" t="s">
        <v>90</v>
      </c>
      <c r="M487" s="16" t="s">
        <v>1761</v>
      </c>
      <c r="N487" s="3" t="str">
        <f t="shared" si="10"/>
        <v>2 Years</v>
      </c>
      <c r="O487" t="s">
        <v>42</v>
      </c>
      <c r="P487" t="s">
        <v>1783</v>
      </c>
      <c r="Q487">
        <v>2026</v>
      </c>
      <c r="R487" s="29" t="s">
        <v>44</v>
      </c>
      <c r="S487" s="29" t="s">
        <v>45</v>
      </c>
      <c r="T487" s="4" t="s">
        <v>1925</v>
      </c>
      <c r="Y487" t="s">
        <v>47</v>
      </c>
    </row>
    <row r="488" spans="1:29" ht="28.8">
      <c r="A488">
        <v>361</v>
      </c>
      <c r="B488" t="s">
        <v>1926</v>
      </c>
      <c r="C488" s="22" t="s">
        <v>1927</v>
      </c>
      <c r="D488" s="52" t="s">
        <v>548</v>
      </c>
      <c r="E488" t="s">
        <v>33</v>
      </c>
      <c r="F488" s="68" t="s">
        <v>1928</v>
      </c>
      <c r="G488" s="48" t="s">
        <v>1929</v>
      </c>
      <c r="H488" s="5" t="s">
        <v>1930</v>
      </c>
      <c r="I488" s="117" t="s">
        <v>1931</v>
      </c>
      <c r="J488" s="29" t="s">
        <v>57</v>
      </c>
      <c r="K488" s="29" t="s">
        <v>1932</v>
      </c>
      <c r="L488" t="s">
        <v>90</v>
      </c>
      <c r="M488" s="16" t="s">
        <v>1761</v>
      </c>
      <c r="N488" s="3" t="str">
        <f t="shared" si="10"/>
        <v>2 Years</v>
      </c>
      <c r="O488" t="s">
        <v>42</v>
      </c>
      <c r="P488" t="s">
        <v>1783</v>
      </c>
      <c r="Q488">
        <v>2026</v>
      </c>
      <c r="R488" s="29" t="s">
        <v>44</v>
      </c>
      <c r="S488" s="29" t="s">
        <v>45</v>
      </c>
      <c r="T488" s="4" t="s">
        <v>1933</v>
      </c>
      <c r="Y488" t="s">
        <v>47</v>
      </c>
    </row>
    <row r="489" spans="1:29" ht="28.8">
      <c r="A489">
        <v>362</v>
      </c>
      <c r="B489" t="s">
        <v>1926</v>
      </c>
      <c r="C489" s="22" t="s">
        <v>1927</v>
      </c>
      <c r="D489" s="52" t="s">
        <v>548</v>
      </c>
      <c r="E489" t="s">
        <v>33</v>
      </c>
      <c r="F489" s="68" t="s">
        <v>1928</v>
      </c>
      <c r="G489" s="48" t="s">
        <v>1929</v>
      </c>
      <c r="H489" s="5" t="s">
        <v>1930</v>
      </c>
      <c r="I489" s="117" t="s">
        <v>1931</v>
      </c>
      <c r="J489" s="29" t="s">
        <v>145</v>
      </c>
      <c r="K489" s="29" t="s">
        <v>1932</v>
      </c>
      <c r="L489" t="s">
        <v>90</v>
      </c>
      <c r="M489" s="16" t="s">
        <v>1761</v>
      </c>
      <c r="N489" s="3" t="str">
        <f t="shared" si="10"/>
        <v>2 Years</v>
      </c>
      <c r="O489" t="s">
        <v>42</v>
      </c>
      <c r="P489" t="s">
        <v>1783</v>
      </c>
      <c r="Q489">
        <v>2026</v>
      </c>
      <c r="R489" s="29" t="s">
        <v>44</v>
      </c>
      <c r="S489" s="29" t="s">
        <v>45</v>
      </c>
      <c r="T489" s="4" t="s">
        <v>1933</v>
      </c>
      <c r="Y489" t="s">
        <v>47</v>
      </c>
    </row>
    <row r="490" spans="1:29" ht="28.8">
      <c r="A490">
        <v>363</v>
      </c>
      <c r="B490" t="s">
        <v>1926</v>
      </c>
      <c r="C490" s="22" t="s">
        <v>1927</v>
      </c>
      <c r="D490" s="52" t="s">
        <v>548</v>
      </c>
      <c r="E490" t="s">
        <v>33</v>
      </c>
      <c r="F490" s="68" t="s">
        <v>1928</v>
      </c>
      <c r="G490" s="48" t="s">
        <v>1929</v>
      </c>
      <c r="H490" s="5" t="s">
        <v>1930</v>
      </c>
      <c r="I490" s="117" t="s">
        <v>1931</v>
      </c>
      <c r="J490" s="29" t="s">
        <v>38</v>
      </c>
      <c r="K490" s="29" t="s">
        <v>1932</v>
      </c>
      <c r="L490" t="s">
        <v>90</v>
      </c>
      <c r="M490" s="16" t="s">
        <v>1761</v>
      </c>
      <c r="N490" s="3" t="str">
        <f t="shared" si="10"/>
        <v>2 Years</v>
      </c>
      <c r="O490" t="s">
        <v>42</v>
      </c>
      <c r="P490" t="s">
        <v>1783</v>
      </c>
      <c r="Q490">
        <v>2026</v>
      </c>
      <c r="R490" s="29" t="s">
        <v>44</v>
      </c>
      <c r="S490" s="29" t="s">
        <v>45</v>
      </c>
      <c r="T490" s="4" t="s">
        <v>1933</v>
      </c>
      <c r="Y490" t="s">
        <v>47</v>
      </c>
    </row>
    <row r="491" spans="1:29" ht="31.8">
      <c r="A491">
        <v>364</v>
      </c>
      <c r="B491" t="s">
        <v>1934</v>
      </c>
      <c r="C491" s="22" t="s">
        <v>1935</v>
      </c>
      <c r="D491" s="52" t="s">
        <v>1936</v>
      </c>
      <c r="E491" t="s">
        <v>33</v>
      </c>
      <c r="F491" s="68" t="s">
        <v>1937</v>
      </c>
      <c r="G491" s="48" t="s">
        <v>1938</v>
      </c>
      <c r="H491" s="5" t="s">
        <v>1939</v>
      </c>
      <c r="I491" s="117" t="s">
        <v>1940</v>
      </c>
      <c r="J491" s="29" t="s">
        <v>48</v>
      </c>
      <c r="K491" s="29" t="s">
        <v>1941</v>
      </c>
      <c r="L491" t="s">
        <v>40</v>
      </c>
      <c r="M491" s="16" t="s">
        <v>1761</v>
      </c>
      <c r="N491" s="3" t="str">
        <f t="shared" si="10"/>
        <v>1  Year</v>
      </c>
      <c r="O491" t="s">
        <v>42</v>
      </c>
      <c r="P491" t="s">
        <v>1783</v>
      </c>
      <c r="Q491">
        <v>2026</v>
      </c>
      <c r="R491" s="29" t="s">
        <v>44</v>
      </c>
      <c r="S491" s="29" t="s">
        <v>45</v>
      </c>
      <c r="T491" s="4" t="s">
        <v>1942</v>
      </c>
      <c r="Y491" t="s">
        <v>47</v>
      </c>
    </row>
    <row r="492" spans="1:29" ht="31.8">
      <c r="A492">
        <v>365</v>
      </c>
      <c r="B492" s="49" t="s">
        <v>1943</v>
      </c>
      <c r="C492" s="22" t="s">
        <v>1944</v>
      </c>
      <c r="D492" s="52" t="s">
        <v>1936</v>
      </c>
      <c r="E492" t="s">
        <v>33</v>
      </c>
      <c r="F492" s="68" t="s">
        <v>1937</v>
      </c>
      <c r="G492" s="48" t="s">
        <v>1938</v>
      </c>
      <c r="H492" s="5" t="s">
        <v>1939</v>
      </c>
      <c r="I492" s="117" t="s">
        <v>1940</v>
      </c>
      <c r="J492" s="29" t="s">
        <v>159</v>
      </c>
      <c r="K492" s="29" t="s">
        <v>1941</v>
      </c>
      <c r="L492" t="s">
        <v>40</v>
      </c>
      <c r="M492" s="16" t="s">
        <v>1761</v>
      </c>
      <c r="N492" s="3" t="str">
        <f t="shared" si="10"/>
        <v>1  Year</v>
      </c>
      <c r="O492" t="s">
        <v>42</v>
      </c>
      <c r="P492" t="s">
        <v>1783</v>
      </c>
      <c r="Q492">
        <v>2026</v>
      </c>
      <c r="R492" s="29" t="s">
        <v>44</v>
      </c>
      <c r="S492" s="29" t="s">
        <v>45</v>
      </c>
      <c r="T492" s="4" t="s">
        <v>1942</v>
      </c>
      <c r="Y492" t="s">
        <v>47</v>
      </c>
    </row>
    <row r="493" spans="1:29" ht="31.8">
      <c r="A493">
        <v>366</v>
      </c>
      <c r="B493" t="s">
        <v>1945</v>
      </c>
      <c r="C493" s="22" t="s">
        <v>1946</v>
      </c>
      <c r="D493" s="52" t="s">
        <v>1947</v>
      </c>
      <c r="E493" t="s">
        <v>33</v>
      </c>
      <c r="F493" s="68" t="s">
        <v>1937</v>
      </c>
      <c r="G493" s="48" t="s">
        <v>1938</v>
      </c>
      <c r="H493" s="5" t="s">
        <v>1939</v>
      </c>
      <c r="I493" s="117" t="s">
        <v>1940</v>
      </c>
      <c r="J493" s="29" t="s">
        <v>57</v>
      </c>
      <c r="K493" s="29" t="s">
        <v>1948</v>
      </c>
      <c r="L493" t="s">
        <v>40</v>
      </c>
      <c r="M493" s="16" t="s">
        <v>1761</v>
      </c>
      <c r="N493" s="3" t="str">
        <f t="shared" si="10"/>
        <v>1  Year</v>
      </c>
      <c r="O493" t="s">
        <v>42</v>
      </c>
      <c r="P493" t="s">
        <v>1783</v>
      </c>
      <c r="Q493">
        <v>2026</v>
      </c>
      <c r="R493" s="29" t="s">
        <v>44</v>
      </c>
      <c r="S493" s="29" t="s">
        <v>45</v>
      </c>
      <c r="T493" s="4" t="s">
        <v>1949</v>
      </c>
      <c r="Y493" t="s">
        <v>47</v>
      </c>
    </row>
    <row r="494" spans="1:29" ht="31.8">
      <c r="A494">
        <v>367</v>
      </c>
      <c r="B494" t="s">
        <v>1945</v>
      </c>
      <c r="C494" s="22" t="s">
        <v>1946</v>
      </c>
      <c r="D494" s="52" t="s">
        <v>1947</v>
      </c>
      <c r="E494" t="s">
        <v>33</v>
      </c>
      <c r="F494" s="68" t="s">
        <v>1937</v>
      </c>
      <c r="G494" s="48" t="s">
        <v>1938</v>
      </c>
      <c r="H494" s="5" t="s">
        <v>1939</v>
      </c>
      <c r="I494" s="117" t="s">
        <v>1940</v>
      </c>
      <c r="J494" s="29" t="s">
        <v>48</v>
      </c>
      <c r="K494" s="29" t="s">
        <v>1948</v>
      </c>
      <c r="L494" t="s">
        <v>40</v>
      </c>
      <c r="M494" s="16" t="s">
        <v>1761</v>
      </c>
      <c r="N494" s="3" t="str">
        <f t="shared" si="10"/>
        <v>1  Year</v>
      </c>
      <c r="O494" t="s">
        <v>42</v>
      </c>
      <c r="P494" t="s">
        <v>1783</v>
      </c>
      <c r="Q494" s="37">
        <v>2026</v>
      </c>
      <c r="R494" s="29" t="s">
        <v>44</v>
      </c>
      <c r="S494" s="29" t="s">
        <v>1950</v>
      </c>
      <c r="T494" s="4" t="s">
        <v>1949</v>
      </c>
      <c r="Y494" t="s">
        <v>47</v>
      </c>
    </row>
    <row r="495" spans="1:29" ht="31.8">
      <c r="A495">
        <v>368</v>
      </c>
      <c r="B495" t="s">
        <v>1945</v>
      </c>
      <c r="C495" s="22" t="s">
        <v>1946</v>
      </c>
      <c r="D495" s="52" t="s">
        <v>1947</v>
      </c>
      <c r="E495" t="s">
        <v>33</v>
      </c>
      <c r="F495" s="68" t="s">
        <v>1951</v>
      </c>
      <c r="G495" s="48" t="s">
        <v>1938</v>
      </c>
      <c r="H495" s="5" t="s">
        <v>1939</v>
      </c>
      <c r="I495" s="117" t="s">
        <v>1940</v>
      </c>
      <c r="J495" s="29" t="s">
        <v>159</v>
      </c>
      <c r="K495" s="29" t="s">
        <v>1948</v>
      </c>
      <c r="L495" t="s">
        <v>40</v>
      </c>
      <c r="M495" s="16" t="s">
        <v>1761</v>
      </c>
      <c r="N495" s="3" t="str">
        <f t="shared" si="10"/>
        <v>1  Year</v>
      </c>
      <c r="O495" t="s">
        <v>42</v>
      </c>
      <c r="P495" t="s">
        <v>1783</v>
      </c>
      <c r="Q495">
        <v>2026</v>
      </c>
      <c r="R495" s="29" t="s">
        <v>44</v>
      </c>
      <c r="S495" s="29" t="s">
        <v>45</v>
      </c>
      <c r="T495" s="4" t="s">
        <v>1949</v>
      </c>
      <c r="Y495" t="s">
        <v>47</v>
      </c>
    </row>
    <row r="496" spans="1:29" ht="100.8">
      <c r="A496">
        <v>369</v>
      </c>
      <c r="B496" t="s">
        <v>1952</v>
      </c>
      <c r="C496" s="22" t="s">
        <v>1953</v>
      </c>
      <c r="D496" s="52" t="s">
        <v>1954</v>
      </c>
      <c r="E496" t="s">
        <v>52</v>
      </c>
      <c r="F496" s="68" t="s">
        <v>120</v>
      </c>
      <c r="G496" s="48" t="s">
        <v>1955</v>
      </c>
      <c r="H496" s="5" t="s">
        <v>122</v>
      </c>
      <c r="I496" s="120" t="s">
        <v>1956</v>
      </c>
      <c r="J496" s="29" t="s">
        <v>124</v>
      </c>
      <c r="K496" s="29" t="s">
        <v>1957</v>
      </c>
      <c r="L496" t="s">
        <v>802</v>
      </c>
      <c r="M496" s="16" t="s">
        <v>1761</v>
      </c>
      <c r="N496" s="3" t="str">
        <f t="shared" si="10"/>
        <v>15 Weeks</v>
      </c>
      <c r="O496" t="s">
        <v>42</v>
      </c>
      <c r="P496" t="s">
        <v>1783</v>
      </c>
      <c r="Q496">
        <v>2026</v>
      </c>
      <c r="R496" s="29" t="s">
        <v>44</v>
      </c>
      <c r="S496" s="29" t="s">
        <v>45</v>
      </c>
      <c r="T496" s="4" t="s">
        <v>1958</v>
      </c>
      <c r="Y496" t="s">
        <v>47</v>
      </c>
    </row>
    <row r="497" spans="1:25" ht="43.2">
      <c r="A497">
        <v>370</v>
      </c>
      <c r="B497" t="s">
        <v>1959</v>
      </c>
      <c r="C497" s="22" t="s">
        <v>985</v>
      </c>
      <c r="D497" s="52" t="s">
        <v>1960</v>
      </c>
      <c r="E497" t="s">
        <v>104</v>
      </c>
      <c r="F497" s="68" t="s">
        <v>208</v>
      </c>
      <c r="G497" s="48" t="s">
        <v>1808</v>
      </c>
      <c r="H497" s="5" t="s">
        <v>1737</v>
      </c>
      <c r="J497" s="29" t="s">
        <v>48</v>
      </c>
      <c r="K497" s="29" t="s">
        <v>1961</v>
      </c>
      <c r="L497" t="s">
        <v>90</v>
      </c>
      <c r="M497" s="16" t="s">
        <v>1761</v>
      </c>
      <c r="N497" s="3" t="str">
        <f t="shared" si="10"/>
        <v>2 Years</v>
      </c>
      <c r="P497" t="s">
        <v>1783</v>
      </c>
      <c r="Q497">
        <v>2026</v>
      </c>
      <c r="R497" s="29" t="s">
        <v>44</v>
      </c>
      <c r="S497" s="29" t="s">
        <v>45</v>
      </c>
      <c r="T497" s="4" t="s">
        <v>1810</v>
      </c>
      <c r="Y497" t="s">
        <v>47</v>
      </c>
    </row>
    <row r="498" spans="1:25" ht="28.8">
      <c r="A498">
        <v>371</v>
      </c>
      <c r="B498" t="s">
        <v>1962</v>
      </c>
      <c r="C498" s="22" t="s">
        <v>991</v>
      </c>
      <c r="D498" s="52" t="s">
        <v>1960</v>
      </c>
      <c r="E498" t="s">
        <v>104</v>
      </c>
      <c r="F498" s="68" t="s">
        <v>208</v>
      </c>
      <c r="G498" s="48" t="s">
        <v>1808</v>
      </c>
      <c r="H498" s="5" t="s">
        <v>1737</v>
      </c>
      <c r="J498" s="29" t="s">
        <v>48</v>
      </c>
      <c r="K498" s="29" t="s">
        <v>1963</v>
      </c>
      <c r="L498" t="s">
        <v>90</v>
      </c>
      <c r="M498" s="16" t="s">
        <v>1761</v>
      </c>
      <c r="N498" s="3" t="str">
        <f t="shared" si="10"/>
        <v>2 Years</v>
      </c>
      <c r="P498" t="s">
        <v>1783</v>
      </c>
      <c r="Q498">
        <v>2026</v>
      </c>
      <c r="R498" s="29" t="s">
        <v>44</v>
      </c>
      <c r="S498" s="29" t="s">
        <v>45</v>
      </c>
      <c r="T498" s="4" t="s">
        <v>1810</v>
      </c>
      <c r="Y498" t="s">
        <v>47</v>
      </c>
    </row>
    <row r="499" spans="1:25" ht="57.6">
      <c r="A499">
        <v>372</v>
      </c>
      <c r="B499" t="s">
        <v>1964</v>
      </c>
      <c r="C499" s="22" t="s">
        <v>1965</v>
      </c>
      <c r="D499" s="52" t="s">
        <v>1966</v>
      </c>
      <c r="E499" t="s">
        <v>52</v>
      </c>
      <c r="F499" s="68" t="s">
        <v>832</v>
      </c>
      <c r="G499" s="48" t="s">
        <v>1967</v>
      </c>
      <c r="H499" s="5" t="s">
        <v>1824</v>
      </c>
      <c r="I499" s="117" t="s">
        <v>1825</v>
      </c>
      <c r="J499" s="29" t="s">
        <v>38</v>
      </c>
      <c r="K499" s="29" t="s">
        <v>1968</v>
      </c>
      <c r="L499" t="s">
        <v>90</v>
      </c>
      <c r="M499" s="16" t="s">
        <v>1761</v>
      </c>
      <c r="N499" s="3" t="str">
        <f t="shared" si="10"/>
        <v>2 Years</v>
      </c>
      <c r="O499" t="s">
        <v>42</v>
      </c>
      <c r="P499" t="s">
        <v>1783</v>
      </c>
      <c r="Q499">
        <v>2026</v>
      </c>
      <c r="R499" s="29" t="s">
        <v>44</v>
      </c>
      <c r="S499" s="29" t="s">
        <v>45</v>
      </c>
      <c r="T499" s="4" t="s">
        <v>1969</v>
      </c>
      <c r="Y499" t="s">
        <v>47</v>
      </c>
    </row>
    <row r="500" spans="1:25" ht="28.8">
      <c r="A500">
        <v>373</v>
      </c>
      <c r="B500" t="s">
        <v>1970</v>
      </c>
      <c r="C500" s="22" t="s">
        <v>1971</v>
      </c>
      <c r="D500" s="52" t="s">
        <v>831</v>
      </c>
      <c r="E500" t="s">
        <v>104</v>
      </c>
      <c r="F500" s="68" t="s">
        <v>1972</v>
      </c>
      <c r="G500" s="48" t="s">
        <v>1973</v>
      </c>
      <c r="H500" s="5" t="s">
        <v>1974</v>
      </c>
      <c r="I500" s="120" t="s">
        <v>1975</v>
      </c>
      <c r="J500" s="29" t="s">
        <v>57</v>
      </c>
      <c r="K500" s="29" t="s">
        <v>1976</v>
      </c>
      <c r="L500" t="s">
        <v>40</v>
      </c>
      <c r="M500" s="16" t="s">
        <v>1761</v>
      </c>
      <c r="N500" s="3" t="str">
        <f t="shared" si="10"/>
        <v>1  Year</v>
      </c>
      <c r="O500" t="s">
        <v>1520</v>
      </c>
      <c r="P500" t="s">
        <v>1783</v>
      </c>
      <c r="Q500">
        <v>2026</v>
      </c>
      <c r="R500" s="29" t="s">
        <v>44</v>
      </c>
      <c r="S500" s="29" t="s">
        <v>45</v>
      </c>
      <c r="T500" s="4" t="s">
        <v>1977</v>
      </c>
      <c r="Y500" t="s">
        <v>47</v>
      </c>
    </row>
    <row r="501" spans="1:25" ht="28.8">
      <c r="A501">
        <v>374</v>
      </c>
      <c r="B501" t="s">
        <v>1970</v>
      </c>
      <c r="C501" s="22" t="s">
        <v>1971</v>
      </c>
      <c r="D501" s="52" t="s">
        <v>831</v>
      </c>
      <c r="E501" t="s">
        <v>104</v>
      </c>
      <c r="F501" s="68" t="s">
        <v>1972</v>
      </c>
      <c r="G501" s="48" t="s">
        <v>1973</v>
      </c>
      <c r="H501" s="5" t="s">
        <v>1974</v>
      </c>
      <c r="I501" s="120" t="s">
        <v>1975</v>
      </c>
      <c r="J501" s="29" t="s">
        <v>48</v>
      </c>
      <c r="K501" s="29" t="s">
        <v>1976</v>
      </c>
      <c r="L501" t="s">
        <v>40</v>
      </c>
      <c r="M501" s="16" t="s">
        <v>1761</v>
      </c>
      <c r="N501" s="3" t="str">
        <f t="shared" si="10"/>
        <v>1  Year</v>
      </c>
      <c r="O501" t="s">
        <v>1520</v>
      </c>
      <c r="P501" t="s">
        <v>1783</v>
      </c>
      <c r="Q501">
        <v>2026</v>
      </c>
      <c r="R501" s="29" t="s">
        <v>44</v>
      </c>
      <c r="S501" s="29" t="s">
        <v>45</v>
      </c>
      <c r="T501" s="4" t="s">
        <v>1977</v>
      </c>
      <c r="Y501" t="s">
        <v>47</v>
      </c>
    </row>
    <row r="502" spans="1:25" ht="28.8">
      <c r="A502">
        <v>375</v>
      </c>
      <c r="B502" t="s">
        <v>1970</v>
      </c>
      <c r="C502" s="22" t="s">
        <v>1971</v>
      </c>
      <c r="D502" s="52" t="s">
        <v>831</v>
      </c>
      <c r="E502" t="s">
        <v>104</v>
      </c>
      <c r="F502" s="68" t="s">
        <v>1972</v>
      </c>
      <c r="G502" s="48" t="s">
        <v>1973</v>
      </c>
      <c r="H502" s="5" t="s">
        <v>1974</v>
      </c>
      <c r="I502" s="120" t="s">
        <v>1975</v>
      </c>
      <c r="J502" s="29" t="s">
        <v>145</v>
      </c>
      <c r="K502" s="29" t="s">
        <v>1976</v>
      </c>
      <c r="L502" t="s">
        <v>40</v>
      </c>
      <c r="M502" s="16" t="s">
        <v>1761</v>
      </c>
      <c r="N502" s="3" t="s">
        <v>1978</v>
      </c>
      <c r="O502" t="s">
        <v>1520</v>
      </c>
      <c r="P502" t="s">
        <v>1783</v>
      </c>
      <c r="Q502">
        <v>2026</v>
      </c>
      <c r="R502" s="29" t="s">
        <v>44</v>
      </c>
      <c r="S502" s="29" t="s">
        <v>45</v>
      </c>
      <c r="T502" s="4" t="s">
        <v>1977</v>
      </c>
      <c r="Y502" t="s">
        <v>47</v>
      </c>
    </row>
    <row r="503" spans="1:25" ht="28.8">
      <c r="A503">
        <v>376</v>
      </c>
      <c r="B503" t="s">
        <v>1756</v>
      </c>
      <c r="C503" s="22" t="s">
        <v>1757</v>
      </c>
      <c r="D503" s="52" t="s">
        <v>1795</v>
      </c>
      <c r="E503" t="s">
        <v>52</v>
      </c>
      <c r="F503" s="68" t="s">
        <v>120</v>
      </c>
      <c r="G503" s="48" t="s">
        <v>1979</v>
      </c>
      <c r="H503" s="5" t="s">
        <v>122</v>
      </c>
      <c r="I503" s="120" t="s">
        <v>1956</v>
      </c>
      <c r="J503" s="29" t="s">
        <v>57</v>
      </c>
      <c r="K503" s="29" t="s">
        <v>1980</v>
      </c>
      <c r="L503" t="s">
        <v>40</v>
      </c>
      <c r="M503" s="16" t="s">
        <v>1761</v>
      </c>
      <c r="N503" s="3" t="s">
        <v>1978</v>
      </c>
      <c r="O503" t="s">
        <v>42</v>
      </c>
      <c r="P503" t="s">
        <v>1783</v>
      </c>
      <c r="Q503">
        <v>2026</v>
      </c>
      <c r="R503" s="29" t="s">
        <v>1981</v>
      </c>
      <c r="S503" s="29" t="s">
        <v>45</v>
      </c>
      <c r="T503" s="4" t="s">
        <v>1982</v>
      </c>
      <c r="Y503" t="s">
        <v>47</v>
      </c>
    </row>
    <row r="504" spans="1:25" ht="28.8">
      <c r="A504">
        <v>377</v>
      </c>
      <c r="B504" t="s">
        <v>1764</v>
      </c>
      <c r="C504" s="22" t="s">
        <v>1765</v>
      </c>
      <c r="D504" s="52" t="s">
        <v>1795</v>
      </c>
      <c r="E504" t="s">
        <v>52</v>
      </c>
      <c r="F504" s="68" t="s">
        <v>120</v>
      </c>
      <c r="G504" s="48" t="s">
        <v>1979</v>
      </c>
      <c r="H504" s="5" t="s">
        <v>122</v>
      </c>
      <c r="I504" s="120" t="s">
        <v>1956</v>
      </c>
      <c r="J504" s="29" t="s">
        <v>57</v>
      </c>
      <c r="K504" s="29" t="s">
        <v>1980</v>
      </c>
      <c r="L504" t="s">
        <v>40</v>
      </c>
      <c r="M504" s="16" t="s">
        <v>1761</v>
      </c>
      <c r="N504" s="3" t="s">
        <v>1978</v>
      </c>
      <c r="O504" t="s">
        <v>42</v>
      </c>
      <c r="P504" t="s">
        <v>1783</v>
      </c>
      <c r="Q504">
        <v>2026</v>
      </c>
      <c r="R504" s="29" t="s">
        <v>1981</v>
      </c>
      <c r="S504" s="29" t="s">
        <v>45</v>
      </c>
      <c r="T504" s="4" t="s">
        <v>1982</v>
      </c>
      <c r="Y504" t="s">
        <v>47</v>
      </c>
    </row>
    <row r="505" spans="1:25" ht="28.8">
      <c r="A505">
        <v>378</v>
      </c>
      <c r="B505" t="s">
        <v>1983</v>
      </c>
      <c r="C505" s="22" t="s">
        <v>1984</v>
      </c>
      <c r="D505" s="52" t="s">
        <v>1985</v>
      </c>
      <c r="E505" t="s">
        <v>104</v>
      </c>
      <c r="F505" s="68" t="s">
        <v>908</v>
      </c>
      <c r="G505" s="48" t="s">
        <v>1986</v>
      </c>
      <c r="H505" s="5" t="s">
        <v>1546</v>
      </c>
      <c r="I505" s="117" t="s">
        <v>1547</v>
      </c>
      <c r="J505" s="29" t="s">
        <v>88</v>
      </c>
      <c r="K505" s="29" t="s">
        <v>1987</v>
      </c>
      <c r="L505" t="s">
        <v>40</v>
      </c>
      <c r="M505" s="16" t="s">
        <v>1761</v>
      </c>
      <c r="N505" s="3" t="s">
        <v>1978</v>
      </c>
      <c r="O505" t="s">
        <v>1910</v>
      </c>
      <c r="P505" t="s">
        <v>1783</v>
      </c>
      <c r="Q505">
        <v>2026</v>
      </c>
      <c r="R505" s="29" t="s">
        <v>1981</v>
      </c>
      <c r="S505" s="29" t="s">
        <v>45</v>
      </c>
      <c r="Y505" t="s">
        <v>47</v>
      </c>
    </row>
    <row r="506" spans="1:25" ht="28.8">
      <c r="A506">
        <v>379</v>
      </c>
      <c r="B506" t="s">
        <v>1988</v>
      </c>
      <c r="C506" s="22" t="s">
        <v>1148</v>
      </c>
      <c r="D506" s="52" t="s">
        <v>1149</v>
      </c>
      <c r="E506" t="s">
        <v>104</v>
      </c>
      <c r="F506" s="68" t="s">
        <v>908</v>
      </c>
      <c r="G506" s="48" t="s">
        <v>1986</v>
      </c>
      <c r="H506" s="5" t="s">
        <v>1989</v>
      </c>
      <c r="I506" s="117" t="s">
        <v>1547</v>
      </c>
      <c r="J506" s="29" t="s">
        <v>88</v>
      </c>
      <c r="K506" s="29" t="s">
        <v>1987</v>
      </c>
      <c r="L506" t="s">
        <v>40</v>
      </c>
      <c r="M506" s="16" t="s">
        <v>1761</v>
      </c>
      <c r="N506" s="3" t="s">
        <v>1978</v>
      </c>
      <c r="O506" t="s">
        <v>1910</v>
      </c>
      <c r="P506" t="s">
        <v>1783</v>
      </c>
      <c r="Q506">
        <v>2026</v>
      </c>
      <c r="R506" s="29" t="s">
        <v>1981</v>
      </c>
      <c r="S506" s="29" t="s">
        <v>45</v>
      </c>
      <c r="Y506" t="s">
        <v>47</v>
      </c>
    </row>
    <row r="507" spans="1:25" ht="43.2">
      <c r="A507">
        <v>380</v>
      </c>
      <c r="B507" t="s">
        <v>1983</v>
      </c>
      <c r="C507" s="22" t="s">
        <v>1984</v>
      </c>
      <c r="D507" s="52" t="s">
        <v>1985</v>
      </c>
      <c r="E507" t="s">
        <v>104</v>
      </c>
      <c r="F507" s="68" t="s">
        <v>908</v>
      </c>
      <c r="G507" s="48" t="s">
        <v>1986</v>
      </c>
      <c r="H507" s="5" t="s">
        <v>1546</v>
      </c>
      <c r="I507" s="117" t="s">
        <v>1547</v>
      </c>
      <c r="J507" s="29" t="s">
        <v>92</v>
      </c>
      <c r="K507" s="29" t="s">
        <v>1990</v>
      </c>
      <c r="L507" t="s">
        <v>40</v>
      </c>
      <c r="M507" s="16" t="s">
        <v>1761</v>
      </c>
      <c r="N507" s="3" t="s">
        <v>1978</v>
      </c>
      <c r="O507" t="s">
        <v>1910</v>
      </c>
      <c r="P507" t="s">
        <v>1783</v>
      </c>
      <c r="Q507">
        <v>2026</v>
      </c>
      <c r="R507" s="29" t="s">
        <v>1981</v>
      </c>
      <c r="S507" s="29" t="s">
        <v>1991</v>
      </c>
      <c r="T507" s="4" t="s">
        <v>1992</v>
      </c>
      <c r="Y507" t="s">
        <v>47</v>
      </c>
    </row>
    <row r="508" spans="1:25" ht="43.2">
      <c r="A508">
        <v>381</v>
      </c>
      <c r="B508" t="s">
        <v>1983</v>
      </c>
      <c r="C508" s="22" t="s">
        <v>1984</v>
      </c>
      <c r="D508" s="52" t="s">
        <v>1985</v>
      </c>
      <c r="E508" t="s">
        <v>104</v>
      </c>
      <c r="F508" s="68" t="s">
        <v>908</v>
      </c>
      <c r="G508" s="48" t="s">
        <v>1986</v>
      </c>
      <c r="H508" s="5" t="s">
        <v>1546</v>
      </c>
      <c r="I508" s="117" t="s">
        <v>1547</v>
      </c>
      <c r="J508" s="29" t="s">
        <v>48</v>
      </c>
      <c r="K508" s="29" t="s">
        <v>1993</v>
      </c>
      <c r="L508" t="s">
        <v>40</v>
      </c>
      <c r="M508" s="16" t="s">
        <v>1761</v>
      </c>
      <c r="N508" s="3" t="s">
        <v>1978</v>
      </c>
      <c r="O508" t="s">
        <v>1910</v>
      </c>
      <c r="P508" t="s">
        <v>1783</v>
      </c>
      <c r="Q508">
        <v>2026</v>
      </c>
      <c r="R508" s="29" t="s">
        <v>1981</v>
      </c>
      <c r="S508" s="29" t="s">
        <v>1991</v>
      </c>
      <c r="T508" s="4" t="s">
        <v>1992</v>
      </c>
      <c r="Y508" t="s">
        <v>47</v>
      </c>
    </row>
    <row r="509" spans="1:25" ht="43.2">
      <c r="A509">
        <v>382</v>
      </c>
      <c r="B509" t="s">
        <v>1994</v>
      </c>
      <c r="C509" s="22" t="s">
        <v>1995</v>
      </c>
      <c r="D509" s="52" t="s">
        <v>1996</v>
      </c>
      <c r="E509" t="s">
        <v>104</v>
      </c>
      <c r="F509" s="68" t="s">
        <v>217</v>
      </c>
      <c r="G509" s="48" t="s">
        <v>1997</v>
      </c>
      <c r="H509" s="5" t="s">
        <v>219</v>
      </c>
      <c r="I509" s="117" t="s">
        <v>1729</v>
      </c>
      <c r="J509" s="29" t="s">
        <v>48</v>
      </c>
      <c r="K509" s="29" t="s">
        <v>1998</v>
      </c>
      <c r="L509" t="s">
        <v>40</v>
      </c>
      <c r="M509" s="16" t="s">
        <v>1761</v>
      </c>
      <c r="N509" s="3" t="s">
        <v>1978</v>
      </c>
      <c r="P509" t="s">
        <v>1783</v>
      </c>
      <c r="Q509">
        <v>2026</v>
      </c>
      <c r="R509" s="29" t="s">
        <v>44</v>
      </c>
      <c r="S509" s="29" t="s">
        <v>1991</v>
      </c>
      <c r="Y509" t="s">
        <v>47</v>
      </c>
    </row>
    <row r="510" spans="1:25" ht="43.2">
      <c r="A510">
        <v>383</v>
      </c>
      <c r="B510" t="s">
        <v>1994</v>
      </c>
      <c r="C510" s="22" t="s">
        <v>1995</v>
      </c>
      <c r="D510" s="52" t="s">
        <v>1996</v>
      </c>
      <c r="E510" t="s">
        <v>104</v>
      </c>
      <c r="F510" s="68" t="s">
        <v>217</v>
      </c>
      <c r="G510" s="48" t="s">
        <v>1997</v>
      </c>
      <c r="H510" s="5" t="s">
        <v>219</v>
      </c>
      <c r="I510" s="117" t="s">
        <v>1729</v>
      </c>
      <c r="J510" s="29" t="s">
        <v>88</v>
      </c>
      <c r="K510" s="29" t="s">
        <v>1998</v>
      </c>
      <c r="L510" t="s">
        <v>40</v>
      </c>
      <c r="M510" s="16" t="s">
        <v>1761</v>
      </c>
      <c r="N510" s="135" t="s">
        <v>1999</v>
      </c>
      <c r="P510" t="s">
        <v>1783</v>
      </c>
      <c r="Q510">
        <v>2026</v>
      </c>
      <c r="R510" s="29" t="s">
        <v>44</v>
      </c>
      <c r="S510" s="43" t="s">
        <v>1991</v>
      </c>
      <c r="Y510" t="s">
        <v>47</v>
      </c>
    </row>
    <row r="511" spans="1:25" ht="43.2">
      <c r="A511">
        <v>384</v>
      </c>
      <c r="B511" s="37" t="s">
        <v>2000</v>
      </c>
      <c r="C511" s="22" t="s">
        <v>1995</v>
      </c>
      <c r="D511" s="52" t="s">
        <v>1996</v>
      </c>
      <c r="E511" t="s">
        <v>104</v>
      </c>
      <c r="F511" s="68" t="s">
        <v>217</v>
      </c>
      <c r="G511" s="48" t="s">
        <v>1997</v>
      </c>
      <c r="H511" s="5" t="s">
        <v>219</v>
      </c>
      <c r="I511" s="117" t="s">
        <v>1729</v>
      </c>
      <c r="J511" s="29" t="s">
        <v>92</v>
      </c>
      <c r="K511" s="29" t="s">
        <v>1998</v>
      </c>
      <c r="L511" t="s">
        <v>40</v>
      </c>
      <c r="M511" s="16" t="s">
        <v>1761</v>
      </c>
      <c r="N511" s="3" t="s">
        <v>1978</v>
      </c>
      <c r="P511" t="s">
        <v>1783</v>
      </c>
      <c r="Q511">
        <v>2026</v>
      </c>
      <c r="R511" s="29" t="s">
        <v>44</v>
      </c>
      <c r="S511" s="29" t="s">
        <v>1991</v>
      </c>
      <c r="Y511" t="s">
        <v>47</v>
      </c>
    </row>
    <row r="512" spans="1:25" ht="43.2">
      <c r="A512">
        <v>385</v>
      </c>
      <c r="B512" t="s">
        <v>1994</v>
      </c>
      <c r="C512" s="22" t="s">
        <v>1995</v>
      </c>
      <c r="D512" s="52" t="s">
        <v>1996</v>
      </c>
      <c r="E512" t="s">
        <v>104</v>
      </c>
      <c r="F512" s="68" t="s">
        <v>217</v>
      </c>
      <c r="G512" s="48" t="s">
        <v>1997</v>
      </c>
      <c r="H512" s="5" t="s">
        <v>219</v>
      </c>
      <c r="I512" s="117" t="s">
        <v>1729</v>
      </c>
      <c r="J512" s="29" t="s">
        <v>145</v>
      </c>
      <c r="K512" s="29" t="s">
        <v>1998</v>
      </c>
      <c r="L512" t="s">
        <v>40</v>
      </c>
      <c r="M512" s="16" t="s">
        <v>1761</v>
      </c>
      <c r="N512" s="3" t="s">
        <v>1978</v>
      </c>
      <c r="P512" t="s">
        <v>1783</v>
      </c>
      <c r="Q512">
        <v>2026</v>
      </c>
      <c r="R512" s="29" t="s">
        <v>44</v>
      </c>
      <c r="S512" s="29" t="s">
        <v>1991</v>
      </c>
      <c r="Y512" t="s">
        <v>47</v>
      </c>
    </row>
    <row r="513" spans="1:25" ht="43.2">
      <c r="A513">
        <v>386</v>
      </c>
      <c r="B513" t="s">
        <v>2001</v>
      </c>
      <c r="C513" s="22" t="s">
        <v>2002</v>
      </c>
      <c r="D513" s="53">
        <v>180200900</v>
      </c>
      <c r="E513" t="s">
        <v>104</v>
      </c>
      <c r="F513" s="68" t="s">
        <v>217</v>
      </c>
      <c r="G513" s="48" t="s">
        <v>1997</v>
      </c>
      <c r="H513" s="5" t="s">
        <v>219</v>
      </c>
      <c r="I513" s="117" t="s">
        <v>1729</v>
      </c>
      <c r="J513" s="29" t="s">
        <v>48</v>
      </c>
      <c r="K513" s="29" t="s">
        <v>1998</v>
      </c>
      <c r="L513" t="s">
        <v>40</v>
      </c>
      <c r="M513" s="16" t="s">
        <v>1761</v>
      </c>
      <c r="N513" s="3" t="s">
        <v>1978</v>
      </c>
      <c r="P513" t="s">
        <v>1783</v>
      </c>
      <c r="Q513">
        <v>2026</v>
      </c>
      <c r="R513" s="29" t="s">
        <v>44</v>
      </c>
      <c r="S513" s="29" t="s">
        <v>1991</v>
      </c>
      <c r="Y513" t="s">
        <v>47</v>
      </c>
    </row>
    <row r="514" spans="1:25" ht="43.2">
      <c r="A514">
        <v>387</v>
      </c>
      <c r="B514" t="s">
        <v>2001</v>
      </c>
      <c r="C514" s="22" t="s">
        <v>2002</v>
      </c>
      <c r="D514" s="53">
        <v>180200900</v>
      </c>
      <c r="E514" t="s">
        <v>104</v>
      </c>
      <c r="F514" s="68" t="s">
        <v>217</v>
      </c>
      <c r="G514" s="48" t="s">
        <v>1997</v>
      </c>
      <c r="H514" s="5" t="s">
        <v>219</v>
      </c>
      <c r="I514" s="117" t="s">
        <v>1729</v>
      </c>
      <c r="J514" s="29" t="s">
        <v>88</v>
      </c>
      <c r="K514" s="29" t="s">
        <v>1998</v>
      </c>
      <c r="L514" t="s">
        <v>40</v>
      </c>
      <c r="M514" s="16" t="s">
        <v>1761</v>
      </c>
      <c r="N514" s="3" t="s">
        <v>1978</v>
      </c>
      <c r="P514" t="s">
        <v>1783</v>
      </c>
      <c r="Q514">
        <v>2026</v>
      </c>
      <c r="R514" s="29" t="s">
        <v>44</v>
      </c>
      <c r="S514" s="29" t="s">
        <v>1991</v>
      </c>
      <c r="Y514" t="s">
        <v>47</v>
      </c>
    </row>
    <row r="515" spans="1:25" ht="43.2">
      <c r="A515">
        <v>388</v>
      </c>
      <c r="B515" t="s">
        <v>2001</v>
      </c>
      <c r="C515" s="22" t="s">
        <v>2002</v>
      </c>
      <c r="D515" s="53">
        <v>180200900</v>
      </c>
      <c r="E515" t="s">
        <v>104</v>
      </c>
      <c r="F515" s="68" t="s">
        <v>217</v>
      </c>
      <c r="G515" s="48" t="s">
        <v>1997</v>
      </c>
      <c r="H515" s="5" t="s">
        <v>219</v>
      </c>
      <c r="I515" s="117" t="s">
        <v>1729</v>
      </c>
      <c r="J515" s="29" t="s">
        <v>92</v>
      </c>
      <c r="K515" s="29" t="s">
        <v>1998</v>
      </c>
      <c r="L515" t="s">
        <v>40</v>
      </c>
      <c r="M515" s="16" t="s">
        <v>1761</v>
      </c>
      <c r="N515" s="3" t="s">
        <v>1978</v>
      </c>
      <c r="P515" t="s">
        <v>1783</v>
      </c>
      <c r="Q515">
        <v>2026</v>
      </c>
      <c r="R515" s="29" t="s">
        <v>44</v>
      </c>
      <c r="S515" s="29" t="s">
        <v>1991</v>
      </c>
      <c r="Y515" t="s">
        <v>47</v>
      </c>
    </row>
    <row r="516" spans="1:25" ht="43.2">
      <c r="A516">
        <v>389</v>
      </c>
      <c r="B516" t="s">
        <v>2001</v>
      </c>
      <c r="C516" s="22" t="s">
        <v>2002</v>
      </c>
      <c r="D516" s="53">
        <v>180200900</v>
      </c>
      <c r="E516" t="s">
        <v>104</v>
      </c>
      <c r="F516" s="68" t="s">
        <v>217</v>
      </c>
      <c r="G516" s="48" t="s">
        <v>1997</v>
      </c>
      <c r="H516" s="5" t="s">
        <v>219</v>
      </c>
      <c r="I516" s="117" t="s">
        <v>1729</v>
      </c>
      <c r="J516" s="29" t="s">
        <v>145</v>
      </c>
      <c r="K516" s="29" t="s">
        <v>1998</v>
      </c>
      <c r="L516" t="s">
        <v>40</v>
      </c>
      <c r="M516" s="16" t="s">
        <v>1761</v>
      </c>
      <c r="N516" s="135" t="s">
        <v>1999</v>
      </c>
      <c r="P516" t="s">
        <v>1783</v>
      </c>
      <c r="Q516">
        <v>2026</v>
      </c>
      <c r="R516" s="29" t="s">
        <v>44</v>
      </c>
      <c r="S516" s="29" t="s">
        <v>1991</v>
      </c>
      <c r="Y516" t="s">
        <v>47</v>
      </c>
    </row>
    <row r="517" spans="1:25" ht="57.6">
      <c r="A517">
        <v>390</v>
      </c>
      <c r="B517" t="s">
        <v>2003</v>
      </c>
      <c r="C517" s="22" t="s">
        <v>2004</v>
      </c>
      <c r="D517" s="52" t="s">
        <v>2005</v>
      </c>
      <c r="E517" t="s">
        <v>104</v>
      </c>
      <c r="F517" s="68" t="s">
        <v>908</v>
      </c>
      <c r="G517" s="48" t="s">
        <v>1986</v>
      </c>
      <c r="H517" s="5" t="s">
        <v>2006</v>
      </c>
      <c r="I517" s="117" t="s">
        <v>1547</v>
      </c>
      <c r="J517" s="29" t="s">
        <v>48</v>
      </c>
      <c r="K517" s="29" t="s">
        <v>2007</v>
      </c>
      <c r="L517" t="s">
        <v>40</v>
      </c>
      <c r="M517" s="16" t="s">
        <v>1761</v>
      </c>
      <c r="N517" s="3" t="s">
        <v>1978</v>
      </c>
      <c r="O517" t="s">
        <v>1910</v>
      </c>
      <c r="P517" t="s">
        <v>1783</v>
      </c>
      <c r="Q517" s="37">
        <v>2026</v>
      </c>
      <c r="R517" s="29" t="s">
        <v>44</v>
      </c>
      <c r="S517" s="29" t="s">
        <v>2008</v>
      </c>
      <c r="T517" s="4" t="s">
        <v>2009</v>
      </c>
      <c r="Y517" t="s">
        <v>47</v>
      </c>
    </row>
    <row r="518" spans="1:25" ht="57.6">
      <c r="A518">
        <v>391</v>
      </c>
      <c r="B518" t="s">
        <v>2003</v>
      </c>
      <c r="C518" s="22" t="s">
        <v>685</v>
      </c>
      <c r="D518" s="52" t="s">
        <v>2005</v>
      </c>
      <c r="E518" t="s">
        <v>104</v>
      </c>
      <c r="F518" s="68" t="s">
        <v>908</v>
      </c>
      <c r="G518" s="48" t="s">
        <v>1986</v>
      </c>
      <c r="H518" s="5" t="s">
        <v>2006</v>
      </c>
      <c r="I518" s="117" t="s">
        <v>1547</v>
      </c>
      <c r="J518" s="29" t="s">
        <v>92</v>
      </c>
      <c r="K518" s="29" t="s">
        <v>2007</v>
      </c>
      <c r="L518" t="s">
        <v>40</v>
      </c>
      <c r="M518" s="16" t="s">
        <v>1761</v>
      </c>
      <c r="N518" s="3" t="s">
        <v>1978</v>
      </c>
      <c r="O518" t="s">
        <v>1910</v>
      </c>
      <c r="P518" s="37" t="s">
        <v>1783</v>
      </c>
      <c r="Q518" s="37">
        <v>2026</v>
      </c>
      <c r="R518" s="29" t="s">
        <v>44</v>
      </c>
      <c r="S518" s="29" t="s">
        <v>2008</v>
      </c>
      <c r="T518" s="4" t="s">
        <v>2009</v>
      </c>
      <c r="Y518" t="s">
        <v>47</v>
      </c>
    </row>
    <row r="519" spans="1:25" ht="28.8">
      <c r="A519">
        <v>392</v>
      </c>
      <c r="B519" t="s">
        <v>2010</v>
      </c>
      <c r="C519" s="22" t="s">
        <v>1904</v>
      </c>
      <c r="D519" s="52" t="s">
        <v>1905</v>
      </c>
      <c r="E519" t="s">
        <v>104</v>
      </c>
      <c r="F519" s="68" t="s">
        <v>226</v>
      </c>
      <c r="G519" s="48" t="s">
        <v>2011</v>
      </c>
      <c r="H519" s="5" t="s">
        <v>1907</v>
      </c>
      <c r="I519" s="117" t="s">
        <v>1908</v>
      </c>
      <c r="J519" s="29" t="s">
        <v>145</v>
      </c>
      <c r="K519" s="29" t="s">
        <v>2012</v>
      </c>
      <c r="L519" t="s">
        <v>40</v>
      </c>
      <c r="M519" s="16" t="s">
        <v>1761</v>
      </c>
      <c r="N519" s="3" t="s">
        <v>1978</v>
      </c>
      <c r="O519" t="s">
        <v>1910</v>
      </c>
      <c r="P519" s="37" t="s">
        <v>1783</v>
      </c>
      <c r="Q519" s="37">
        <v>2026</v>
      </c>
      <c r="R519" s="29" t="s">
        <v>44</v>
      </c>
      <c r="S519" s="29" t="s">
        <v>2013</v>
      </c>
      <c r="T519" s="4" t="s">
        <v>2014</v>
      </c>
      <c r="Y519" t="s">
        <v>47</v>
      </c>
    </row>
    <row r="520" spans="1:25" ht="28.8">
      <c r="A520">
        <v>393</v>
      </c>
      <c r="B520" t="s">
        <v>2010</v>
      </c>
      <c r="C520" s="22" t="s">
        <v>1904</v>
      </c>
      <c r="D520" s="37" t="s">
        <v>1905</v>
      </c>
      <c r="E520" t="s">
        <v>104</v>
      </c>
      <c r="F520" s="68" t="s">
        <v>226</v>
      </c>
      <c r="G520" s="48" t="s">
        <v>2011</v>
      </c>
      <c r="H520" s="5" t="s">
        <v>1907</v>
      </c>
      <c r="I520" s="117" t="s">
        <v>1908</v>
      </c>
      <c r="J520" s="29" t="s">
        <v>92</v>
      </c>
      <c r="K520" s="29" t="s">
        <v>2015</v>
      </c>
      <c r="L520" t="s">
        <v>40</v>
      </c>
      <c r="M520" s="16" t="s">
        <v>1761</v>
      </c>
      <c r="N520" s="3" t="s">
        <v>1978</v>
      </c>
      <c r="O520" t="s">
        <v>1910</v>
      </c>
      <c r="P520" s="37" t="s">
        <v>1783</v>
      </c>
      <c r="Q520" s="37">
        <v>2026</v>
      </c>
      <c r="R520" s="29" t="s">
        <v>44</v>
      </c>
      <c r="S520" s="29" t="s">
        <v>2016</v>
      </c>
      <c r="T520" s="4" t="s">
        <v>2014</v>
      </c>
      <c r="Y520" t="s">
        <v>47</v>
      </c>
    </row>
    <row r="521" spans="1:25" ht="28.8">
      <c r="A521">
        <v>394</v>
      </c>
      <c r="B521" t="s">
        <v>2017</v>
      </c>
      <c r="C521" s="22" t="s">
        <v>382</v>
      </c>
      <c r="D521" s="52" t="s">
        <v>2018</v>
      </c>
      <c r="E521" t="s">
        <v>104</v>
      </c>
      <c r="F521" s="68" t="s">
        <v>2019</v>
      </c>
      <c r="G521" s="48" t="s">
        <v>2020</v>
      </c>
      <c r="H521" s="5" t="s">
        <v>2021</v>
      </c>
      <c r="J521" s="29" t="s">
        <v>48</v>
      </c>
      <c r="K521" s="29" t="s">
        <v>2022</v>
      </c>
      <c r="L521" t="s">
        <v>802</v>
      </c>
      <c r="M521" s="16" t="s">
        <v>1761</v>
      </c>
      <c r="N521" s="3" t="s">
        <v>2023</v>
      </c>
      <c r="O521" t="s">
        <v>1910</v>
      </c>
      <c r="P521" s="37" t="s">
        <v>1783</v>
      </c>
      <c r="Q521" s="37">
        <v>2026</v>
      </c>
      <c r="R521" s="29" t="s">
        <v>44</v>
      </c>
      <c r="S521" s="29" t="s">
        <v>45</v>
      </c>
      <c r="T521" s="4" t="s">
        <v>2024</v>
      </c>
      <c r="Y521" t="s">
        <v>47</v>
      </c>
    </row>
    <row r="522" spans="1:25" ht="28.8">
      <c r="A522">
        <v>395</v>
      </c>
      <c r="B522" t="s">
        <v>2017</v>
      </c>
      <c r="C522" s="22" t="s">
        <v>382</v>
      </c>
      <c r="D522" s="52" t="s">
        <v>2018</v>
      </c>
      <c r="E522" t="s">
        <v>104</v>
      </c>
      <c r="F522" s="68" t="s">
        <v>2019</v>
      </c>
      <c r="G522" s="48" t="s">
        <v>2020</v>
      </c>
      <c r="H522" s="5" t="s">
        <v>2021</v>
      </c>
      <c r="J522" s="29" t="s">
        <v>145</v>
      </c>
      <c r="K522" s="29" t="s">
        <v>2022</v>
      </c>
      <c r="L522" t="s">
        <v>802</v>
      </c>
      <c r="M522" s="16" t="s">
        <v>1761</v>
      </c>
      <c r="N522" s="3" t="s">
        <v>2023</v>
      </c>
      <c r="O522" t="s">
        <v>1910</v>
      </c>
      <c r="P522" s="37" t="s">
        <v>1783</v>
      </c>
      <c r="Q522" s="37">
        <v>2026</v>
      </c>
      <c r="R522" s="29" t="s">
        <v>44</v>
      </c>
      <c r="S522" s="29" t="s">
        <v>45</v>
      </c>
      <c r="T522" s="4" t="s">
        <v>2024</v>
      </c>
      <c r="Y522" t="s">
        <v>47</v>
      </c>
    </row>
    <row r="523" spans="1:25" ht="21.6">
      <c r="A523">
        <v>396</v>
      </c>
      <c r="B523" t="s">
        <v>2025</v>
      </c>
      <c r="C523" s="22" t="s">
        <v>2026</v>
      </c>
      <c r="D523" s="52" t="s">
        <v>2027</v>
      </c>
      <c r="E523" t="s">
        <v>104</v>
      </c>
      <c r="F523" s="68" t="s">
        <v>2019</v>
      </c>
      <c r="G523" s="48" t="s">
        <v>2020</v>
      </c>
      <c r="H523" s="5" t="s">
        <v>2028</v>
      </c>
      <c r="J523" s="29" t="s">
        <v>48</v>
      </c>
      <c r="K523" s="29" t="s">
        <v>2022</v>
      </c>
      <c r="L523" t="s">
        <v>802</v>
      </c>
      <c r="M523" s="16" t="s">
        <v>1761</v>
      </c>
      <c r="N523" s="3" t="s">
        <v>2023</v>
      </c>
      <c r="O523" t="s">
        <v>1910</v>
      </c>
      <c r="P523" t="s">
        <v>1783</v>
      </c>
      <c r="Q523" s="37">
        <v>2026</v>
      </c>
      <c r="R523" s="29" t="s">
        <v>44</v>
      </c>
      <c r="S523" s="29" t="s">
        <v>45</v>
      </c>
      <c r="T523" s="4" t="s">
        <v>2024</v>
      </c>
      <c r="Y523" t="s">
        <v>47</v>
      </c>
    </row>
    <row r="524" spans="1:25" ht="21.6">
      <c r="A524">
        <v>397</v>
      </c>
      <c r="B524" t="s">
        <v>2025</v>
      </c>
      <c r="C524" s="22" t="s">
        <v>2026</v>
      </c>
      <c r="D524" s="52" t="s">
        <v>2027</v>
      </c>
      <c r="E524" t="s">
        <v>104</v>
      </c>
      <c r="F524" s="68" t="s">
        <v>2019</v>
      </c>
      <c r="G524" s="48" t="s">
        <v>2020</v>
      </c>
      <c r="H524" s="5" t="s">
        <v>2029</v>
      </c>
      <c r="J524" s="29" t="s">
        <v>145</v>
      </c>
      <c r="K524" s="29" t="s">
        <v>2022</v>
      </c>
      <c r="L524" t="s">
        <v>802</v>
      </c>
      <c r="M524" s="16" t="s">
        <v>1761</v>
      </c>
      <c r="N524" s="3" t="s">
        <v>2023</v>
      </c>
      <c r="O524" t="s">
        <v>1910</v>
      </c>
      <c r="P524" s="37" t="s">
        <v>1783</v>
      </c>
      <c r="Q524" s="37">
        <v>2026</v>
      </c>
      <c r="R524" s="29" t="s">
        <v>44</v>
      </c>
      <c r="S524" s="29" t="s">
        <v>45</v>
      </c>
      <c r="T524" s="4" t="s">
        <v>2024</v>
      </c>
      <c r="Y524" t="s">
        <v>47</v>
      </c>
    </row>
    <row r="525" spans="1:25" ht="21.6">
      <c r="A525">
        <v>398</v>
      </c>
      <c r="B525" t="s">
        <v>2030</v>
      </c>
      <c r="C525" s="22" t="s">
        <v>2031</v>
      </c>
      <c r="D525" s="52" t="s">
        <v>2032</v>
      </c>
      <c r="E525" t="s">
        <v>104</v>
      </c>
      <c r="F525" s="74" t="s">
        <v>2019</v>
      </c>
      <c r="G525" s="48" t="s">
        <v>2020</v>
      </c>
      <c r="H525" s="5" t="s">
        <v>2021</v>
      </c>
      <c r="J525" s="29" t="s">
        <v>48</v>
      </c>
      <c r="K525" s="29" t="s">
        <v>2022</v>
      </c>
      <c r="L525" t="s">
        <v>802</v>
      </c>
      <c r="M525" s="16" t="s">
        <v>1761</v>
      </c>
      <c r="N525" s="3" t="s">
        <v>2023</v>
      </c>
      <c r="O525" t="s">
        <v>1910</v>
      </c>
      <c r="P525" s="37" t="s">
        <v>1783</v>
      </c>
      <c r="Q525" s="37">
        <v>2026</v>
      </c>
      <c r="R525" s="29" t="s">
        <v>44</v>
      </c>
      <c r="S525" s="29" t="s">
        <v>45</v>
      </c>
      <c r="T525" s="4" t="s">
        <v>2024</v>
      </c>
      <c r="Y525" t="s">
        <v>47</v>
      </c>
    </row>
    <row r="526" spans="1:25" ht="21.6">
      <c r="A526">
        <v>399</v>
      </c>
      <c r="B526" t="s">
        <v>2033</v>
      </c>
      <c r="C526" s="22" t="s">
        <v>2031</v>
      </c>
      <c r="D526" s="52" t="s">
        <v>2032</v>
      </c>
      <c r="E526" t="s">
        <v>104</v>
      </c>
      <c r="F526" s="68" t="s">
        <v>2019</v>
      </c>
      <c r="G526" s="48" t="s">
        <v>2020</v>
      </c>
      <c r="H526" s="5" t="s">
        <v>2034</v>
      </c>
      <c r="J526" s="29" t="s">
        <v>145</v>
      </c>
      <c r="K526" s="29" t="s">
        <v>2022</v>
      </c>
      <c r="L526" t="s">
        <v>802</v>
      </c>
      <c r="M526" s="16" t="s">
        <v>1761</v>
      </c>
      <c r="N526" s="3" t="s">
        <v>2023</v>
      </c>
      <c r="O526" t="s">
        <v>1910</v>
      </c>
      <c r="P526" s="37" t="s">
        <v>1783</v>
      </c>
      <c r="Q526" s="37">
        <v>2026</v>
      </c>
      <c r="R526" s="29" t="s">
        <v>44</v>
      </c>
      <c r="S526" s="29" t="s">
        <v>45</v>
      </c>
      <c r="T526" s="4" t="s">
        <v>2024</v>
      </c>
      <c r="Y526" t="s">
        <v>47</v>
      </c>
    </row>
    <row r="527" spans="1:25" ht="21.6">
      <c r="A527">
        <v>400</v>
      </c>
      <c r="B527" t="s">
        <v>2035</v>
      </c>
      <c r="C527" s="22" t="s">
        <v>460</v>
      </c>
      <c r="D527" s="52" t="s">
        <v>2032</v>
      </c>
      <c r="E527" t="s">
        <v>104</v>
      </c>
      <c r="F527" s="68" t="s">
        <v>2019</v>
      </c>
      <c r="G527" s="48" t="s">
        <v>2020</v>
      </c>
      <c r="H527" s="5" t="s">
        <v>2021</v>
      </c>
      <c r="J527" s="29" t="s">
        <v>48</v>
      </c>
      <c r="K527" s="29" t="s">
        <v>2022</v>
      </c>
      <c r="L527" t="s">
        <v>802</v>
      </c>
      <c r="M527" s="16" t="s">
        <v>1761</v>
      </c>
      <c r="N527" s="3" t="s">
        <v>2023</v>
      </c>
      <c r="O527" t="s">
        <v>1910</v>
      </c>
      <c r="P527" s="37" t="s">
        <v>1783</v>
      </c>
      <c r="Q527" s="37">
        <v>2026</v>
      </c>
      <c r="R527" s="29" t="s">
        <v>44</v>
      </c>
      <c r="S527" s="29" t="s">
        <v>45</v>
      </c>
      <c r="T527" s="4" t="s">
        <v>2024</v>
      </c>
      <c r="Y527" t="s">
        <v>47</v>
      </c>
    </row>
    <row r="528" spans="1:25" ht="21.6">
      <c r="A528">
        <v>401</v>
      </c>
      <c r="B528" t="s">
        <v>2036</v>
      </c>
      <c r="C528" s="22" t="s">
        <v>460</v>
      </c>
      <c r="D528" s="52" t="s">
        <v>2032</v>
      </c>
      <c r="E528" t="s">
        <v>104</v>
      </c>
      <c r="F528" s="68" t="s">
        <v>2019</v>
      </c>
      <c r="G528" s="48" t="s">
        <v>2020</v>
      </c>
      <c r="H528" s="5" t="s">
        <v>2021</v>
      </c>
      <c r="J528" s="29" t="s">
        <v>145</v>
      </c>
      <c r="K528" s="29" t="s">
        <v>2022</v>
      </c>
      <c r="L528" t="s">
        <v>802</v>
      </c>
      <c r="M528" s="16" t="s">
        <v>1761</v>
      </c>
      <c r="N528" s="3" t="s">
        <v>2023</v>
      </c>
      <c r="O528" t="s">
        <v>1910</v>
      </c>
      <c r="P528" s="37" t="s">
        <v>1783</v>
      </c>
      <c r="Q528">
        <v>2026</v>
      </c>
      <c r="R528" s="29" t="s">
        <v>44</v>
      </c>
      <c r="S528" s="29" t="s">
        <v>45</v>
      </c>
      <c r="T528" s="4" t="s">
        <v>2024</v>
      </c>
      <c r="Y528" t="s">
        <v>47</v>
      </c>
    </row>
    <row r="529" spans="1:25" ht="28.8">
      <c r="A529">
        <v>402</v>
      </c>
      <c r="B529" t="s">
        <v>2037</v>
      </c>
      <c r="C529" s="22" t="s">
        <v>2038</v>
      </c>
      <c r="D529" s="52" t="s">
        <v>2039</v>
      </c>
      <c r="E529" t="s">
        <v>104</v>
      </c>
      <c r="F529" s="68" t="s">
        <v>2019</v>
      </c>
      <c r="G529" s="48" t="s">
        <v>2020</v>
      </c>
      <c r="H529" s="5" t="s">
        <v>2021</v>
      </c>
      <c r="J529" s="29" t="s">
        <v>48</v>
      </c>
      <c r="K529" s="29" t="s">
        <v>2022</v>
      </c>
      <c r="L529" t="s">
        <v>802</v>
      </c>
      <c r="M529" s="16" t="s">
        <v>1761</v>
      </c>
      <c r="N529" s="3" t="s">
        <v>2023</v>
      </c>
      <c r="O529" t="s">
        <v>1910</v>
      </c>
      <c r="P529" t="s">
        <v>1783</v>
      </c>
      <c r="Q529">
        <v>2026</v>
      </c>
      <c r="R529" s="29" t="s">
        <v>44</v>
      </c>
      <c r="S529" s="29" t="s">
        <v>45</v>
      </c>
      <c r="T529" s="4" t="s">
        <v>2024</v>
      </c>
      <c r="Y529" t="s">
        <v>47</v>
      </c>
    </row>
    <row r="530" spans="1:25" ht="28.8">
      <c r="A530">
        <v>403</v>
      </c>
      <c r="B530" t="s">
        <v>2040</v>
      </c>
      <c r="C530" s="22" t="s">
        <v>2038</v>
      </c>
      <c r="D530" s="52" t="s">
        <v>2039</v>
      </c>
      <c r="E530" t="s">
        <v>104</v>
      </c>
      <c r="F530" s="68" t="s">
        <v>2019</v>
      </c>
      <c r="G530" s="48" t="s">
        <v>2020</v>
      </c>
      <c r="H530" s="5" t="s">
        <v>2021</v>
      </c>
      <c r="J530" s="29" t="s">
        <v>145</v>
      </c>
      <c r="K530" s="29" t="s">
        <v>2022</v>
      </c>
      <c r="L530" t="s">
        <v>802</v>
      </c>
      <c r="M530" s="16" t="s">
        <v>1761</v>
      </c>
      <c r="N530" s="3" t="s">
        <v>2023</v>
      </c>
      <c r="O530" t="s">
        <v>1910</v>
      </c>
      <c r="P530" t="s">
        <v>1783</v>
      </c>
      <c r="Q530">
        <v>2026</v>
      </c>
      <c r="R530" s="29" t="s">
        <v>44</v>
      </c>
      <c r="S530" s="29" t="s">
        <v>45</v>
      </c>
      <c r="T530" s="4" t="s">
        <v>2024</v>
      </c>
      <c r="Y530" t="s">
        <v>47</v>
      </c>
    </row>
    <row r="531" spans="1:25" ht="28.8">
      <c r="A531">
        <v>404</v>
      </c>
      <c r="B531" t="s">
        <v>2041</v>
      </c>
      <c r="C531" s="22" t="s">
        <v>410</v>
      </c>
      <c r="D531" s="52" t="s">
        <v>2018</v>
      </c>
      <c r="E531" t="s">
        <v>104</v>
      </c>
      <c r="F531" s="68" t="s">
        <v>2019</v>
      </c>
      <c r="G531" s="48" t="s">
        <v>2020</v>
      </c>
      <c r="H531" s="5" t="s">
        <v>2029</v>
      </c>
      <c r="J531" s="29" t="s">
        <v>48</v>
      </c>
      <c r="K531" s="29" t="s">
        <v>2022</v>
      </c>
      <c r="L531" t="s">
        <v>802</v>
      </c>
      <c r="M531" s="16" t="s">
        <v>1761</v>
      </c>
      <c r="N531" s="3" t="s">
        <v>2023</v>
      </c>
      <c r="O531" t="s">
        <v>1910</v>
      </c>
      <c r="P531" t="s">
        <v>1783</v>
      </c>
      <c r="Q531">
        <v>2026</v>
      </c>
      <c r="R531" s="29" t="s">
        <v>44</v>
      </c>
      <c r="S531" s="29" t="s">
        <v>45</v>
      </c>
      <c r="T531" s="4" t="s">
        <v>2024</v>
      </c>
      <c r="Y531" t="s">
        <v>47</v>
      </c>
    </row>
    <row r="532" spans="1:25" ht="28.2">
      <c r="A532">
        <v>405</v>
      </c>
      <c r="B532" t="s">
        <v>2041</v>
      </c>
      <c r="C532" s="22" t="s">
        <v>410</v>
      </c>
      <c r="D532" s="33" t="s">
        <v>2018</v>
      </c>
      <c r="E532" t="s">
        <v>104</v>
      </c>
      <c r="F532" s="68" t="s">
        <v>2019</v>
      </c>
      <c r="G532" s="48" t="s">
        <v>2020</v>
      </c>
      <c r="H532" s="5" t="s">
        <v>2029</v>
      </c>
      <c r="J532" s="29" t="s">
        <v>145</v>
      </c>
      <c r="K532" s="29" t="s">
        <v>2022</v>
      </c>
      <c r="L532" t="s">
        <v>802</v>
      </c>
      <c r="M532" s="16" t="s">
        <v>1761</v>
      </c>
      <c r="N532" s="3" t="s">
        <v>2023</v>
      </c>
      <c r="O532" t="s">
        <v>1910</v>
      </c>
      <c r="P532" t="s">
        <v>1783</v>
      </c>
      <c r="Q532">
        <v>2026</v>
      </c>
      <c r="R532" s="29" t="s">
        <v>44</v>
      </c>
      <c r="S532" s="29" t="s">
        <v>45</v>
      </c>
      <c r="T532" s="4" t="s">
        <v>2024</v>
      </c>
      <c r="Y532" t="s">
        <v>47</v>
      </c>
    </row>
    <row r="533" spans="1:25" ht="28.8">
      <c r="A533">
        <v>406</v>
      </c>
      <c r="B533" t="s">
        <v>2042</v>
      </c>
      <c r="C533" s="78" t="s">
        <v>2026</v>
      </c>
      <c r="D533" s="52" t="s">
        <v>2027</v>
      </c>
      <c r="E533" t="s">
        <v>104</v>
      </c>
      <c r="F533" s="68" t="s">
        <v>2019</v>
      </c>
      <c r="G533" s="48" t="s">
        <v>2020</v>
      </c>
      <c r="H533" s="5" t="s">
        <v>2043</v>
      </c>
      <c r="J533" s="29" t="s">
        <v>88</v>
      </c>
      <c r="K533" s="29" t="s">
        <v>2022</v>
      </c>
      <c r="L533" t="s">
        <v>802</v>
      </c>
      <c r="M533" s="16" t="s">
        <v>1761</v>
      </c>
      <c r="N533" s="3" t="s">
        <v>2023</v>
      </c>
      <c r="O533" t="s">
        <v>1910</v>
      </c>
      <c r="P533" t="s">
        <v>1783</v>
      </c>
      <c r="Q533">
        <v>2026</v>
      </c>
      <c r="R533" s="29" t="s">
        <v>44</v>
      </c>
      <c r="S533" s="29" t="s">
        <v>45</v>
      </c>
      <c r="T533" s="4" t="s">
        <v>2044</v>
      </c>
      <c r="Y533" t="s">
        <v>47</v>
      </c>
    </row>
    <row r="534" spans="1:25" ht="28.8">
      <c r="A534">
        <v>407</v>
      </c>
      <c r="B534" t="s">
        <v>2017</v>
      </c>
      <c r="C534" s="22" t="s">
        <v>382</v>
      </c>
      <c r="D534" s="52" t="s">
        <v>2018</v>
      </c>
      <c r="E534" t="s">
        <v>104</v>
      </c>
      <c r="F534" s="68" t="s">
        <v>2019</v>
      </c>
      <c r="G534" s="48" t="s">
        <v>2020</v>
      </c>
      <c r="H534" s="5" t="s">
        <v>2021</v>
      </c>
      <c r="J534" s="29" t="s">
        <v>88</v>
      </c>
      <c r="K534" s="29" t="s">
        <v>2022</v>
      </c>
      <c r="L534" t="s">
        <v>802</v>
      </c>
      <c r="M534" s="16" t="s">
        <v>1761</v>
      </c>
      <c r="N534" s="3" t="s">
        <v>2023</v>
      </c>
      <c r="O534" t="s">
        <v>1910</v>
      </c>
      <c r="P534" t="s">
        <v>1783</v>
      </c>
      <c r="Q534">
        <v>2026</v>
      </c>
      <c r="R534" s="29" t="s">
        <v>44</v>
      </c>
      <c r="S534" s="29" t="s">
        <v>45</v>
      </c>
      <c r="T534" s="4" t="s">
        <v>2044</v>
      </c>
      <c r="Y534" t="s">
        <v>47</v>
      </c>
    </row>
    <row r="535" spans="1:25" ht="28.8">
      <c r="A535">
        <v>408</v>
      </c>
      <c r="B535" t="s">
        <v>2045</v>
      </c>
      <c r="C535" s="22" t="s">
        <v>2046</v>
      </c>
      <c r="D535" s="52" t="s">
        <v>2032</v>
      </c>
      <c r="E535" t="s">
        <v>104</v>
      </c>
      <c r="F535" s="68" t="s">
        <v>2019</v>
      </c>
      <c r="G535" s="48" t="s">
        <v>2020</v>
      </c>
      <c r="H535" s="5" t="s">
        <v>2021</v>
      </c>
      <c r="J535" s="29" t="s">
        <v>88</v>
      </c>
      <c r="K535" s="29" t="s">
        <v>2022</v>
      </c>
      <c r="L535" t="s">
        <v>802</v>
      </c>
      <c r="M535" s="16" t="s">
        <v>1761</v>
      </c>
      <c r="N535" s="3" t="s">
        <v>2023</v>
      </c>
      <c r="O535" t="s">
        <v>1910</v>
      </c>
      <c r="P535" t="s">
        <v>1783</v>
      </c>
      <c r="Q535">
        <v>2026</v>
      </c>
      <c r="R535" s="29" t="s">
        <v>44</v>
      </c>
      <c r="S535" s="29" t="s">
        <v>45</v>
      </c>
      <c r="T535" s="4" t="s">
        <v>2044</v>
      </c>
      <c r="Y535" t="s">
        <v>47</v>
      </c>
    </row>
    <row r="536" spans="1:25" ht="28.8">
      <c r="A536">
        <v>409</v>
      </c>
      <c r="B536" t="s">
        <v>2036</v>
      </c>
      <c r="C536" s="22" t="s">
        <v>460</v>
      </c>
      <c r="D536" s="52" t="s">
        <v>2032</v>
      </c>
      <c r="E536" t="s">
        <v>104</v>
      </c>
      <c r="F536" s="68" t="s">
        <v>2019</v>
      </c>
      <c r="G536" s="48" t="s">
        <v>2020</v>
      </c>
      <c r="H536" s="5" t="s">
        <v>2021</v>
      </c>
      <c r="J536" s="29" t="s">
        <v>88</v>
      </c>
      <c r="K536" s="60" t="s">
        <v>2022</v>
      </c>
      <c r="L536" t="s">
        <v>802</v>
      </c>
      <c r="M536" s="16" t="s">
        <v>1761</v>
      </c>
      <c r="N536" s="3" t="s">
        <v>2023</v>
      </c>
      <c r="O536" t="s">
        <v>1910</v>
      </c>
      <c r="P536" t="s">
        <v>1783</v>
      </c>
      <c r="Q536">
        <v>2026</v>
      </c>
      <c r="R536" s="29" t="s">
        <v>44</v>
      </c>
      <c r="S536" s="29" t="s">
        <v>45</v>
      </c>
      <c r="T536" s="4" t="s">
        <v>2044</v>
      </c>
      <c r="Y536" t="s">
        <v>47</v>
      </c>
    </row>
    <row r="537" spans="1:25" ht="28.8">
      <c r="A537">
        <v>410</v>
      </c>
      <c r="B537" t="s">
        <v>2047</v>
      </c>
      <c r="C537" s="22" t="s">
        <v>410</v>
      </c>
      <c r="D537" s="52" t="s">
        <v>2018</v>
      </c>
      <c r="E537" t="s">
        <v>104</v>
      </c>
      <c r="F537" s="68" t="s">
        <v>2019</v>
      </c>
      <c r="G537" s="48" t="s">
        <v>2020</v>
      </c>
      <c r="H537" s="5" t="s">
        <v>2021</v>
      </c>
      <c r="J537" s="29" t="s">
        <v>88</v>
      </c>
      <c r="K537" s="60" t="s">
        <v>2022</v>
      </c>
      <c r="L537" t="s">
        <v>802</v>
      </c>
      <c r="M537" s="16" t="s">
        <v>1761</v>
      </c>
      <c r="N537" s="3" t="s">
        <v>2023</v>
      </c>
      <c r="O537" t="s">
        <v>1910</v>
      </c>
      <c r="P537" t="s">
        <v>1783</v>
      </c>
      <c r="Q537">
        <v>2026</v>
      </c>
      <c r="R537" s="29" t="s">
        <v>44</v>
      </c>
      <c r="S537" s="29" t="s">
        <v>45</v>
      </c>
      <c r="T537" s="4" t="s">
        <v>2044</v>
      </c>
      <c r="Y537" t="s">
        <v>47</v>
      </c>
    </row>
    <row r="538" spans="1:25" ht="28.8">
      <c r="A538" s="37">
        <v>411</v>
      </c>
      <c r="B538" t="s">
        <v>2048</v>
      </c>
      <c r="C538" s="22" t="s">
        <v>2038</v>
      </c>
      <c r="D538" s="52" t="s">
        <v>2039</v>
      </c>
      <c r="E538" t="s">
        <v>104</v>
      </c>
      <c r="F538" s="68" t="s">
        <v>2019</v>
      </c>
      <c r="G538" s="48" t="s">
        <v>2020</v>
      </c>
      <c r="H538" s="5" t="s">
        <v>2043</v>
      </c>
      <c r="J538" s="29" t="s">
        <v>88</v>
      </c>
      <c r="K538" s="29" t="s">
        <v>2022</v>
      </c>
      <c r="L538" t="s">
        <v>802</v>
      </c>
      <c r="M538" s="16" t="s">
        <v>1761</v>
      </c>
      <c r="N538" s="3" t="s">
        <v>2023</v>
      </c>
      <c r="O538" t="s">
        <v>1910</v>
      </c>
      <c r="P538" t="s">
        <v>1783</v>
      </c>
      <c r="Q538">
        <v>2026</v>
      </c>
      <c r="R538" s="29" t="s">
        <v>44</v>
      </c>
      <c r="S538" s="29" t="s">
        <v>45</v>
      </c>
      <c r="T538" s="4" t="s">
        <v>2044</v>
      </c>
      <c r="Y538" t="s">
        <v>47</v>
      </c>
    </row>
    <row r="539" spans="1:25" ht="28.8">
      <c r="A539">
        <v>412</v>
      </c>
      <c r="B539" t="s">
        <v>2049</v>
      </c>
      <c r="C539" s="22" t="s">
        <v>2050</v>
      </c>
      <c r="D539" s="52" t="s">
        <v>2051</v>
      </c>
      <c r="E539" t="s">
        <v>104</v>
      </c>
      <c r="F539" s="68" t="s">
        <v>1199</v>
      </c>
      <c r="G539" s="48" t="s">
        <v>2052</v>
      </c>
      <c r="H539" s="5" t="s">
        <v>2053</v>
      </c>
      <c r="J539" s="29" t="s">
        <v>48</v>
      </c>
      <c r="K539" s="29" t="s">
        <v>2054</v>
      </c>
      <c r="L539" t="s">
        <v>40</v>
      </c>
      <c r="M539" s="16" t="s">
        <v>1761</v>
      </c>
      <c r="N539" s="3" t="s">
        <v>1978</v>
      </c>
      <c r="O539" t="s">
        <v>1910</v>
      </c>
      <c r="P539" t="s">
        <v>1783</v>
      </c>
      <c r="Q539">
        <v>2026</v>
      </c>
      <c r="S539" s="29" t="s">
        <v>45</v>
      </c>
      <c r="T539" s="4" t="s">
        <v>2055</v>
      </c>
      <c r="Y539" t="s">
        <v>47</v>
      </c>
    </row>
    <row r="540" spans="1:25" ht="57.6">
      <c r="A540">
        <v>413</v>
      </c>
      <c r="B540" t="s">
        <v>2056</v>
      </c>
      <c r="C540" s="22" t="s">
        <v>2057</v>
      </c>
      <c r="D540" s="52" t="s">
        <v>2058</v>
      </c>
      <c r="E540" t="s">
        <v>104</v>
      </c>
      <c r="F540" s="68" t="s">
        <v>1199</v>
      </c>
      <c r="G540" s="48" t="s">
        <v>2052</v>
      </c>
      <c r="H540" s="5" t="s">
        <v>2053</v>
      </c>
      <c r="J540" s="29" t="s">
        <v>48</v>
      </c>
      <c r="K540" s="29" t="s">
        <v>2054</v>
      </c>
      <c r="L540" t="s">
        <v>40</v>
      </c>
      <c r="M540" s="16" t="s">
        <v>1761</v>
      </c>
      <c r="N540" s="3" t="s">
        <v>1978</v>
      </c>
      <c r="O540" t="s">
        <v>1910</v>
      </c>
      <c r="P540" t="s">
        <v>1783</v>
      </c>
      <c r="Q540">
        <v>2026</v>
      </c>
      <c r="S540" s="29" t="s">
        <v>45</v>
      </c>
      <c r="T540" s="4" t="s">
        <v>2055</v>
      </c>
      <c r="Y540" t="s">
        <v>47</v>
      </c>
    </row>
    <row r="541" spans="1:25" ht="28.8">
      <c r="A541">
        <v>414</v>
      </c>
      <c r="B541" t="s">
        <v>2059</v>
      </c>
      <c r="C541" s="22" t="s">
        <v>2060</v>
      </c>
      <c r="D541" s="52" t="s">
        <v>2061</v>
      </c>
      <c r="E541" t="s">
        <v>104</v>
      </c>
      <c r="F541" s="68" t="s">
        <v>1199</v>
      </c>
      <c r="G541" s="48" t="s">
        <v>2052</v>
      </c>
      <c r="H541" s="5" t="s">
        <v>2053</v>
      </c>
      <c r="J541" s="29" t="s">
        <v>48</v>
      </c>
      <c r="K541" s="29" t="s">
        <v>2054</v>
      </c>
      <c r="L541" t="s">
        <v>40</v>
      </c>
      <c r="M541" s="16" t="s">
        <v>1761</v>
      </c>
      <c r="N541" s="3" t="s">
        <v>1978</v>
      </c>
      <c r="O541" t="s">
        <v>1910</v>
      </c>
      <c r="P541" t="s">
        <v>1783</v>
      </c>
      <c r="Q541">
        <v>2026</v>
      </c>
      <c r="S541" s="29" t="s">
        <v>45</v>
      </c>
      <c r="T541" s="4" t="s">
        <v>2055</v>
      </c>
      <c r="Y541" t="s">
        <v>47</v>
      </c>
    </row>
    <row r="542" spans="1:25" ht="28.8">
      <c r="A542">
        <v>415</v>
      </c>
      <c r="B542" t="s">
        <v>2062</v>
      </c>
      <c r="C542" s="22" t="s">
        <v>2063</v>
      </c>
      <c r="D542" s="52" t="s">
        <v>169</v>
      </c>
      <c r="E542" t="s">
        <v>33</v>
      </c>
      <c r="F542" s="68" t="s">
        <v>170</v>
      </c>
      <c r="G542" s="48" t="s">
        <v>2064</v>
      </c>
      <c r="H542" s="5" t="s">
        <v>2065</v>
      </c>
      <c r="I542" s="120" t="s">
        <v>2066</v>
      </c>
      <c r="J542" s="29" t="s">
        <v>57</v>
      </c>
      <c r="K542" s="29" t="s">
        <v>2067</v>
      </c>
      <c r="L542" t="s">
        <v>90</v>
      </c>
      <c r="M542" s="16" t="s">
        <v>1761</v>
      </c>
      <c r="N542" s="3" t="s">
        <v>2068</v>
      </c>
      <c r="O542" t="s">
        <v>42</v>
      </c>
      <c r="P542" t="s">
        <v>1783</v>
      </c>
      <c r="Q542">
        <v>2026</v>
      </c>
      <c r="S542" s="29" t="s">
        <v>45</v>
      </c>
      <c r="T542" s="4" t="s">
        <v>2069</v>
      </c>
      <c r="Y542" t="s">
        <v>47</v>
      </c>
    </row>
    <row r="543" spans="1:25" ht="28.8">
      <c r="A543">
        <v>416</v>
      </c>
      <c r="B543" t="s">
        <v>2062</v>
      </c>
      <c r="C543" s="22" t="s">
        <v>2063</v>
      </c>
      <c r="D543" s="52" t="s">
        <v>169</v>
      </c>
      <c r="E543" t="s">
        <v>33</v>
      </c>
      <c r="F543" s="68" t="s">
        <v>170</v>
      </c>
      <c r="G543" s="48" t="s">
        <v>2064</v>
      </c>
      <c r="H543" s="5" t="s">
        <v>2065</v>
      </c>
      <c r="I543" s="120" t="s">
        <v>2066</v>
      </c>
      <c r="J543" s="29" t="s">
        <v>48</v>
      </c>
      <c r="K543" s="29" t="s">
        <v>2067</v>
      </c>
      <c r="L543" t="s">
        <v>90</v>
      </c>
      <c r="M543" s="16" t="s">
        <v>1761</v>
      </c>
      <c r="N543" s="3" t="s">
        <v>2068</v>
      </c>
      <c r="O543" t="s">
        <v>42</v>
      </c>
      <c r="P543" t="s">
        <v>1783</v>
      </c>
      <c r="Q543">
        <v>2026</v>
      </c>
      <c r="S543" s="29" t="s">
        <v>45</v>
      </c>
      <c r="T543" s="4" t="s">
        <v>2069</v>
      </c>
      <c r="Y543" t="s">
        <v>47</v>
      </c>
    </row>
    <row r="544" spans="1:25" ht="28.8">
      <c r="A544">
        <v>417</v>
      </c>
      <c r="B544" t="s">
        <v>2062</v>
      </c>
      <c r="C544" s="22" t="s">
        <v>2063</v>
      </c>
      <c r="D544" s="61" t="s">
        <v>169</v>
      </c>
      <c r="E544" t="s">
        <v>33</v>
      </c>
      <c r="F544" s="68" t="s">
        <v>170</v>
      </c>
      <c r="G544" s="48" t="s">
        <v>2064</v>
      </c>
      <c r="H544" s="5" t="s">
        <v>2065</v>
      </c>
      <c r="I544" s="120" t="s">
        <v>2066</v>
      </c>
      <c r="J544" s="29" t="s">
        <v>38</v>
      </c>
      <c r="K544" s="29" t="s">
        <v>2067</v>
      </c>
      <c r="L544" t="s">
        <v>90</v>
      </c>
      <c r="M544" s="16" t="s">
        <v>1761</v>
      </c>
      <c r="N544" s="3" t="s">
        <v>2068</v>
      </c>
      <c r="O544" t="s">
        <v>42</v>
      </c>
      <c r="P544" t="s">
        <v>1783</v>
      </c>
      <c r="Q544">
        <v>2026</v>
      </c>
      <c r="S544" s="29" t="s">
        <v>45</v>
      </c>
      <c r="T544" s="4" t="s">
        <v>2069</v>
      </c>
      <c r="Y544" t="s">
        <v>47</v>
      </c>
    </row>
    <row r="545" spans="1:29" ht="43.2">
      <c r="A545">
        <v>418</v>
      </c>
      <c r="B545" t="s">
        <v>2070</v>
      </c>
      <c r="C545" s="22" t="s">
        <v>2071</v>
      </c>
      <c r="D545" s="61" t="s">
        <v>2072</v>
      </c>
      <c r="E545" t="s">
        <v>33</v>
      </c>
      <c r="F545" s="68" t="s">
        <v>170</v>
      </c>
      <c r="G545" s="48" t="s">
        <v>2064</v>
      </c>
      <c r="H545" s="5" t="s">
        <v>2065</v>
      </c>
      <c r="I545" s="120" t="s">
        <v>2066</v>
      </c>
      <c r="J545" s="29" t="s">
        <v>38</v>
      </c>
      <c r="K545" s="29" t="s">
        <v>2073</v>
      </c>
      <c r="L545" t="s">
        <v>90</v>
      </c>
      <c r="M545" s="16" t="s">
        <v>1761</v>
      </c>
      <c r="N545" s="3" t="s">
        <v>2068</v>
      </c>
      <c r="O545" t="s">
        <v>42</v>
      </c>
      <c r="P545" t="s">
        <v>1783</v>
      </c>
      <c r="Q545">
        <v>2026</v>
      </c>
      <c r="S545" s="29" t="s">
        <v>45</v>
      </c>
      <c r="T545" s="4" t="s">
        <v>2074</v>
      </c>
      <c r="Y545" t="s">
        <v>47</v>
      </c>
    </row>
    <row r="546" spans="1:29" ht="28.8">
      <c r="A546">
        <v>419</v>
      </c>
      <c r="B546" t="s">
        <v>2070</v>
      </c>
      <c r="C546" s="22" t="s">
        <v>2071</v>
      </c>
      <c r="D546" s="61" t="s">
        <v>2072</v>
      </c>
      <c r="E546" t="s">
        <v>33</v>
      </c>
      <c r="F546" s="68" t="s">
        <v>170</v>
      </c>
      <c r="G546" s="48" t="s">
        <v>2064</v>
      </c>
      <c r="H546" s="5" t="s">
        <v>2065</v>
      </c>
      <c r="I546" s="120" t="s">
        <v>2066</v>
      </c>
      <c r="J546" s="29" t="s">
        <v>57</v>
      </c>
      <c r="K546" s="29" t="s">
        <v>2075</v>
      </c>
      <c r="L546" t="s">
        <v>90</v>
      </c>
      <c r="M546" s="16" t="s">
        <v>1761</v>
      </c>
      <c r="N546" s="3" t="s">
        <v>2068</v>
      </c>
      <c r="O546" t="s">
        <v>42</v>
      </c>
      <c r="P546" t="s">
        <v>1783</v>
      </c>
      <c r="Q546">
        <v>2026</v>
      </c>
      <c r="S546" s="29" t="s">
        <v>45</v>
      </c>
      <c r="T546" s="4" t="s">
        <v>2074</v>
      </c>
      <c r="Y546" t="s">
        <v>47</v>
      </c>
    </row>
    <row r="547" spans="1:29" ht="28.8">
      <c r="A547">
        <v>420</v>
      </c>
      <c r="B547" t="s">
        <v>2070</v>
      </c>
      <c r="C547" s="22" t="s">
        <v>2071</v>
      </c>
      <c r="D547" s="61" t="s">
        <v>2072</v>
      </c>
      <c r="E547" t="s">
        <v>33</v>
      </c>
      <c r="F547" s="68" t="s">
        <v>170</v>
      </c>
      <c r="G547" s="48" t="s">
        <v>2064</v>
      </c>
      <c r="H547" s="5" t="s">
        <v>2065</v>
      </c>
      <c r="I547" s="120" t="s">
        <v>2066</v>
      </c>
      <c r="J547" s="29" t="s">
        <v>145</v>
      </c>
      <c r="K547" s="29" t="s">
        <v>2075</v>
      </c>
      <c r="L547" t="s">
        <v>90</v>
      </c>
      <c r="M547" s="16" t="s">
        <v>1761</v>
      </c>
      <c r="N547" s="3" t="s">
        <v>2068</v>
      </c>
      <c r="O547" t="s">
        <v>42</v>
      </c>
      <c r="P547" t="s">
        <v>1783</v>
      </c>
      <c r="Q547">
        <v>2026</v>
      </c>
      <c r="S547" s="29" t="s">
        <v>45</v>
      </c>
      <c r="T547" s="4" t="s">
        <v>2074</v>
      </c>
      <c r="Y547" t="s">
        <v>47</v>
      </c>
    </row>
    <row r="548" spans="1:29" ht="28.8">
      <c r="A548">
        <v>421</v>
      </c>
      <c r="B548" t="s">
        <v>2076</v>
      </c>
      <c r="C548" s="22" t="s">
        <v>2077</v>
      </c>
      <c r="D548" s="61" t="s">
        <v>2078</v>
      </c>
      <c r="E548" t="s">
        <v>52</v>
      </c>
      <c r="F548" s="68" t="s">
        <v>170</v>
      </c>
      <c r="G548" s="48" t="s">
        <v>2064</v>
      </c>
      <c r="H548" s="5" t="s">
        <v>2065</v>
      </c>
      <c r="I548" s="120" t="s">
        <v>2066</v>
      </c>
      <c r="J548" s="29" t="s">
        <v>57</v>
      </c>
      <c r="K548" s="29" t="s">
        <v>2079</v>
      </c>
      <c r="L548" t="s">
        <v>90</v>
      </c>
      <c r="M548" s="16" t="s">
        <v>1761</v>
      </c>
      <c r="N548" s="3" t="s">
        <v>2068</v>
      </c>
      <c r="O548" t="s">
        <v>42</v>
      </c>
      <c r="P548" t="s">
        <v>1783</v>
      </c>
      <c r="Q548">
        <v>2026</v>
      </c>
      <c r="S548" s="29" t="s">
        <v>45</v>
      </c>
      <c r="T548" s="5" t="s">
        <v>2080</v>
      </c>
      <c r="Y548" t="s">
        <v>47</v>
      </c>
    </row>
    <row r="549" spans="1:29" ht="28.8">
      <c r="A549">
        <v>422</v>
      </c>
      <c r="B549" t="s">
        <v>2076</v>
      </c>
      <c r="C549" s="22" t="s">
        <v>2077</v>
      </c>
      <c r="D549" s="61" t="s">
        <v>2078</v>
      </c>
      <c r="E549" t="s">
        <v>52</v>
      </c>
      <c r="F549" s="68" t="s">
        <v>170</v>
      </c>
      <c r="G549" s="48" t="s">
        <v>2064</v>
      </c>
      <c r="H549" s="5" t="s">
        <v>2065</v>
      </c>
      <c r="I549" s="120" t="s">
        <v>2066</v>
      </c>
      <c r="J549" s="29" t="s">
        <v>48</v>
      </c>
      <c r="K549" s="29" t="s">
        <v>2079</v>
      </c>
      <c r="L549" t="s">
        <v>90</v>
      </c>
      <c r="M549" s="16" t="s">
        <v>1761</v>
      </c>
      <c r="N549" s="3" t="s">
        <v>2068</v>
      </c>
      <c r="O549" t="s">
        <v>42</v>
      </c>
      <c r="P549" t="s">
        <v>1783</v>
      </c>
      <c r="Q549">
        <v>2026</v>
      </c>
      <c r="R549" s="29" t="s">
        <v>44</v>
      </c>
      <c r="S549" s="29" t="s">
        <v>45</v>
      </c>
      <c r="T549" s="5" t="s">
        <v>2080</v>
      </c>
      <c r="U549" t="s">
        <v>2081</v>
      </c>
      <c r="W549" s="81">
        <v>0.60486111111111107</v>
      </c>
      <c r="X549" t="s">
        <v>163</v>
      </c>
      <c r="Y549" s="79" t="s">
        <v>103</v>
      </c>
      <c r="AB549" t="s">
        <v>105</v>
      </c>
      <c r="AC549" t="s">
        <v>815</v>
      </c>
    </row>
    <row r="550" spans="1:29" ht="28.8">
      <c r="A550">
        <v>423</v>
      </c>
      <c r="B550" t="s">
        <v>2076</v>
      </c>
      <c r="C550" s="22" t="s">
        <v>2077</v>
      </c>
      <c r="D550" s="61" t="s">
        <v>2078</v>
      </c>
      <c r="E550" t="s">
        <v>52</v>
      </c>
      <c r="F550" s="68" t="s">
        <v>170</v>
      </c>
      <c r="G550" s="48" t="s">
        <v>2064</v>
      </c>
      <c r="H550" s="5" t="s">
        <v>2065</v>
      </c>
      <c r="I550" s="120" t="s">
        <v>2066</v>
      </c>
      <c r="J550" s="29" t="s">
        <v>38</v>
      </c>
      <c r="K550" s="29" t="s">
        <v>2079</v>
      </c>
      <c r="L550" t="s">
        <v>90</v>
      </c>
      <c r="M550" s="16" t="s">
        <v>1761</v>
      </c>
      <c r="N550" s="3" t="s">
        <v>2068</v>
      </c>
      <c r="O550" t="s">
        <v>42</v>
      </c>
      <c r="P550" t="s">
        <v>1783</v>
      </c>
      <c r="Q550">
        <v>2026</v>
      </c>
      <c r="S550" s="29" t="s">
        <v>45</v>
      </c>
      <c r="T550" s="5" t="s">
        <v>2080</v>
      </c>
      <c r="Y550" t="s">
        <v>47</v>
      </c>
    </row>
    <row r="551" spans="1:29" ht="28.8">
      <c r="A551">
        <v>424</v>
      </c>
      <c r="B551" t="s">
        <v>2082</v>
      </c>
      <c r="C551" s="22" t="s">
        <v>2083</v>
      </c>
      <c r="D551" s="61" t="s">
        <v>2084</v>
      </c>
      <c r="E551" t="s">
        <v>52</v>
      </c>
      <c r="F551" s="68" t="s">
        <v>170</v>
      </c>
      <c r="G551" s="48" t="s">
        <v>2064</v>
      </c>
      <c r="H551" s="5" t="s">
        <v>2065</v>
      </c>
      <c r="I551" s="120" t="s">
        <v>2066</v>
      </c>
      <c r="J551" s="29" t="s">
        <v>57</v>
      </c>
      <c r="K551" s="29" t="s">
        <v>2085</v>
      </c>
      <c r="L551" t="s">
        <v>90</v>
      </c>
      <c r="M551" s="16" t="s">
        <v>2086</v>
      </c>
      <c r="N551" s="3" t="s">
        <v>1816</v>
      </c>
      <c r="O551" t="s">
        <v>42</v>
      </c>
      <c r="P551" t="s">
        <v>1783</v>
      </c>
      <c r="Q551">
        <v>2026</v>
      </c>
      <c r="S551" s="29" t="s">
        <v>45</v>
      </c>
      <c r="T551" s="4" t="s">
        <v>2087</v>
      </c>
    </row>
    <row r="552" spans="1:29" ht="28.8">
      <c r="A552">
        <v>425</v>
      </c>
      <c r="B552" t="s">
        <v>2082</v>
      </c>
      <c r="C552" s="22" t="s">
        <v>2083</v>
      </c>
      <c r="D552" s="61" t="s">
        <v>2084</v>
      </c>
      <c r="E552" t="s">
        <v>52</v>
      </c>
      <c r="F552" s="68" t="s">
        <v>170</v>
      </c>
      <c r="G552" s="48" t="s">
        <v>2064</v>
      </c>
      <c r="H552" s="5" t="s">
        <v>2065</v>
      </c>
      <c r="I552" s="120" t="s">
        <v>2066</v>
      </c>
      <c r="J552" s="29" t="s">
        <v>38</v>
      </c>
      <c r="K552" s="29" t="s">
        <v>2085</v>
      </c>
      <c r="L552" t="s">
        <v>90</v>
      </c>
      <c r="M552" s="16" t="s">
        <v>2086</v>
      </c>
      <c r="N552" s="3" t="s">
        <v>1816</v>
      </c>
      <c r="O552" t="s">
        <v>42</v>
      </c>
      <c r="P552" t="s">
        <v>1783</v>
      </c>
      <c r="Q552">
        <v>2026</v>
      </c>
      <c r="S552" s="29" t="s">
        <v>45</v>
      </c>
      <c r="T552" s="4" t="s">
        <v>2088</v>
      </c>
    </row>
    <row r="553" spans="1:29" ht="28.8">
      <c r="A553">
        <v>426</v>
      </c>
      <c r="B553" t="s">
        <v>2089</v>
      </c>
      <c r="C553" s="22" t="s">
        <v>2090</v>
      </c>
      <c r="D553" s="61" t="s">
        <v>2084</v>
      </c>
      <c r="E553" t="s">
        <v>52</v>
      </c>
      <c r="F553" s="68" t="s">
        <v>170</v>
      </c>
      <c r="G553" s="48" t="s">
        <v>2064</v>
      </c>
      <c r="H553" s="5" t="s">
        <v>2065</v>
      </c>
      <c r="I553" s="120" t="s">
        <v>2066</v>
      </c>
      <c r="J553" s="29" t="s">
        <v>57</v>
      </c>
      <c r="K553" s="29" t="s">
        <v>2091</v>
      </c>
      <c r="L553" t="s">
        <v>90</v>
      </c>
      <c r="M553" s="16" t="s">
        <v>2086</v>
      </c>
      <c r="N553" s="3" t="s">
        <v>1816</v>
      </c>
      <c r="O553" t="s">
        <v>42</v>
      </c>
      <c r="P553" t="s">
        <v>1783</v>
      </c>
      <c r="Q553">
        <v>2026</v>
      </c>
      <c r="S553" s="29" t="s">
        <v>45</v>
      </c>
      <c r="T553" s="4" t="s">
        <v>2092</v>
      </c>
    </row>
    <row r="554" spans="1:29" ht="28.8">
      <c r="A554">
        <v>427</v>
      </c>
      <c r="B554" t="s">
        <v>2089</v>
      </c>
      <c r="C554" s="22" t="s">
        <v>2090</v>
      </c>
      <c r="D554" s="61" t="s">
        <v>2084</v>
      </c>
      <c r="E554" t="s">
        <v>52</v>
      </c>
      <c r="F554" s="68" t="s">
        <v>170</v>
      </c>
      <c r="G554" s="48" t="s">
        <v>2064</v>
      </c>
      <c r="H554" s="5" t="s">
        <v>2065</v>
      </c>
      <c r="I554" s="120" t="s">
        <v>2066</v>
      </c>
      <c r="J554" s="29" t="s">
        <v>38</v>
      </c>
      <c r="K554" s="29" t="s">
        <v>2091</v>
      </c>
      <c r="L554" t="s">
        <v>90</v>
      </c>
      <c r="M554" s="16" t="s">
        <v>2086</v>
      </c>
      <c r="N554" s="3" t="s">
        <v>1816</v>
      </c>
      <c r="O554" t="s">
        <v>42</v>
      </c>
      <c r="P554" t="s">
        <v>1783</v>
      </c>
      <c r="Q554">
        <v>2026</v>
      </c>
      <c r="S554" s="29" t="s">
        <v>45</v>
      </c>
      <c r="T554" s="4" t="s">
        <v>2092</v>
      </c>
    </row>
    <row r="555" spans="1:29" ht="43.2">
      <c r="B555" t="s">
        <v>2093</v>
      </c>
      <c r="C555" s="22" t="s">
        <v>2094</v>
      </c>
      <c r="D555" s="54" t="s">
        <v>969</v>
      </c>
      <c r="E555" t="s">
        <v>104</v>
      </c>
      <c r="F555" s="68" t="s">
        <v>2095</v>
      </c>
      <c r="G555" s="71" t="s">
        <v>2096</v>
      </c>
      <c r="J555" s="29" t="s">
        <v>145</v>
      </c>
      <c r="K555" s="29" t="s">
        <v>2097</v>
      </c>
      <c r="L555" t="s">
        <v>40</v>
      </c>
      <c r="M555" s="16" t="s">
        <v>2098</v>
      </c>
      <c r="N555" s="3" t="str">
        <f t="shared" si="10"/>
        <v>1  Year</v>
      </c>
      <c r="O555" t="s">
        <v>1520</v>
      </c>
      <c r="P555" t="s">
        <v>2099</v>
      </c>
      <c r="Q555">
        <v>2026</v>
      </c>
      <c r="R555" s="29" t="s">
        <v>44</v>
      </c>
      <c r="S555" s="29" t="s">
        <v>45</v>
      </c>
      <c r="T555" s="4" t="s">
        <v>2100</v>
      </c>
      <c r="Y555" t="s">
        <v>47</v>
      </c>
    </row>
    <row r="556" spans="1:29" ht="28.8">
      <c r="B556" t="s">
        <v>2101</v>
      </c>
      <c r="C556" s="22" t="s">
        <v>2102</v>
      </c>
      <c r="D556" s="54" t="s">
        <v>132</v>
      </c>
      <c r="E556" t="s">
        <v>104</v>
      </c>
      <c r="F556" s="68" t="s">
        <v>312</v>
      </c>
      <c r="G556" s="48" t="s">
        <v>1241</v>
      </c>
      <c r="J556" s="29" t="s">
        <v>145</v>
      </c>
      <c r="K556" s="29" t="s">
        <v>2103</v>
      </c>
      <c r="L556" t="s">
        <v>40</v>
      </c>
      <c r="M556" s="16" t="s">
        <v>2098</v>
      </c>
      <c r="N556" s="3" t="str">
        <f t="shared" si="10"/>
        <v>1  Year</v>
      </c>
      <c r="O556" t="s">
        <v>1520</v>
      </c>
      <c r="P556" t="s">
        <v>2099</v>
      </c>
      <c r="Q556">
        <v>2026</v>
      </c>
      <c r="R556" s="29" t="s">
        <v>44</v>
      </c>
      <c r="S556" s="29" t="s">
        <v>45</v>
      </c>
      <c r="T556" s="4" t="s">
        <v>2104</v>
      </c>
      <c r="Y556" t="s">
        <v>47</v>
      </c>
    </row>
    <row r="557" spans="1:29" ht="31.8">
      <c r="B557" t="s">
        <v>2105</v>
      </c>
      <c r="C557" s="22" t="s">
        <v>2106</v>
      </c>
      <c r="D557" s="52" t="s">
        <v>2107</v>
      </c>
      <c r="E557" t="s">
        <v>52</v>
      </c>
      <c r="F557" s="70" t="s">
        <v>2108</v>
      </c>
      <c r="G557" s="48" t="s">
        <v>1224</v>
      </c>
      <c r="J557" s="29" t="s">
        <v>57</v>
      </c>
      <c r="K557" s="29" t="s">
        <v>2109</v>
      </c>
      <c r="L557" t="s">
        <v>40</v>
      </c>
      <c r="M557" s="16" t="s">
        <v>2098</v>
      </c>
      <c r="N557" s="3" t="str">
        <f t="shared" si="10"/>
        <v>1  Year</v>
      </c>
      <c r="O557" t="s">
        <v>42</v>
      </c>
      <c r="P557" t="s">
        <v>2099</v>
      </c>
      <c r="Q557">
        <v>2026</v>
      </c>
      <c r="R557" s="29" t="s">
        <v>44</v>
      </c>
      <c r="S557" s="29" t="s">
        <v>45</v>
      </c>
      <c r="T557" s="4" t="s">
        <v>2110</v>
      </c>
      <c r="Y557" t="s">
        <v>47</v>
      </c>
    </row>
    <row r="558" spans="1:29" ht="31.8">
      <c r="B558" t="s">
        <v>2111</v>
      </c>
      <c r="C558" s="22" t="s">
        <v>2112</v>
      </c>
      <c r="D558" s="52" t="s">
        <v>585</v>
      </c>
      <c r="E558" t="s">
        <v>52</v>
      </c>
      <c r="F558" s="70" t="s">
        <v>2108</v>
      </c>
      <c r="G558" s="48" t="s">
        <v>1224</v>
      </c>
      <c r="J558" s="29" t="s">
        <v>57</v>
      </c>
      <c r="K558" s="29" t="s">
        <v>2113</v>
      </c>
      <c r="L558" t="s">
        <v>40</v>
      </c>
      <c r="M558" s="16" t="s">
        <v>2098</v>
      </c>
      <c r="N558" s="3" t="str">
        <f t="shared" si="10"/>
        <v>1  Year</v>
      </c>
      <c r="O558" t="s">
        <v>42</v>
      </c>
      <c r="P558" t="s">
        <v>2099</v>
      </c>
      <c r="Q558">
        <v>2026</v>
      </c>
      <c r="R558" s="29" t="s">
        <v>44</v>
      </c>
      <c r="S558" s="29" t="s">
        <v>45</v>
      </c>
      <c r="T558" s="4" t="s">
        <v>2114</v>
      </c>
      <c r="Y558" t="s">
        <v>47</v>
      </c>
    </row>
    <row r="559" spans="1:29" ht="31.8">
      <c r="B559" t="s">
        <v>2115</v>
      </c>
      <c r="C559" s="22" t="s">
        <v>2116</v>
      </c>
      <c r="D559" s="52" t="s">
        <v>1478</v>
      </c>
      <c r="E559" t="s">
        <v>52</v>
      </c>
      <c r="F559" s="70" t="s">
        <v>2108</v>
      </c>
      <c r="G559" s="48" t="s">
        <v>1224</v>
      </c>
      <c r="J559" s="29" t="s">
        <v>57</v>
      </c>
      <c r="K559" s="29" t="s">
        <v>2117</v>
      </c>
      <c r="L559" t="s">
        <v>40</v>
      </c>
      <c r="M559" s="16" t="s">
        <v>2098</v>
      </c>
      <c r="N559" s="3" t="str">
        <f t="shared" si="10"/>
        <v>1  Year</v>
      </c>
      <c r="O559" t="s">
        <v>42</v>
      </c>
      <c r="P559" t="s">
        <v>2099</v>
      </c>
      <c r="Q559">
        <v>2026</v>
      </c>
      <c r="R559" s="29" t="s">
        <v>44</v>
      </c>
      <c r="S559" s="29" t="s">
        <v>45</v>
      </c>
      <c r="T559" s="4" t="s">
        <v>2118</v>
      </c>
      <c r="Y559" t="s">
        <v>47</v>
      </c>
    </row>
    <row r="560" spans="1:29" ht="31.8">
      <c r="B560" t="s">
        <v>2119</v>
      </c>
      <c r="C560" s="22" t="s">
        <v>2120</v>
      </c>
      <c r="D560" s="52" t="s">
        <v>2121</v>
      </c>
      <c r="E560" t="s">
        <v>52</v>
      </c>
      <c r="F560" s="70" t="s">
        <v>2108</v>
      </c>
      <c r="G560" s="48" t="s">
        <v>1224</v>
      </c>
      <c r="J560" s="29" t="s">
        <v>57</v>
      </c>
      <c r="K560" s="29" t="s">
        <v>2122</v>
      </c>
      <c r="L560" t="s">
        <v>40</v>
      </c>
      <c r="M560" s="16" t="s">
        <v>2098</v>
      </c>
      <c r="N560" s="3" t="str">
        <f t="shared" si="10"/>
        <v>1  Year</v>
      </c>
      <c r="O560" t="s">
        <v>42</v>
      </c>
      <c r="P560" t="s">
        <v>2099</v>
      </c>
      <c r="Q560">
        <v>2026</v>
      </c>
      <c r="R560" s="29" t="s">
        <v>44</v>
      </c>
      <c r="S560" s="29" t="s">
        <v>45</v>
      </c>
      <c r="T560" s="4" t="s">
        <v>2123</v>
      </c>
      <c r="Y560" t="s">
        <v>47</v>
      </c>
    </row>
    <row r="561" spans="2:29" ht="43.2">
      <c r="B561" t="s">
        <v>2124</v>
      </c>
      <c r="C561" s="22" t="s">
        <v>2125</v>
      </c>
      <c r="D561" s="52" t="s">
        <v>831</v>
      </c>
      <c r="E561" t="s">
        <v>33</v>
      </c>
      <c r="F561" s="70" t="s">
        <v>1928</v>
      </c>
      <c r="G561" s="48" t="s">
        <v>2126</v>
      </c>
      <c r="H561" s="5" t="s">
        <v>2127</v>
      </c>
      <c r="I561" s="116" t="s">
        <v>2128</v>
      </c>
      <c r="J561" s="29" t="s">
        <v>57</v>
      </c>
      <c r="K561" s="29" t="s">
        <v>2129</v>
      </c>
      <c r="L561" t="s">
        <v>90</v>
      </c>
      <c r="M561" s="16" t="s">
        <v>2098</v>
      </c>
      <c r="N561" s="3" t="str">
        <f t="shared" si="10"/>
        <v>2 Years</v>
      </c>
      <c r="O561" t="s">
        <v>42</v>
      </c>
      <c r="P561" t="s">
        <v>2099</v>
      </c>
      <c r="Q561">
        <v>2026</v>
      </c>
      <c r="R561" s="29" t="s">
        <v>44</v>
      </c>
      <c r="S561" s="29" t="s">
        <v>45</v>
      </c>
      <c r="T561" s="4" t="s">
        <v>2130</v>
      </c>
      <c r="Y561" t="s">
        <v>47</v>
      </c>
    </row>
    <row r="562" spans="2:29" ht="43.2">
      <c r="B562" t="s">
        <v>2124</v>
      </c>
      <c r="C562" s="22" t="s">
        <v>2125</v>
      </c>
      <c r="D562" s="52" t="s">
        <v>831</v>
      </c>
      <c r="E562" t="s">
        <v>33</v>
      </c>
      <c r="F562" s="70" t="s">
        <v>1928</v>
      </c>
      <c r="G562" s="48" t="s">
        <v>2126</v>
      </c>
      <c r="H562" s="5" t="s">
        <v>2127</v>
      </c>
      <c r="I562" s="116" t="s">
        <v>2128</v>
      </c>
      <c r="J562" s="29" t="s">
        <v>38</v>
      </c>
      <c r="K562" s="29" t="s">
        <v>2129</v>
      </c>
      <c r="L562" t="s">
        <v>90</v>
      </c>
      <c r="M562" s="16" t="s">
        <v>2098</v>
      </c>
      <c r="N562" s="3" t="str">
        <f t="shared" si="10"/>
        <v>2 Years</v>
      </c>
      <c r="O562" t="s">
        <v>42</v>
      </c>
      <c r="P562" t="s">
        <v>2099</v>
      </c>
      <c r="Q562">
        <v>2026</v>
      </c>
      <c r="R562" s="29" t="s">
        <v>44</v>
      </c>
      <c r="S562" s="29" t="s">
        <v>45</v>
      </c>
      <c r="T562" s="4" t="s">
        <v>2130</v>
      </c>
      <c r="Y562" t="s">
        <v>47</v>
      </c>
    </row>
    <row r="563" spans="2:29" ht="43.2">
      <c r="B563" t="s">
        <v>2124</v>
      </c>
      <c r="C563" s="22" t="s">
        <v>2125</v>
      </c>
      <c r="D563" s="52" t="s">
        <v>831</v>
      </c>
      <c r="E563" t="s">
        <v>33</v>
      </c>
      <c r="F563" s="70" t="s">
        <v>1928</v>
      </c>
      <c r="G563" s="48" t="s">
        <v>2126</v>
      </c>
      <c r="H563" s="5" t="s">
        <v>2127</v>
      </c>
      <c r="I563" s="116" t="s">
        <v>2128</v>
      </c>
      <c r="J563" s="29" t="s">
        <v>145</v>
      </c>
      <c r="K563" s="29" t="s">
        <v>2129</v>
      </c>
      <c r="L563" t="s">
        <v>90</v>
      </c>
      <c r="M563" s="16" t="s">
        <v>2098</v>
      </c>
      <c r="N563" s="3" t="str">
        <f t="shared" si="10"/>
        <v>2 Years</v>
      </c>
      <c r="O563" t="s">
        <v>42</v>
      </c>
      <c r="P563" t="s">
        <v>2099</v>
      </c>
      <c r="Q563">
        <v>2026</v>
      </c>
      <c r="R563" s="29" t="s">
        <v>44</v>
      </c>
      <c r="S563" s="29" t="s">
        <v>45</v>
      </c>
      <c r="T563" s="4" t="s">
        <v>2130</v>
      </c>
      <c r="U563" t="s">
        <v>813</v>
      </c>
      <c r="W563" t="s">
        <v>2131</v>
      </c>
      <c r="X563" t="s">
        <v>163</v>
      </c>
      <c r="Y563" s="79" t="s">
        <v>103</v>
      </c>
      <c r="AB563" t="s">
        <v>105</v>
      </c>
      <c r="AC563" t="s">
        <v>815</v>
      </c>
    </row>
    <row r="564" spans="2:29" ht="43.2">
      <c r="B564" t="s">
        <v>2124</v>
      </c>
      <c r="C564" s="22" t="s">
        <v>2125</v>
      </c>
      <c r="D564" s="52" t="s">
        <v>831</v>
      </c>
      <c r="E564" t="s">
        <v>33</v>
      </c>
      <c r="F564" s="70" t="s">
        <v>1928</v>
      </c>
      <c r="G564" s="48" t="s">
        <v>2126</v>
      </c>
      <c r="H564" s="5" t="s">
        <v>2127</v>
      </c>
      <c r="I564" s="116" t="s">
        <v>2128</v>
      </c>
      <c r="J564" s="29" t="s">
        <v>88</v>
      </c>
      <c r="K564" s="29" t="s">
        <v>2129</v>
      </c>
      <c r="L564" t="s">
        <v>90</v>
      </c>
      <c r="M564" s="16" t="s">
        <v>2098</v>
      </c>
      <c r="N564" s="3" t="str">
        <f t="shared" si="10"/>
        <v>2 Years</v>
      </c>
      <c r="O564" t="s">
        <v>42</v>
      </c>
      <c r="P564" t="s">
        <v>2099</v>
      </c>
      <c r="Q564">
        <v>2026</v>
      </c>
      <c r="R564" s="29" t="s">
        <v>44</v>
      </c>
      <c r="S564" s="29" t="s">
        <v>45</v>
      </c>
      <c r="T564" s="4" t="s">
        <v>2130</v>
      </c>
      <c r="U564" t="s">
        <v>813</v>
      </c>
    </row>
    <row r="565" spans="2:29" ht="43.2">
      <c r="B565" t="s">
        <v>2124</v>
      </c>
      <c r="C565" s="22" t="s">
        <v>2125</v>
      </c>
      <c r="D565" s="52" t="s">
        <v>831</v>
      </c>
      <c r="E565" t="s">
        <v>33</v>
      </c>
      <c r="F565" s="70" t="s">
        <v>1928</v>
      </c>
      <c r="G565" s="48" t="s">
        <v>2126</v>
      </c>
      <c r="H565" s="5" t="s">
        <v>2127</v>
      </c>
      <c r="I565" s="116" t="s">
        <v>2128</v>
      </c>
      <c r="J565" s="29" t="s">
        <v>92</v>
      </c>
      <c r="K565" s="29" t="s">
        <v>2129</v>
      </c>
      <c r="L565" t="s">
        <v>90</v>
      </c>
      <c r="M565" s="16" t="s">
        <v>2098</v>
      </c>
      <c r="N565" s="3" t="str">
        <f t="shared" si="10"/>
        <v>2 Years</v>
      </c>
      <c r="O565" t="s">
        <v>42</v>
      </c>
      <c r="P565" t="s">
        <v>2099</v>
      </c>
      <c r="Q565">
        <v>2026</v>
      </c>
      <c r="R565" s="29" t="s">
        <v>44</v>
      </c>
      <c r="S565" s="29" t="s">
        <v>45</v>
      </c>
      <c r="T565" s="4" t="s">
        <v>2130</v>
      </c>
      <c r="Y565" t="s">
        <v>47</v>
      </c>
    </row>
    <row r="566" spans="2:29" ht="43.2">
      <c r="B566" t="s">
        <v>2124</v>
      </c>
      <c r="C566" s="22" t="s">
        <v>2125</v>
      </c>
      <c r="D566" s="52" t="s">
        <v>831</v>
      </c>
      <c r="E566" t="s">
        <v>33</v>
      </c>
      <c r="F566" s="70" t="s">
        <v>1928</v>
      </c>
      <c r="G566" s="48" t="s">
        <v>2126</v>
      </c>
      <c r="H566" s="5" t="s">
        <v>2127</v>
      </c>
      <c r="I566" s="116" t="s">
        <v>2128</v>
      </c>
      <c r="J566" s="29" t="s">
        <v>159</v>
      </c>
      <c r="K566" s="29" t="s">
        <v>2129</v>
      </c>
      <c r="L566" t="s">
        <v>90</v>
      </c>
      <c r="M566" s="16" t="s">
        <v>2098</v>
      </c>
      <c r="N566" s="3" t="str">
        <f t="shared" si="10"/>
        <v>2 Years</v>
      </c>
      <c r="O566" t="s">
        <v>42</v>
      </c>
      <c r="P566" t="s">
        <v>2099</v>
      </c>
      <c r="Q566">
        <v>2026</v>
      </c>
      <c r="R566" s="29" t="s">
        <v>44</v>
      </c>
      <c r="S566" s="29" t="s">
        <v>45</v>
      </c>
      <c r="T566" s="4" t="s">
        <v>2130</v>
      </c>
      <c r="Y566" t="s">
        <v>47</v>
      </c>
    </row>
    <row r="567" spans="2:29" ht="43.2">
      <c r="B567" t="s">
        <v>2124</v>
      </c>
      <c r="C567" s="22" t="s">
        <v>2125</v>
      </c>
      <c r="D567" s="52" t="s">
        <v>831</v>
      </c>
      <c r="E567" t="s">
        <v>33</v>
      </c>
      <c r="F567" s="70" t="s">
        <v>1928</v>
      </c>
      <c r="G567" s="48" t="s">
        <v>2126</v>
      </c>
      <c r="H567" s="5" t="s">
        <v>2127</v>
      </c>
      <c r="I567" s="116" t="s">
        <v>2128</v>
      </c>
      <c r="J567" s="29" t="s">
        <v>48</v>
      </c>
      <c r="K567" s="29" t="s">
        <v>2129</v>
      </c>
      <c r="L567" t="s">
        <v>90</v>
      </c>
      <c r="M567" s="16" t="s">
        <v>2098</v>
      </c>
      <c r="N567" s="3" t="str">
        <f t="shared" si="10"/>
        <v>2 Years</v>
      </c>
      <c r="O567" t="s">
        <v>42</v>
      </c>
      <c r="P567" t="s">
        <v>2099</v>
      </c>
      <c r="Q567">
        <v>2026</v>
      </c>
      <c r="R567" s="29" t="s">
        <v>44</v>
      </c>
      <c r="S567" s="29" t="s">
        <v>45</v>
      </c>
      <c r="T567" s="4" t="s">
        <v>2130</v>
      </c>
      <c r="Y567" t="s">
        <v>47</v>
      </c>
    </row>
    <row r="568" spans="2:29" ht="43.2">
      <c r="B568" t="s">
        <v>2132</v>
      </c>
      <c r="C568" s="22" t="s">
        <v>2133</v>
      </c>
      <c r="D568" s="52" t="s">
        <v>341</v>
      </c>
      <c r="E568" t="s">
        <v>33</v>
      </c>
      <c r="F568" s="70" t="s">
        <v>1928</v>
      </c>
      <c r="G568" s="48" t="s">
        <v>2126</v>
      </c>
      <c r="H568" s="5" t="s">
        <v>2127</v>
      </c>
      <c r="I568" s="116" t="s">
        <v>2128</v>
      </c>
      <c r="J568" s="29" t="s">
        <v>57</v>
      </c>
      <c r="K568" s="29" t="s">
        <v>2129</v>
      </c>
      <c r="L568" t="s">
        <v>90</v>
      </c>
      <c r="M568" s="16" t="s">
        <v>2098</v>
      </c>
      <c r="N568" s="3" t="str">
        <f t="shared" si="10"/>
        <v>2 Years</v>
      </c>
      <c r="O568" t="s">
        <v>42</v>
      </c>
      <c r="P568" t="s">
        <v>2099</v>
      </c>
      <c r="Q568">
        <v>2026</v>
      </c>
      <c r="R568" s="29" t="s">
        <v>44</v>
      </c>
      <c r="S568" s="29" t="s">
        <v>45</v>
      </c>
      <c r="T568" s="4" t="s">
        <v>2130</v>
      </c>
      <c r="Y568" t="s">
        <v>47</v>
      </c>
    </row>
    <row r="569" spans="2:29" ht="43.2">
      <c r="B569" t="s">
        <v>2132</v>
      </c>
      <c r="C569" s="22" t="s">
        <v>2133</v>
      </c>
      <c r="D569" s="52" t="s">
        <v>341</v>
      </c>
      <c r="E569" t="s">
        <v>33</v>
      </c>
      <c r="F569" s="70" t="s">
        <v>1928</v>
      </c>
      <c r="G569" s="48" t="s">
        <v>2126</v>
      </c>
      <c r="H569" s="5" t="s">
        <v>2127</v>
      </c>
      <c r="I569" s="116" t="s">
        <v>2128</v>
      </c>
      <c r="J569" s="29" t="s">
        <v>38</v>
      </c>
      <c r="K569" s="29" t="s">
        <v>2129</v>
      </c>
      <c r="L569" t="s">
        <v>90</v>
      </c>
      <c r="M569" s="16" t="s">
        <v>2098</v>
      </c>
      <c r="N569" s="3" t="str">
        <f t="shared" si="10"/>
        <v>2 Years</v>
      </c>
      <c r="O569" t="s">
        <v>42</v>
      </c>
      <c r="P569" t="s">
        <v>2099</v>
      </c>
      <c r="Q569">
        <v>2026</v>
      </c>
      <c r="R569" s="29" t="s">
        <v>44</v>
      </c>
      <c r="S569" s="29" t="s">
        <v>45</v>
      </c>
      <c r="T569" s="4" t="s">
        <v>2130</v>
      </c>
      <c r="Y569" t="s">
        <v>47</v>
      </c>
    </row>
    <row r="570" spans="2:29" ht="43.2">
      <c r="B570" t="s">
        <v>2132</v>
      </c>
      <c r="C570" s="22" t="s">
        <v>2133</v>
      </c>
      <c r="D570" s="52" t="s">
        <v>341</v>
      </c>
      <c r="E570" t="s">
        <v>33</v>
      </c>
      <c r="F570" s="70" t="s">
        <v>1928</v>
      </c>
      <c r="G570" s="48" t="s">
        <v>2126</v>
      </c>
      <c r="H570" s="5" t="s">
        <v>2127</v>
      </c>
      <c r="I570" s="116" t="s">
        <v>2128</v>
      </c>
      <c r="J570" s="29" t="s">
        <v>145</v>
      </c>
      <c r="K570" s="29" t="s">
        <v>2129</v>
      </c>
      <c r="L570" t="s">
        <v>90</v>
      </c>
      <c r="M570" s="16" t="s">
        <v>2098</v>
      </c>
      <c r="N570" s="3" t="str">
        <f t="shared" si="10"/>
        <v>2 Years</v>
      </c>
      <c r="O570" t="s">
        <v>42</v>
      </c>
      <c r="P570" t="s">
        <v>2099</v>
      </c>
      <c r="Q570">
        <v>2026</v>
      </c>
      <c r="R570" s="29" t="s">
        <v>44</v>
      </c>
      <c r="S570" s="29" t="s">
        <v>45</v>
      </c>
      <c r="T570" s="4" t="s">
        <v>2130</v>
      </c>
      <c r="U570" t="s">
        <v>162</v>
      </c>
      <c r="W570" t="s">
        <v>2134</v>
      </c>
      <c r="X570" t="s">
        <v>163</v>
      </c>
      <c r="Y570" s="79" t="s">
        <v>103</v>
      </c>
      <c r="AB570" t="s">
        <v>105</v>
      </c>
      <c r="AC570" t="s">
        <v>815</v>
      </c>
    </row>
    <row r="571" spans="2:29" ht="43.2">
      <c r="B571" t="s">
        <v>2132</v>
      </c>
      <c r="C571" s="22" t="s">
        <v>2133</v>
      </c>
      <c r="D571" s="52" t="s">
        <v>341</v>
      </c>
      <c r="E571" t="s">
        <v>33</v>
      </c>
      <c r="F571" s="70" t="s">
        <v>1928</v>
      </c>
      <c r="G571" s="48" t="s">
        <v>2126</v>
      </c>
      <c r="H571" s="5" t="s">
        <v>2127</v>
      </c>
      <c r="I571" s="116" t="s">
        <v>2128</v>
      </c>
      <c r="J571" s="29" t="s">
        <v>88</v>
      </c>
      <c r="K571" s="29" t="s">
        <v>2129</v>
      </c>
      <c r="L571" t="s">
        <v>90</v>
      </c>
      <c r="M571" s="16" t="s">
        <v>2098</v>
      </c>
      <c r="N571" s="3" t="str">
        <f t="shared" si="10"/>
        <v>2 Years</v>
      </c>
      <c r="O571" t="s">
        <v>42</v>
      </c>
      <c r="P571" t="s">
        <v>2099</v>
      </c>
      <c r="Q571">
        <v>2026</v>
      </c>
      <c r="R571" s="29" t="s">
        <v>44</v>
      </c>
      <c r="S571" s="29" t="s">
        <v>45</v>
      </c>
      <c r="T571" s="4" t="s">
        <v>2130</v>
      </c>
      <c r="Y571" t="s">
        <v>47</v>
      </c>
    </row>
    <row r="572" spans="2:29" ht="43.2">
      <c r="B572" t="s">
        <v>2132</v>
      </c>
      <c r="C572" s="22" t="s">
        <v>2133</v>
      </c>
      <c r="D572" s="52" t="s">
        <v>341</v>
      </c>
      <c r="E572" t="s">
        <v>33</v>
      </c>
      <c r="F572" s="70" t="s">
        <v>1928</v>
      </c>
      <c r="G572" s="48" t="s">
        <v>2126</v>
      </c>
      <c r="H572" s="5" t="s">
        <v>2127</v>
      </c>
      <c r="I572" s="116" t="s">
        <v>2128</v>
      </c>
      <c r="J572" s="29" t="s">
        <v>92</v>
      </c>
      <c r="K572" s="29" t="s">
        <v>2129</v>
      </c>
      <c r="L572" t="s">
        <v>90</v>
      </c>
      <c r="M572" s="16" t="s">
        <v>2098</v>
      </c>
      <c r="N572" s="3" t="str">
        <f t="shared" si="10"/>
        <v>2 Years</v>
      </c>
      <c r="O572" t="s">
        <v>42</v>
      </c>
      <c r="P572" t="s">
        <v>2099</v>
      </c>
      <c r="Q572">
        <v>2026</v>
      </c>
      <c r="R572" s="29" t="s">
        <v>44</v>
      </c>
      <c r="S572" s="29" t="s">
        <v>45</v>
      </c>
      <c r="T572" s="4" t="s">
        <v>2130</v>
      </c>
      <c r="Y572" t="s">
        <v>47</v>
      </c>
    </row>
    <row r="573" spans="2:29" ht="43.2">
      <c r="B573" t="s">
        <v>2132</v>
      </c>
      <c r="C573" s="22" t="s">
        <v>2133</v>
      </c>
      <c r="D573" s="52" t="s">
        <v>341</v>
      </c>
      <c r="E573" t="s">
        <v>33</v>
      </c>
      <c r="F573" s="70" t="s">
        <v>1928</v>
      </c>
      <c r="G573" s="48" t="s">
        <v>2126</v>
      </c>
      <c r="H573" s="5" t="s">
        <v>2127</v>
      </c>
      <c r="I573" s="116" t="s">
        <v>2128</v>
      </c>
      <c r="J573" s="29" t="s">
        <v>159</v>
      </c>
      <c r="K573" s="29" t="s">
        <v>2129</v>
      </c>
      <c r="L573" t="s">
        <v>90</v>
      </c>
      <c r="M573" s="16" t="s">
        <v>2098</v>
      </c>
      <c r="N573" s="3" t="str">
        <f t="shared" si="10"/>
        <v>2 Years</v>
      </c>
      <c r="O573" t="s">
        <v>42</v>
      </c>
      <c r="P573" t="s">
        <v>2099</v>
      </c>
      <c r="Q573">
        <v>2026</v>
      </c>
      <c r="R573" s="29" t="s">
        <v>44</v>
      </c>
      <c r="S573" s="29" t="s">
        <v>45</v>
      </c>
      <c r="T573" s="4" t="s">
        <v>2130</v>
      </c>
      <c r="Y573" t="s">
        <v>47</v>
      </c>
    </row>
    <row r="574" spans="2:29" ht="43.2">
      <c r="B574" t="s">
        <v>2132</v>
      </c>
      <c r="C574" s="22" t="s">
        <v>2133</v>
      </c>
      <c r="D574" s="52" t="s">
        <v>341</v>
      </c>
      <c r="E574" t="s">
        <v>33</v>
      </c>
      <c r="F574" s="70" t="s">
        <v>1928</v>
      </c>
      <c r="G574" s="48" t="s">
        <v>2126</v>
      </c>
      <c r="H574" s="5" t="s">
        <v>2127</v>
      </c>
      <c r="I574" s="116" t="s">
        <v>2128</v>
      </c>
      <c r="J574" s="29" t="s">
        <v>48</v>
      </c>
      <c r="K574" s="29" t="s">
        <v>2129</v>
      </c>
      <c r="L574" t="s">
        <v>90</v>
      </c>
      <c r="M574" s="16" t="s">
        <v>2098</v>
      </c>
      <c r="N574" s="3" t="str">
        <f t="shared" si="10"/>
        <v>2 Years</v>
      </c>
      <c r="O574" t="s">
        <v>42</v>
      </c>
      <c r="P574" t="s">
        <v>2099</v>
      </c>
      <c r="Q574">
        <v>2026</v>
      </c>
      <c r="R574" s="29" t="s">
        <v>44</v>
      </c>
      <c r="S574" s="29" t="s">
        <v>45</v>
      </c>
      <c r="T574" s="4" t="s">
        <v>2130</v>
      </c>
      <c r="Y574" t="s">
        <v>47</v>
      </c>
    </row>
    <row r="575" spans="2:29" ht="43.2">
      <c r="B575" t="s">
        <v>2135</v>
      </c>
      <c r="C575" s="22" t="s">
        <v>2136</v>
      </c>
      <c r="D575" s="52" t="s">
        <v>548</v>
      </c>
      <c r="E575" t="s">
        <v>33</v>
      </c>
      <c r="F575" s="70" t="s">
        <v>1928</v>
      </c>
      <c r="G575" s="48" t="s">
        <v>2126</v>
      </c>
      <c r="H575" s="5" t="s">
        <v>2127</v>
      </c>
      <c r="I575" s="116" t="s">
        <v>2128</v>
      </c>
      <c r="J575" s="29" t="s">
        <v>57</v>
      </c>
      <c r="K575" s="29" t="s">
        <v>2137</v>
      </c>
      <c r="L575" t="s">
        <v>90</v>
      </c>
      <c r="M575" s="16" t="s">
        <v>2098</v>
      </c>
      <c r="N575" s="3" t="str">
        <f t="shared" si="10"/>
        <v>2 Years</v>
      </c>
      <c r="O575" t="s">
        <v>42</v>
      </c>
      <c r="P575" t="s">
        <v>2099</v>
      </c>
      <c r="Q575">
        <v>2026</v>
      </c>
      <c r="R575" s="29" t="s">
        <v>44</v>
      </c>
      <c r="S575" s="29" t="s">
        <v>45</v>
      </c>
      <c r="T575" s="4" t="s">
        <v>2138</v>
      </c>
      <c r="Y575" t="s">
        <v>47</v>
      </c>
    </row>
    <row r="576" spans="2:29" ht="43.2">
      <c r="B576" t="s">
        <v>2135</v>
      </c>
      <c r="C576" s="22" t="s">
        <v>2136</v>
      </c>
      <c r="D576" s="52" t="s">
        <v>548</v>
      </c>
      <c r="E576" t="s">
        <v>33</v>
      </c>
      <c r="F576" s="70" t="s">
        <v>1928</v>
      </c>
      <c r="G576" s="48" t="s">
        <v>2126</v>
      </c>
      <c r="H576" s="5" t="s">
        <v>2127</v>
      </c>
      <c r="I576" s="116" t="s">
        <v>2128</v>
      </c>
      <c r="J576" s="29" t="s">
        <v>38</v>
      </c>
      <c r="K576" s="29" t="s">
        <v>2137</v>
      </c>
      <c r="L576" t="s">
        <v>90</v>
      </c>
      <c r="M576" s="16" t="s">
        <v>2098</v>
      </c>
      <c r="N576" s="3" t="str">
        <f t="shared" ref="N576:N578" si="11">IF(L576="New","1  Year",IF(L576="Promotional","15 Weeks",IF(L576="Revalidation","2 Years","")))</f>
        <v>2 Years</v>
      </c>
      <c r="O576" t="s">
        <v>42</v>
      </c>
      <c r="P576" t="s">
        <v>2099</v>
      </c>
      <c r="Q576">
        <v>2026</v>
      </c>
      <c r="R576" s="29" t="s">
        <v>44</v>
      </c>
      <c r="S576" s="29" t="s">
        <v>45</v>
      </c>
      <c r="T576" s="4" t="s">
        <v>2138</v>
      </c>
      <c r="Y576" t="s">
        <v>47</v>
      </c>
    </row>
    <row r="577" spans="2:29" ht="43.2">
      <c r="B577" t="s">
        <v>2135</v>
      </c>
      <c r="C577" s="22" t="s">
        <v>2136</v>
      </c>
      <c r="D577" s="52" t="s">
        <v>548</v>
      </c>
      <c r="E577" t="s">
        <v>33</v>
      </c>
      <c r="F577" s="70" t="s">
        <v>1928</v>
      </c>
      <c r="G577" s="48" t="s">
        <v>2126</v>
      </c>
      <c r="H577" s="5" t="s">
        <v>2127</v>
      </c>
      <c r="I577" s="116" t="s">
        <v>2128</v>
      </c>
      <c r="J577" s="29" t="s">
        <v>145</v>
      </c>
      <c r="K577" s="29" t="s">
        <v>2137</v>
      </c>
      <c r="L577" t="s">
        <v>90</v>
      </c>
      <c r="M577" s="16" t="s">
        <v>2098</v>
      </c>
      <c r="N577" s="3" t="str">
        <f t="shared" si="11"/>
        <v>2 Years</v>
      </c>
      <c r="O577" t="s">
        <v>42</v>
      </c>
      <c r="P577" t="s">
        <v>2099</v>
      </c>
      <c r="Q577">
        <v>2026</v>
      </c>
      <c r="R577" s="29" t="s">
        <v>44</v>
      </c>
      <c r="S577" s="29" t="s">
        <v>45</v>
      </c>
      <c r="T577" s="4" t="s">
        <v>2138</v>
      </c>
      <c r="U577" t="s">
        <v>813</v>
      </c>
      <c r="W577" t="s">
        <v>2139</v>
      </c>
      <c r="X577" t="s">
        <v>163</v>
      </c>
      <c r="Y577" t="s">
        <v>103</v>
      </c>
      <c r="AB577" t="s">
        <v>105</v>
      </c>
      <c r="AC577" t="s">
        <v>815</v>
      </c>
    </row>
    <row r="578" spans="2:29" ht="43.2">
      <c r="B578" t="s">
        <v>2135</v>
      </c>
      <c r="C578" s="22" t="s">
        <v>2136</v>
      </c>
      <c r="D578" s="52" t="s">
        <v>548</v>
      </c>
      <c r="E578" t="s">
        <v>33</v>
      </c>
      <c r="F578" s="70" t="s">
        <v>1928</v>
      </c>
      <c r="G578" s="48" t="s">
        <v>2126</v>
      </c>
      <c r="H578" s="5" t="s">
        <v>2127</v>
      </c>
      <c r="I578" s="116" t="s">
        <v>2128</v>
      </c>
      <c r="J578" s="29" t="s">
        <v>159</v>
      </c>
      <c r="K578" s="29" t="s">
        <v>2137</v>
      </c>
      <c r="L578" t="s">
        <v>90</v>
      </c>
      <c r="M578" s="16" t="s">
        <v>2098</v>
      </c>
      <c r="N578" s="3" t="str">
        <f t="shared" si="11"/>
        <v>2 Years</v>
      </c>
      <c r="O578" t="s">
        <v>42</v>
      </c>
      <c r="P578" t="s">
        <v>2099</v>
      </c>
      <c r="Q578">
        <v>2026</v>
      </c>
      <c r="R578" s="29" t="s">
        <v>44</v>
      </c>
      <c r="S578" s="29" t="s">
        <v>45</v>
      </c>
      <c r="T578" s="4" t="s">
        <v>2138</v>
      </c>
      <c r="U578" t="s">
        <v>813</v>
      </c>
      <c r="W578" t="s">
        <v>2139</v>
      </c>
      <c r="X578" t="s">
        <v>163</v>
      </c>
      <c r="Y578" t="s">
        <v>103</v>
      </c>
      <c r="AB578" t="s">
        <v>105</v>
      </c>
      <c r="AC578" t="s">
        <v>815</v>
      </c>
    </row>
    <row r="579" spans="2:29" ht="43.2">
      <c r="B579" t="s">
        <v>2140</v>
      </c>
      <c r="C579" s="22" t="s">
        <v>268</v>
      </c>
      <c r="D579" s="52" t="s">
        <v>2141</v>
      </c>
      <c r="E579" t="s">
        <v>52</v>
      </c>
      <c r="F579" s="70" t="s">
        <v>120</v>
      </c>
      <c r="G579" s="48" t="s">
        <v>121</v>
      </c>
      <c r="H579" s="5" t="s">
        <v>122</v>
      </c>
      <c r="I579" s="118" t="s">
        <v>1956</v>
      </c>
      <c r="J579" s="29" t="s">
        <v>2142</v>
      </c>
      <c r="K579" s="29" t="s">
        <v>2143</v>
      </c>
      <c r="L579" t="s">
        <v>40</v>
      </c>
      <c r="M579" s="16" t="s">
        <v>2098</v>
      </c>
      <c r="N579" s="3" t="str">
        <f t="shared" si="10"/>
        <v>1  Year</v>
      </c>
      <c r="O579" t="s">
        <v>42</v>
      </c>
      <c r="P579" t="s">
        <v>2099</v>
      </c>
      <c r="Q579">
        <v>2026</v>
      </c>
      <c r="R579" s="29" t="s">
        <v>1981</v>
      </c>
      <c r="S579" s="29" t="s">
        <v>45</v>
      </c>
      <c r="T579" s="4" t="s">
        <v>273</v>
      </c>
      <c r="Y579" t="s">
        <v>47</v>
      </c>
    </row>
    <row r="580" spans="2:29" ht="43.2">
      <c r="B580" t="s">
        <v>2144</v>
      </c>
      <c r="C580" s="22" t="s">
        <v>2145</v>
      </c>
      <c r="D580" s="52" t="s">
        <v>2146</v>
      </c>
      <c r="E580" t="s">
        <v>182</v>
      </c>
      <c r="F580" s="70" t="s">
        <v>966</v>
      </c>
      <c r="G580" s="48" t="s">
        <v>2147</v>
      </c>
      <c r="H580" s="5" t="s">
        <v>1473</v>
      </c>
      <c r="I580" s="117" t="s">
        <v>529</v>
      </c>
      <c r="J580" s="29" t="s">
        <v>88</v>
      </c>
      <c r="K580" s="29" t="s">
        <v>2148</v>
      </c>
      <c r="L580" t="s">
        <v>40</v>
      </c>
      <c r="M580" s="16" t="s">
        <v>2098</v>
      </c>
      <c r="N580" s="3" t="str">
        <f t="shared" si="10"/>
        <v>1  Year</v>
      </c>
      <c r="O580" t="s">
        <v>202</v>
      </c>
      <c r="P580" t="s">
        <v>2099</v>
      </c>
      <c r="Q580">
        <v>2026</v>
      </c>
      <c r="R580" s="29" t="s">
        <v>1981</v>
      </c>
      <c r="S580" s="29" t="s">
        <v>45</v>
      </c>
      <c r="T580" s="4" t="s">
        <v>2149</v>
      </c>
      <c r="Y580" t="s">
        <v>47</v>
      </c>
    </row>
    <row r="581" spans="2:29" ht="43.2">
      <c r="B581" t="s">
        <v>2144</v>
      </c>
      <c r="C581" s="22" t="s">
        <v>2145</v>
      </c>
      <c r="D581" s="52" t="s">
        <v>2146</v>
      </c>
      <c r="E581" t="s">
        <v>182</v>
      </c>
      <c r="F581" s="70" t="s">
        <v>966</v>
      </c>
      <c r="G581" s="48" t="s">
        <v>2147</v>
      </c>
      <c r="H581" s="5" t="s">
        <v>1473</v>
      </c>
      <c r="I581" s="117" t="s">
        <v>529</v>
      </c>
      <c r="J581" s="29" t="s">
        <v>145</v>
      </c>
      <c r="K581" s="29" t="s">
        <v>2148</v>
      </c>
      <c r="L581" t="s">
        <v>40</v>
      </c>
      <c r="M581" s="16" t="s">
        <v>2098</v>
      </c>
      <c r="N581" s="3" t="str">
        <f t="shared" ref="N581" si="12">IF(L581="New","1  Year",IF(L581="Promotional","15 Weeks",IF(L581="Revalidation","2 Years","")))</f>
        <v>1  Year</v>
      </c>
      <c r="O581" t="s">
        <v>202</v>
      </c>
      <c r="P581" t="s">
        <v>2099</v>
      </c>
      <c r="Q581">
        <v>2026</v>
      </c>
      <c r="R581" s="29" t="s">
        <v>1981</v>
      </c>
      <c r="S581" s="29" t="s">
        <v>45</v>
      </c>
      <c r="T581" s="4" t="s">
        <v>2149</v>
      </c>
      <c r="Y581" t="s">
        <v>47</v>
      </c>
    </row>
    <row r="582" spans="2:29" ht="43.2">
      <c r="B582" t="s">
        <v>2150</v>
      </c>
      <c r="C582" s="22" t="s">
        <v>2151</v>
      </c>
      <c r="D582" s="52" t="s">
        <v>2152</v>
      </c>
      <c r="E582" t="s">
        <v>33</v>
      </c>
      <c r="F582" s="70" t="s">
        <v>2153</v>
      </c>
      <c r="G582" s="48" t="s">
        <v>2154</v>
      </c>
      <c r="H582" s="5" t="s">
        <v>2155</v>
      </c>
      <c r="I582" s="116" t="s">
        <v>2156</v>
      </c>
      <c r="J582" s="29" t="s">
        <v>48</v>
      </c>
      <c r="K582" s="29" t="s">
        <v>2157</v>
      </c>
      <c r="L582" t="s">
        <v>40</v>
      </c>
      <c r="M582" s="16" t="s">
        <v>2098</v>
      </c>
      <c r="N582" s="3" t="str">
        <f t="shared" si="10"/>
        <v>1  Year</v>
      </c>
      <c r="O582" t="s">
        <v>42</v>
      </c>
      <c r="P582" t="s">
        <v>2099</v>
      </c>
      <c r="Q582">
        <v>2026</v>
      </c>
      <c r="R582" s="29" t="s">
        <v>44</v>
      </c>
      <c r="S582" s="29" t="s">
        <v>45</v>
      </c>
      <c r="T582" s="4" t="s">
        <v>2158</v>
      </c>
      <c r="Y582" t="s">
        <v>47</v>
      </c>
    </row>
    <row r="583" spans="2:29" ht="43.2">
      <c r="B583" t="s">
        <v>2150</v>
      </c>
      <c r="C583" s="22" t="s">
        <v>2151</v>
      </c>
      <c r="D583" s="52" t="s">
        <v>2152</v>
      </c>
      <c r="E583" t="s">
        <v>33</v>
      </c>
      <c r="F583" s="70" t="s">
        <v>2153</v>
      </c>
      <c r="G583" s="48" t="s">
        <v>2154</v>
      </c>
      <c r="H583" s="5" t="s">
        <v>2155</v>
      </c>
      <c r="I583" s="116" t="s">
        <v>2156</v>
      </c>
      <c r="J583" s="29" t="s">
        <v>145</v>
      </c>
      <c r="K583" s="29" t="s">
        <v>2157</v>
      </c>
      <c r="L583" t="s">
        <v>40</v>
      </c>
      <c r="M583" s="16" t="s">
        <v>2098</v>
      </c>
      <c r="N583" s="3" t="str">
        <f t="shared" ref="N583:N585" si="13">IF(L583="New","1  Year",IF(L583="Promotional","15 Weeks",IF(L583="Revalidation","2 Years","")))</f>
        <v>1  Year</v>
      </c>
      <c r="O583" t="s">
        <v>42</v>
      </c>
      <c r="P583" t="s">
        <v>2099</v>
      </c>
      <c r="Q583">
        <v>2026</v>
      </c>
      <c r="R583" s="29" t="s">
        <v>44</v>
      </c>
      <c r="S583" s="29" t="s">
        <v>45</v>
      </c>
      <c r="T583" s="4" t="s">
        <v>2158</v>
      </c>
      <c r="Y583" t="s">
        <v>47</v>
      </c>
    </row>
    <row r="584" spans="2:29" ht="43.2">
      <c r="B584" s="17" t="s">
        <v>2159</v>
      </c>
      <c r="C584" s="22" t="s">
        <v>2160</v>
      </c>
      <c r="D584" s="52" t="s">
        <v>288</v>
      </c>
      <c r="E584" t="s">
        <v>33</v>
      </c>
      <c r="F584" s="70" t="s">
        <v>2153</v>
      </c>
      <c r="G584" s="48" t="s">
        <v>2154</v>
      </c>
      <c r="H584" s="5" t="s">
        <v>2155</v>
      </c>
      <c r="I584" s="116" t="s">
        <v>2156</v>
      </c>
      <c r="J584" s="29" t="s">
        <v>48</v>
      </c>
      <c r="K584" s="29" t="s">
        <v>2157</v>
      </c>
      <c r="L584" t="s">
        <v>40</v>
      </c>
      <c r="M584" s="16" t="s">
        <v>2098</v>
      </c>
      <c r="N584" s="3" t="str">
        <f t="shared" si="13"/>
        <v>1  Year</v>
      </c>
      <c r="O584" t="s">
        <v>42</v>
      </c>
      <c r="P584" t="s">
        <v>2099</v>
      </c>
      <c r="Q584">
        <v>2026</v>
      </c>
      <c r="R584" s="29" t="s">
        <v>44</v>
      </c>
      <c r="S584" s="29" t="s">
        <v>45</v>
      </c>
      <c r="T584" s="4" t="s">
        <v>2158</v>
      </c>
    </row>
    <row r="585" spans="2:29" ht="43.2">
      <c r="B585" s="17" t="s">
        <v>2159</v>
      </c>
      <c r="C585" s="22" t="s">
        <v>2160</v>
      </c>
      <c r="D585" s="52" t="s">
        <v>288</v>
      </c>
      <c r="E585" t="s">
        <v>33</v>
      </c>
      <c r="F585" s="70" t="s">
        <v>2153</v>
      </c>
      <c r="G585" s="48" t="s">
        <v>2154</v>
      </c>
      <c r="H585" s="5" t="s">
        <v>2155</v>
      </c>
      <c r="I585" s="116" t="s">
        <v>2156</v>
      </c>
      <c r="J585" s="29" t="s">
        <v>145</v>
      </c>
      <c r="K585" s="29" t="s">
        <v>2157</v>
      </c>
      <c r="L585" t="s">
        <v>40</v>
      </c>
      <c r="M585" s="16" t="s">
        <v>2098</v>
      </c>
      <c r="N585" s="3" t="str">
        <f t="shared" si="13"/>
        <v>1  Year</v>
      </c>
      <c r="O585" t="s">
        <v>42</v>
      </c>
      <c r="P585" t="s">
        <v>2099</v>
      </c>
      <c r="Q585">
        <v>2026</v>
      </c>
      <c r="R585" s="29" t="s">
        <v>44</v>
      </c>
      <c r="S585" s="29" t="s">
        <v>45</v>
      </c>
      <c r="T585" s="4" t="s">
        <v>2158</v>
      </c>
      <c r="U585" t="s">
        <v>2161</v>
      </c>
      <c r="W585" t="s">
        <v>2162</v>
      </c>
      <c r="X585" t="s">
        <v>2163</v>
      </c>
      <c r="Y585" s="79" t="s">
        <v>103</v>
      </c>
      <c r="AB585" t="s">
        <v>105</v>
      </c>
      <c r="AC585" t="s">
        <v>815</v>
      </c>
    </row>
    <row r="586" spans="2:29" ht="43.2">
      <c r="B586" s="17" t="s">
        <v>2164</v>
      </c>
      <c r="C586" s="22" t="s">
        <v>2165</v>
      </c>
      <c r="D586" s="52" t="s">
        <v>2166</v>
      </c>
      <c r="E586" t="s">
        <v>52</v>
      </c>
      <c r="F586" s="70" t="s">
        <v>1937</v>
      </c>
      <c r="G586" s="48" t="s">
        <v>2167</v>
      </c>
      <c r="H586" s="5" t="s">
        <v>2168</v>
      </c>
      <c r="I586" s="116" t="s">
        <v>2169</v>
      </c>
      <c r="J586" s="29" t="s">
        <v>800</v>
      </c>
      <c r="K586" s="29" t="s">
        <v>2170</v>
      </c>
      <c r="L586" t="s">
        <v>40</v>
      </c>
      <c r="M586" s="16" t="s">
        <v>2098</v>
      </c>
      <c r="N586" s="3" t="str">
        <f t="shared" si="10"/>
        <v>1  Year</v>
      </c>
      <c r="O586" t="s">
        <v>42</v>
      </c>
      <c r="P586" t="s">
        <v>2099</v>
      </c>
      <c r="Q586">
        <v>2026</v>
      </c>
      <c r="R586" s="29" t="s">
        <v>44</v>
      </c>
      <c r="S586" s="29" t="s">
        <v>45</v>
      </c>
      <c r="T586" s="4" t="s">
        <v>2171</v>
      </c>
      <c r="Y586" t="s">
        <v>47</v>
      </c>
    </row>
    <row r="587" spans="2:29" ht="43.2">
      <c r="B587" s="17" t="s">
        <v>2164</v>
      </c>
      <c r="C587" s="22" t="s">
        <v>2165</v>
      </c>
      <c r="D587" s="52" t="s">
        <v>2166</v>
      </c>
      <c r="E587" t="s">
        <v>52</v>
      </c>
      <c r="F587" s="70" t="s">
        <v>1937</v>
      </c>
      <c r="G587" s="48" t="s">
        <v>2167</v>
      </c>
      <c r="H587" s="5" t="s">
        <v>2168</v>
      </c>
      <c r="I587" s="116" t="s">
        <v>2172</v>
      </c>
      <c r="J587" s="29" t="s">
        <v>38</v>
      </c>
      <c r="K587" s="29" t="s">
        <v>2170</v>
      </c>
      <c r="L587" t="s">
        <v>40</v>
      </c>
      <c r="M587" s="16" t="s">
        <v>2098</v>
      </c>
      <c r="N587" s="3" t="str">
        <f t="shared" si="10"/>
        <v>1  Year</v>
      </c>
      <c r="O587" t="s">
        <v>42</v>
      </c>
      <c r="P587" t="s">
        <v>2099</v>
      </c>
      <c r="Q587">
        <v>2026</v>
      </c>
      <c r="R587" s="29" t="s">
        <v>44</v>
      </c>
      <c r="S587" s="29" t="s">
        <v>45</v>
      </c>
      <c r="T587" s="4" t="s">
        <v>2171</v>
      </c>
      <c r="Y587" t="s">
        <v>47</v>
      </c>
    </row>
    <row r="588" spans="2:29" ht="43.2">
      <c r="B588" s="17" t="s">
        <v>2164</v>
      </c>
      <c r="C588" s="22" t="s">
        <v>2165</v>
      </c>
      <c r="D588" s="52" t="s">
        <v>2166</v>
      </c>
      <c r="E588" t="s">
        <v>52</v>
      </c>
      <c r="F588" s="70" t="s">
        <v>1937</v>
      </c>
      <c r="G588" s="48" t="s">
        <v>2167</v>
      </c>
      <c r="H588" s="5" t="s">
        <v>2168</v>
      </c>
      <c r="I588" s="116" t="s">
        <v>2172</v>
      </c>
      <c r="J588" s="6" t="s">
        <v>271</v>
      </c>
      <c r="K588" s="29" t="s">
        <v>2170</v>
      </c>
      <c r="L588" t="s">
        <v>40</v>
      </c>
      <c r="M588" s="16" t="s">
        <v>2098</v>
      </c>
      <c r="N588" s="3" t="str">
        <f t="shared" ref="N588" si="14">IF(L588="New","1  Year",IF(L588="Promotional","15 Weeks",IF(L588="Revalidation","2 Years","")))</f>
        <v>1  Year</v>
      </c>
      <c r="O588" t="s">
        <v>42</v>
      </c>
      <c r="P588" t="s">
        <v>2099</v>
      </c>
      <c r="Q588">
        <v>2026</v>
      </c>
      <c r="R588" s="29" t="s">
        <v>44</v>
      </c>
      <c r="S588" s="29" t="s">
        <v>45</v>
      </c>
      <c r="T588" s="4" t="s">
        <v>2171</v>
      </c>
      <c r="Y588" t="s">
        <v>47</v>
      </c>
    </row>
    <row r="589" spans="2:29" ht="42">
      <c r="B589" s="17" t="s">
        <v>2173</v>
      </c>
      <c r="C589" s="22" t="s">
        <v>2174</v>
      </c>
      <c r="D589" s="52" t="s">
        <v>2175</v>
      </c>
      <c r="E589" t="s">
        <v>52</v>
      </c>
      <c r="F589" s="70" t="s">
        <v>1937</v>
      </c>
      <c r="G589" s="48" t="s">
        <v>2167</v>
      </c>
      <c r="H589" s="5" t="s">
        <v>2168</v>
      </c>
      <c r="I589" s="116" t="s">
        <v>2172</v>
      </c>
      <c r="J589" s="29" t="s">
        <v>800</v>
      </c>
      <c r="K589" s="29" t="s">
        <v>2176</v>
      </c>
      <c r="L589" t="s">
        <v>40</v>
      </c>
      <c r="M589" s="16" t="s">
        <v>2098</v>
      </c>
      <c r="N589" s="3" t="str">
        <f t="shared" ref="N589:N593" si="15">IF(L589="New","1  Year",IF(L589="Promotional","15 Weeks",IF(L589="Revalidation","2 Years","")))</f>
        <v>1  Year</v>
      </c>
      <c r="O589" t="s">
        <v>42</v>
      </c>
      <c r="P589" t="s">
        <v>2099</v>
      </c>
      <c r="Q589">
        <v>2026</v>
      </c>
      <c r="R589" s="29" t="s">
        <v>44</v>
      </c>
      <c r="S589" s="29" t="s">
        <v>45</v>
      </c>
      <c r="T589" s="4" t="s">
        <v>2177</v>
      </c>
      <c r="Y589" t="s">
        <v>47</v>
      </c>
    </row>
    <row r="590" spans="2:29" ht="42">
      <c r="B590" s="17" t="s">
        <v>2173</v>
      </c>
      <c r="C590" s="22" t="s">
        <v>2174</v>
      </c>
      <c r="D590" s="52" t="s">
        <v>2175</v>
      </c>
      <c r="E590" t="s">
        <v>52</v>
      </c>
      <c r="F590" s="70" t="s">
        <v>1937</v>
      </c>
      <c r="G590" s="48" t="s">
        <v>2167</v>
      </c>
      <c r="H590" s="5" t="s">
        <v>2168</v>
      </c>
      <c r="I590" s="116" t="s">
        <v>2172</v>
      </c>
      <c r="J590" s="29" t="s">
        <v>38</v>
      </c>
      <c r="K590" s="29" t="s">
        <v>2176</v>
      </c>
      <c r="L590" t="s">
        <v>40</v>
      </c>
      <c r="M590" s="16" t="s">
        <v>2098</v>
      </c>
      <c r="N590" s="3" t="str">
        <f t="shared" si="15"/>
        <v>1  Year</v>
      </c>
      <c r="O590" t="s">
        <v>42</v>
      </c>
      <c r="P590" t="s">
        <v>2099</v>
      </c>
      <c r="Q590">
        <v>2026</v>
      </c>
      <c r="R590" s="29" t="s">
        <v>44</v>
      </c>
      <c r="S590" s="29" t="s">
        <v>45</v>
      </c>
      <c r="T590" s="4" t="s">
        <v>2177</v>
      </c>
      <c r="Y590" t="s">
        <v>47</v>
      </c>
    </row>
    <row r="591" spans="2:29" ht="42">
      <c r="B591" s="17" t="s">
        <v>2173</v>
      </c>
      <c r="C591" s="22" t="s">
        <v>2174</v>
      </c>
      <c r="D591" s="52" t="s">
        <v>2175</v>
      </c>
      <c r="E591" t="s">
        <v>52</v>
      </c>
      <c r="F591" s="70" t="s">
        <v>1937</v>
      </c>
      <c r="G591" s="48" t="s">
        <v>2167</v>
      </c>
      <c r="H591" s="5" t="s">
        <v>2168</v>
      </c>
      <c r="I591" s="116" t="s">
        <v>2172</v>
      </c>
      <c r="J591" s="10" t="s">
        <v>271</v>
      </c>
      <c r="K591" s="29" t="s">
        <v>2176</v>
      </c>
      <c r="L591" t="s">
        <v>40</v>
      </c>
      <c r="M591" s="16" t="s">
        <v>2098</v>
      </c>
      <c r="N591" s="3" t="str">
        <f t="shared" ref="N591" si="16">IF(L591="New","1  Year",IF(L591="Promotional","15 Weeks",IF(L591="Revalidation","2 Years","")))</f>
        <v>1  Year</v>
      </c>
      <c r="O591" t="s">
        <v>42</v>
      </c>
      <c r="P591" t="s">
        <v>2099</v>
      </c>
      <c r="Q591">
        <v>2026</v>
      </c>
      <c r="R591" s="29" t="s">
        <v>44</v>
      </c>
      <c r="S591" s="29" t="s">
        <v>45</v>
      </c>
      <c r="T591" s="4" t="s">
        <v>2177</v>
      </c>
      <c r="Y591" t="s">
        <v>47</v>
      </c>
    </row>
    <row r="592" spans="2:29" ht="42">
      <c r="B592" s="17" t="s">
        <v>2178</v>
      </c>
      <c r="C592" s="22" t="s">
        <v>2179</v>
      </c>
      <c r="D592" s="52" t="s">
        <v>2180</v>
      </c>
      <c r="E592" t="s">
        <v>52</v>
      </c>
      <c r="F592" s="70" t="s">
        <v>1937</v>
      </c>
      <c r="G592" s="48" t="s">
        <v>2167</v>
      </c>
      <c r="H592" s="5" t="s">
        <v>2168</v>
      </c>
      <c r="I592" s="116" t="s">
        <v>2172</v>
      </c>
      <c r="J592" s="29" t="s">
        <v>800</v>
      </c>
      <c r="K592" s="29" t="s">
        <v>2176</v>
      </c>
      <c r="L592" t="s">
        <v>40</v>
      </c>
      <c r="M592" s="16" t="s">
        <v>2098</v>
      </c>
      <c r="N592" s="3" t="str">
        <f t="shared" si="15"/>
        <v>1  Year</v>
      </c>
      <c r="O592" t="s">
        <v>42</v>
      </c>
      <c r="P592" t="s">
        <v>2099</v>
      </c>
      <c r="Q592">
        <v>2026</v>
      </c>
      <c r="R592" s="29" t="s">
        <v>44</v>
      </c>
      <c r="S592" s="29" t="s">
        <v>45</v>
      </c>
      <c r="T592" s="4" t="s">
        <v>2177</v>
      </c>
      <c r="Y592" t="s">
        <v>47</v>
      </c>
    </row>
    <row r="593" spans="2:25" ht="42">
      <c r="B593" s="17" t="s">
        <v>2178</v>
      </c>
      <c r="C593" s="22" t="s">
        <v>2179</v>
      </c>
      <c r="D593" s="52" t="s">
        <v>2180</v>
      </c>
      <c r="E593" t="s">
        <v>52</v>
      </c>
      <c r="F593" s="70" t="s">
        <v>1937</v>
      </c>
      <c r="G593" s="48" t="s">
        <v>2167</v>
      </c>
      <c r="H593" s="5" t="s">
        <v>2168</v>
      </c>
      <c r="I593" s="116" t="s">
        <v>2172</v>
      </c>
      <c r="J593" s="29" t="s">
        <v>38</v>
      </c>
      <c r="K593" s="29" t="s">
        <v>2176</v>
      </c>
      <c r="L593" t="s">
        <v>40</v>
      </c>
      <c r="M593" s="16" t="s">
        <v>2098</v>
      </c>
      <c r="N593" s="3" t="str">
        <f t="shared" si="15"/>
        <v>1  Year</v>
      </c>
      <c r="O593" t="s">
        <v>42</v>
      </c>
      <c r="P593" t="s">
        <v>2099</v>
      </c>
      <c r="Q593">
        <v>2026</v>
      </c>
      <c r="R593" s="29" t="s">
        <v>44</v>
      </c>
      <c r="S593" s="29" t="s">
        <v>45</v>
      </c>
      <c r="T593" s="4" t="s">
        <v>2177</v>
      </c>
      <c r="Y593" t="s">
        <v>47</v>
      </c>
    </row>
    <row r="594" spans="2:25" ht="42">
      <c r="B594" s="17" t="s">
        <v>2178</v>
      </c>
      <c r="C594" s="22" t="s">
        <v>2179</v>
      </c>
      <c r="D594" s="52" t="s">
        <v>2180</v>
      </c>
      <c r="E594" t="s">
        <v>52</v>
      </c>
      <c r="F594" s="70" t="s">
        <v>1937</v>
      </c>
      <c r="G594" s="48" t="s">
        <v>2167</v>
      </c>
      <c r="H594" s="5" t="s">
        <v>2168</v>
      </c>
      <c r="I594" s="116" t="s">
        <v>2172</v>
      </c>
      <c r="J594" s="10" t="s">
        <v>271</v>
      </c>
      <c r="K594" s="29" t="s">
        <v>2176</v>
      </c>
      <c r="L594" t="s">
        <v>40</v>
      </c>
      <c r="M594" s="16" t="s">
        <v>2098</v>
      </c>
      <c r="N594" s="3" t="str">
        <f t="shared" ref="N594" si="17">IF(L594="New","1  Year",IF(L594="Promotional","15 Weeks",IF(L594="Revalidation","2 Years","")))</f>
        <v>1  Year</v>
      </c>
      <c r="O594" t="s">
        <v>42</v>
      </c>
      <c r="P594" t="s">
        <v>2099</v>
      </c>
      <c r="Q594">
        <v>2026</v>
      </c>
      <c r="R594" s="29" t="s">
        <v>44</v>
      </c>
      <c r="S594" s="29" t="s">
        <v>45</v>
      </c>
      <c r="T594" s="4" t="s">
        <v>2177</v>
      </c>
      <c r="Y594" t="s">
        <v>47</v>
      </c>
    </row>
    <row r="595" spans="2:25" ht="42">
      <c r="B595" s="17" t="s">
        <v>2181</v>
      </c>
      <c r="C595" s="22" t="s">
        <v>2182</v>
      </c>
      <c r="D595" s="52" t="s">
        <v>933</v>
      </c>
      <c r="E595" t="s">
        <v>52</v>
      </c>
      <c r="F595" s="70" t="s">
        <v>1937</v>
      </c>
      <c r="G595" s="48" t="s">
        <v>2167</v>
      </c>
      <c r="H595" s="5" t="s">
        <v>2168</v>
      </c>
      <c r="I595" s="116" t="s">
        <v>2172</v>
      </c>
      <c r="J595" s="29" t="s">
        <v>800</v>
      </c>
      <c r="K595" s="29" t="s">
        <v>2183</v>
      </c>
      <c r="L595" t="s">
        <v>40</v>
      </c>
      <c r="M595" s="16" t="s">
        <v>2098</v>
      </c>
      <c r="N595" s="3" t="str">
        <f t="shared" ref="N595:N607" si="18">IF(L595="New","1  Year",IF(L595="Promotional","15 Weeks",IF(L595="Revalidation","2 Years","")))</f>
        <v>1  Year</v>
      </c>
      <c r="O595" t="s">
        <v>42</v>
      </c>
      <c r="P595" t="s">
        <v>2099</v>
      </c>
      <c r="Q595">
        <v>2026</v>
      </c>
      <c r="R595" s="29" t="s">
        <v>44</v>
      </c>
      <c r="S595" s="29" t="s">
        <v>45</v>
      </c>
      <c r="T595" s="4" t="s">
        <v>2184</v>
      </c>
      <c r="Y595" t="s">
        <v>47</v>
      </c>
    </row>
    <row r="596" spans="2:25" ht="42">
      <c r="B596" s="17" t="s">
        <v>2181</v>
      </c>
      <c r="C596" s="22" t="s">
        <v>2182</v>
      </c>
      <c r="D596" s="52" t="s">
        <v>933</v>
      </c>
      <c r="E596" t="s">
        <v>52</v>
      </c>
      <c r="F596" s="70" t="s">
        <v>1937</v>
      </c>
      <c r="G596" s="48" t="s">
        <v>2167</v>
      </c>
      <c r="H596" s="5" t="s">
        <v>2168</v>
      </c>
      <c r="I596" s="116" t="s">
        <v>2172</v>
      </c>
      <c r="J596" s="29" t="s">
        <v>38</v>
      </c>
      <c r="K596" s="29" t="s">
        <v>2183</v>
      </c>
      <c r="L596" t="s">
        <v>40</v>
      </c>
      <c r="M596" s="16" t="s">
        <v>2098</v>
      </c>
      <c r="N596" s="3" t="str">
        <f t="shared" ref="N596:N597" si="19">IF(L596="New","1  Year",IF(L596="Promotional","15 Weeks",IF(L596="Revalidation","2 Years","")))</f>
        <v>1  Year</v>
      </c>
      <c r="O596" t="s">
        <v>42</v>
      </c>
      <c r="P596" t="s">
        <v>2099</v>
      </c>
      <c r="Q596">
        <v>2026</v>
      </c>
      <c r="R596" s="29" t="s">
        <v>44</v>
      </c>
      <c r="S596" s="29" t="s">
        <v>45</v>
      </c>
      <c r="T596" s="4" t="s">
        <v>2184</v>
      </c>
      <c r="Y596" t="s">
        <v>47</v>
      </c>
    </row>
    <row r="597" spans="2:25" ht="42">
      <c r="B597" s="17" t="s">
        <v>2181</v>
      </c>
      <c r="C597" s="22" t="s">
        <v>2182</v>
      </c>
      <c r="D597" s="52" t="s">
        <v>933</v>
      </c>
      <c r="E597" t="s">
        <v>52</v>
      </c>
      <c r="F597" s="70" t="s">
        <v>1937</v>
      </c>
      <c r="G597" s="48" t="s">
        <v>2167</v>
      </c>
      <c r="H597" s="5" t="s">
        <v>2168</v>
      </c>
      <c r="I597" s="116" t="s">
        <v>2172</v>
      </c>
      <c r="J597" s="10" t="s">
        <v>271</v>
      </c>
      <c r="K597" s="29" t="s">
        <v>2183</v>
      </c>
      <c r="L597" t="s">
        <v>40</v>
      </c>
      <c r="M597" s="16" t="s">
        <v>2098</v>
      </c>
      <c r="N597" s="3" t="str">
        <f t="shared" si="19"/>
        <v>1  Year</v>
      </c>
      <c r="O597" t="s">
        <v>42</v>
      </c>
      <c r="P597" t="s">
        <v>2099</v>
      </c>
      <c r="Q597">
        <v>2026</v>
      </c>
      <c r="R597" s="29" t="s">
        <v>44</v>
      </c>
      <c r="S597" s="29" t="s">
        <v>45</v>
      </c>
      <c r="T597" s="4" t="s">
        <v>2184</v>
      </c>
      <c r="Y597" t="s">
        <v>47</v>
      </c>
    </row>
    <row r="598" spans="2:25" ht="42">
      <c r="B598" s="17" t="s">
        <v>2185</v>
      </c>
      <c r="C598" s="22" t="s">
        <v>2186</v>
      </c>
      <c r="D598" s="52" t="s">
        <v>2187</v>
      </c>
      <c r="E598" t="s">
        <v>33</v>
      </c>
      <c r="F598" s="70" t="s">
        <v>1937</v>
      </c>
      <c r="G598" s="48" t="s">
        <v>2167</v>
      </c>
      <c r="H598" s="5" t="s">
        <v>2168</v>
      </c>
      <c r="I598" s="116" t="s">
        <v>2172</v>
      </c>
      <c r="J598" s="29" t="s">
        <v>159</v>
      </c>
      <c r="K598" s="29" t="s">
        <v>2188</v>
      </c>
      <c r="L598" t="s">
        <v>40</v>
      </c>
      <c r="M598" s="16" t="s">
        <v>2098</v>
      </c>
      <c r="N598" s="3" t="str">
        <f t="shared" ref="N598:N600" si="20">IF(L598="New","1  Year",IF(L598="Promotional","15 Weeks",IF(L598="Revalidation","2 Years","")))</f>
        <v>1  Year</v>
      </c>
      <c r="O598" t="s">
        <v>42</v>
      </c>
      <c r="P598" t="s">
        <v>2099</v>
      </c>
      <c r="Q598">
        <v>2026</v>
      </c>
      <c r="R598" s="29" t="s">
        <v>44</v>
      </c>
      <c r="S598" s="29" t="s">
        <v>45</v>
      </c>
      <c r="T598" s="4" t="s">
        <v>2189</v>
      </c>
      <c r="Y598" t="s">
        <v>47</v>
      </c>
    </row>
    <row r="599" spans="2:25" ht="42">
      <c r="B599" s="17" t="s">
        <v>2185</v>
      </c>
      <c r="C599" s="22" t="s">
        <v>2186</v>
      </c>
      <c r="D599" s="52" t="s">
        <v>2187</v>
      </c>
      <c r="E599" t="s">
        <v>33</v>
      </c>
      <c r="F599" s="70" t="s">
        <v>1937</v>
      </c>
      <c r="G599" s="48" t="s">
        <v>2167</v>
      </c>
      <c r="H599" s="5" t="s">
        <v>2168</v>
      </c>
      <c r="I599" s="116" t="s">
        <v>2172</v>
      </c>
      <c r="J599" s="29" t="s">
        <v>57</v>
      </c>
      <c r="K599" s="29" t="s">
        <v>2188</v>
      </c>
      <c r="L599" t="s">
        <v>40</v>
      </c>
      <c r="M599" s="16" t="s">
        <v>2098</v>
      </c>
      <c r="N599" s="3" t="str">
        <f t="shared" si="20"/>
        <v>1  Year</v>
      </c>
      <c r="O599" t="s">
        <v>42</v>
      </c>
      <c r="P599" t="s">
        <v>2099</v>
      </c>
      <c r="Q599">
        <v>2026</v>
      </c>
      <c r="R599" s="29" t="s">
        <v>44</v>
      </c>
      <c r="S599" s="29" t="s">
        <v>45</v>
      </c>
      <c r="T599" s="4" t="s">
        <v>2189</v>
      </c>
      <c r="Y599" t="s">
        <v>47</v>
      </c>
    </row>
    <row r="600" spans="2:25" ht="42">
      <c r="B600" s="17" t="s">
        <v>2185</v>
      </c>
      <c r="C600" s="22" t="s">
        <v>2186</v>
      </c>
      <c r="D600" s="52" t="s">
        <v>2187</v>
      </c>
      <c r="E600" t="s">
        <v>33</v>
      </c>
      <c r="F600" s="70" t="s">
        <v>1937</v>
      </c>
      <c r="G600" s="48" t="s">
        <v>2167</v>
      </c>
      <c r="H600" s="5" t="s">
        <v>2168</v>
      </c>
      <c r="I600" s="116" t="s">
        <v>2172</v>
      </c>
      <c r="J600" s="29" t="s">
        <v>48</v>
      </c>
      <c r="K600" s="29" t="s">
        <v>2188</v>
      </c>
      <c r="L600" t="s">
        <v>40</v>
      </c>
      <c r="M600" s="16" t="s">
        <v>2098</v>
      </c>
      <c r="N600" s="3" t="str">
        <f t="shared" si="20"/>
        <v>1  Year</v>
      </c>
      <c r="O600" t="s">
        <v>42</v>
      </c>
      <c r="P600" t="s">
        <v>2099</v>
      </c>
      <c r="Q600">
        <v>2026</v>
      </c>
      <c r="R600" s="29" t="s">
        <v>44</v>
      </c>
      <c r="S600" s="29" t="s">
        <v>45</v>
      </c>
      <c r="T600" s="4" t="s">
        <v>2189</v>
      </c>
      <c r="Y600" t="s">
        <v>47</v>
      </c>
    </row>
    <row r="601" spans="2:25" ht="42">
      <c r="B601" s="17" t="s">
        <v>2190</v>
      </c>
      <c r="C601" s="22" t="s">
        <v>2191</v>
      </c>
      <c r="D601" s="52" t="s">
        <v>2192</v>
      </c>
      <c r="E601" t="s">
        <v>33</v>
      </c>
      <c r="F601" s="70" t="s">
        <v>1937</v>
      </c>
      <c r="G601" s="48" t="s">
        <v>2167</v>
      </c>
      <c r="H601" s="5" t="s">
        <v>2168</v>
      </c>
      <c r="I601" s="116" t="s">
        <v>2172</v>
      </c>
      <c r="J601" s="29" t="s">
        <v>159</v>
      </c>
      <c r="K601" s="29" t="s">
        <v>2193</v>
      </c>
      <c r="L601" t="s">
        <v>40</v>
      </c>
      <c r="M601" s="16" t="s">
        <v>2194</v>
      </c>
      <c r="N601" s="3" t="str">
        <f t="shared" si="18"/>
        <v>1  Year</v>
      </c>
      <c r="O601" t="s">
        <v>42</v>
      </c>
      <c r="P601" t="s">
        <v>2099</v>
      </c>
      <c r="Q601">
        <v>2026</v>
      </c>
      <c r="R601" s="29" t="s">
        <v>44</v>
      </c>
      <c r="S601" s="29" t="s">
        <v>45</v>
      </c>
      <c r="T601" s="4" t="s">
        <v>2195</v>
      </c>
      <c r="Y601" t="s">
        <v>47</v>
      </c>
    </row>
    <row r="602" spans="2:25" ht="42">
      <c r="B602" s="17" t="s">
        <v>2190</v>
      </c>
      <c r="C602" s="22" t="s">
        <v>2191</v>
      </c>
      <c r="D602" s="52" t="s">
        <v>2192</v>
      </c>
      <c r="E602" t="s">
        <v>33</v>
      </c>
      <c r="F602" s="70" t="s">
        <v>1937</v>
      </c>
      <c r="G602" s="48" t="s">
        <v>2167</v>
      </c>
      <c r="H602" s="5" t="s">
        <v>2168</v>
      </c>
      <c r="I602" s="116" t="s">
        <v>2172</v>
      </c>
      <c r="J602" s="29" t="s">
        <v>57</v>
      </c>
      <c r="K602" s="29" t="s">
        <v>2193</v>
      </c>
      <c r="L602" t="s">
        <v>40</v>
      </c>
      <c r="M602" s="16" t="s">
        <v>2194</v>
      </c>
      <c r="N602" s="3" t="str">
        <f t="shared" ref="N602:N603" si="21">IF(L602="New","1  Year",IF(L602="Promotional","15 Weeks",IF(L602="Revalidation","2 Years","")))</f>
        <v>1  Year</v>
      </c>
      <c r="O602" t="s">
        <v>42</v>
      </c>
      <c r="P602" t="s">
        <v>2099</v>
      </c>
      <c r="Q602">
        <v>2026</v>
      </c>
      <c r="R602" s="29" t="s">
        <v>44</v>
      </c>
      <c r="S602" s="29" t="s">
        <v>45</v>
      </c>
      <c r="T602" s="4" t="s">
        <v>2195</v>
      </c>
      <c r="Y602" t="s">
        <v>47</v>
      </c>
    </row>
    <row r="603" spans="2:25" ht="42">
      <c r="B603" s="17" t="s">
        <v>2190</v>
      </c>
      <c r="C603" s="22" t="s">
        <v>2191</v>
      </c>
      <c r="D603" s="52" t="s">
        <v>2192</v>
      </c>
      <c r="E603" t="s">
        <v>33</v>
      </c>
      <c r="F603" s="70" t="s">
        <v>1937</v>
      </c>
      <c r="G603" s="48" t="s">
        <v>2167</v>
      </c>
      <c r="H603" s="5" t="s">
        <v>2168</v>
      </c>
      <c r="I603" s="116" t="s">
        <v>2172</v>
      </c>
      <c r="J603" s="29" t="s">
        <v>48</v>
      </c>
      <c r="K603" s="29" t="s">
        <v>2193</v>
      </c>
      <c r="L603" t="s">
        <v>40</v>
      </c>
      <c r="M603" s="16" t="s">
        <v>2194</v>
      </c>
      <c r="N603" s="3" t="str">
        <f t="shared" si="21"/>
        <v>1  Year</v>
      </c>
      <c r="O603" t="s">
        <v>42</v>
      </c>
      <c r="P603" t="s">
        <v>2099</v>
      </c>
      <c r="Q603">
        <v>2026</v>
      </c>
      <c r="R603" s="29" t="s">
        <v>44</v>
      </c>
      <c r="S603" s="29" t="s">
        <v>45</v>
      </c>
      <c r="T603" s="4" t="s">
        <v>2195</v>
      </c>
      <c r="Y603" t="s">
        <v>47</v>
      </c>
    </row>
    <row r="604" spans="2:25" ht="28.8">
      <c r="B604" s="17" t="s">
        <v>2196</v>
      </c>
      <c r="C604" s="22" t="s">
        <v>2197</v>
      </c>
      <c r="D604" s="52" t="s">
        <v>2198</v>
      </c>
      <c r="E604" t="s">
        <v>182</v>
      </c>
      <c r="F604" s="68" t="s">
        <v>966</v>
      </c>
      <c r="G604" s="48" t="s">
        <v>2147</v>
      </c>
      <c r="H604" s="5" t="s">
        <v>1473</v>
      </c>
      <c r="I604" s="116" t="s">
        <v>529</v>
      </c>
      <c r="J604" s="29" t="s">
        <v>92</v>
      </c>
      <c r="K604" s="29" t="s">
        <v>2199</v>
      </c>
      <c r="L604" t="s">
        <v>40</v>
      </c>
      <c r="M604" s="16" t="s">
        <v>2194</v>
      </c>
      <c r="N604" s="3" t="str">
        <f t="shared" si="18"/>
        <v>1  Year</v>
      </c>
      <c r="O604" t="s">
        <v>202</v>
      </c>
      <c r="P604" t="s">
        <v>2099</v>
      </c>
      <c r="Q604">
        <v>2026</v>
      </c>
      <c r="R604" s="29" t="s">
        <v>1981</v>
      </c>
      <c r="S604" s="29" t="s">
        <v>2200</v>
      </c>
      <c r="T604" s="4" t="s">
        <v>2201</v>
      </c>
      <c r="Y604" t="s">
        <v>47</v>
      </c>
    </row>
    <row r="605" spans="2:25" ht="43.2">
      <c r="B605" s="17" t="s">
        <v>2144</v>
      </c>
      <c r="C605" s="22" t="s">
        <v>2145</v>
      </c>
      <c r="D605" s="52" t="s">
        <v>2146</v>
      </c>
      <c r="E605" t="s">
        <v>182</v>
      </c>
      <c r="F605" s="68" t="s">
        <v>966</v>
      </c>
      <c r="G605" s="48" t="s">
        <v>2147</v>
      </c>
      <c r="H605" s="5" t="s">
        <v>1473</v>
      </c>
      <c r="I605" s="116" t="s">
        <v>529</v>
      </c>
      <c r="J605" s="29" t="s">
        <v>145</v>
      </c>
      <c r="K605" s="29" t="s">
        <v>2202</v>
      </c>
      <c r="L605" t="s">
        <v>40</v>
      </c>
      <c r="M605" s="16" t="s">
        <v>2194</v>
      </c>
      <c r="N605" s="3" t="str">
        <f t="shared" si="18"/>
        <v>1  Year</v>
      </c>
      <c r="O605" t="s">
        <v>202</v>
      </c>
      <c r="P605" t="s">
        <v>2099</v>
      </c>
      <c r="Q605">
        <v>2026</v>
      </c>
      <c r="R605" s="29" t="s">
        <v>1981</v>
      </c>
      <c r="S605" s="29" t="s">
        <v>45</v>
      </c>
      <c r="T605" s="4" t="s">
        <v>2203</v>
      </c>
      <c r="Y605" t="s">
        <v>47</v>
      </c>
    </row>
    <row r="606" spans="2:25" ht="158.4">
      <c r="B606" s="17" t="s">
        <v>2204</v>
      </c>
      <c r="C606" s="22" t="s">
        <v>2205</v>
      </c>
      <c r="D606" s="52" t="s">
        <v>621</v>
      </c>
      <c r="F606" s="70" t="s">
        <v>2206</v>
      </c>
      <c r="G606" s="48" t="s">
        <v>2207</v>
      </c>
      <c r="H606" s="5" t="s">
        <v>2208</v>
      </c>
      <c r="I606" s="116" t="s">
        <v>2209</v>
      </c>
      <c r="J606" s="29" t="s">
        <v>145</v>
      </c>
      <c r="K606" s="38" t="s">
        <v>2210</v>
      </c>
      <c r="L606" t="s">
        <v>40</v>
      </c>
      <c r="M606" s="16" t="s">
        <v>2194</v>
      </c>
      <c r="N606" s="3" t="str">
        <f t="shared" si="18"/>
        <v>1  Year</v>
      </c>
      <c r="O606" t="s">
        <v>42</v>
      </c>
      <c r="P606" t="s">
        <v>2099</v>
      </c>
      <c r="Q606">
        <v>2026</v>
      </c>
      <c r="R606" s="29" t="s">
        <v>44</v>
      </c>
      <c r="S606" s="29" t="s">
        <v>45</v>
      </c>
      <c r="T606" s="4" t="s">
        <v>2211</v>
      </c>
      <c r="Y606" t="s">
        <v>47</v>
      </c>
    </row>
    <row r="607" spans="2:25" ht="57.6">
      <c r="B607" s="17" t="s">
        <v>2212</v>
      </c>
      <c r="C607" s="22" t="s">
        <v>2213</v>
      </c>
      <c r="D607" s="52" t="s">
        <v>341</v>
      </c>
      <c r="E607" t="s">
        <v>33</v>
      </c>
      <c r="F607" s="68" t="s">
        <v>1928</v>
      </c>
      <c r="G607" s="48" t="s">
        <v>2126</v>
      </c>
      <c r="H607" s="5" t="s">
        <v>2127</v>
      </c>
      <c r="I607" s="116" t="s">
        <v>2128</v>
      </c>
      <c r="J607" s="29" t="s">
        <v>57</v>
      </c>
      <c r="K607" s="29" t="s">
        <v>2214</v>
      </c>
      <c r="L607" t="s">
        <v>90</v>
      </c>
      <c r="M607" s="16" t="s">
        <v>2194</v>
      </c>
      <c r="N607" s="3" t="str">
        <f t="shared" si="18"/>
        <v>2 Years</v>
      </c>
      <c r="O607" t="s">
        <v>42</v>
      </c>
      <c r="P607" t="s">
        <v>2099</v>
      </c>
      <c r="Q607">
        <v>2026</v>
      </c>
      <c r="R607" s="29" t="s">
        <v>44</v>
      </c>
      <c r="S607" s="29" t="s">
        <v>2215</v>
      </c>
      <c r="T607" s="4" t="s">
        <v>2216</v>
      </c>
      <c r="Y607" t="s">
        <v>47</v>
      </c>
    </row>
    <row r="608" spans="2:25" ht="57.6">
      <c r="B608" s="17" t="s">
        <v>2212</v>
      </c>
      <c r="C608" s="22" t="s">
        <v>2213</v>
      </c>
      <c r="D608" s="52" t="s">
        <v>341</v>
      </c>
      <c r="E608" t="s">
        <v>33</v>
      </c>
      <c r="F608" s="68" t="s">
        <v>1928</v>
      </c>
      <c r="G608" s="48" t="s">
        <v>2126</v>
      </c>
      <c r="H608" s="5" t="s">
        <v>2127</v>
      </c>
      <c r="I608" s="116" t="s">
        <v>2128</v>
      </c>
      <c r="J608" s="29" t="s">
        <v>38</v>
      </c>
      <c r="K608" s="29" t="s">
        <v>2214</v>
      </c>
      <c r="L608" t="s">
        <v>90</v>
      </c>
      <c r="M608" s="16" t="s">
        <v>2194</v>
      </c>
      <c r="N608" s="3" t="str">
        <f t="shared" ref="N608:N612" si="22">IF(L608="New","1  Year",IF(L608="Promotional","15 Weeks",IF(L608="Revalidation","2 Years","")))</f>
        <v>2 Years</v>
      </c>
      <c r="O608" t="s">
        <v>42</v>
      </c>
      <c r="P608" t="s">
        <v>2099</v>
      </c>
      <c r="Q608">
        <v>2026</v>
      </c>
      <c r="R608" s="29" t="s">
        <v>44</v>
      </c>
      <c r="S608" s="29" t="s">
        <v>2215</v>
      </c>
      <c r="T608" s="4" t="s">
        <v>2216</v>
      </c>
      <c r="Y608" t="s">
        <v>47</v>
      </c>
    </row>
    <row r="609" spans="2:29" ht="57.6">
      <c r="B609" s="17" t="s">
        <v>2212</v>
      </c>
      <c r="C609" s="22" t="s">
        <v>2213</v>
      </c>
      <c r="D609" s="52" t="s">
        <v>341</v>
      </c>
      <c r="E609" t="s">
        <v>33</v>
      </c>
      <c r="F609" s="68" t="s">
        <v>1928</v>
      </c>
      <c r="G609" s="48" t="s">
        <v>2126</v>
      </c>
      <c r="H609" s="5" t="s">
        <v>2127</v>
      </c>
      <c r="I609" s="116" t="s">
        <v>2128</v>
      </c>
      <c r="J609" s="29" t="s">
        <v>145</v>
      </c>
      <c r="K609" s="29" t="s">
        <v>2214</v>
      </c>
      <c r="L609" t="s">
        <v>90</v>
      </c>
      <c r="M609" s="16" t="s">
        <v>2194</v>
      </c>
      <c r="N609" s="3" t="str">
        <f t="shared" si="22"/>
        <v>2 Years</v>
      </c>
      <c r="O609" t="s">
        <v>42</v>
      </c>
      <c r="P609" t="s">
        <v>2099</v>
      </c>
      <c r="Q609">
        <v>2026</v>
      </c>
      <c r="R609" s="29" t="s">
        <v>44</v>
      </c>
      <c r="S609" s="29" t="s">
        <v>2215</v>
      </c>
      <c r="T609" s="4" t="s">
        <v>2216</v>
      </c>
      <c r="U609" t="s">
        <v>162</v>
      </c>
      <c r="W609" t="s">
        <v>2217</v>
      </c>
      <c r="X609" t="s">
        <v>102</v>
      </c>
      <c r="Y609" s="79" t="s">
        <v>103</v>
      </c>
      <c r="Z609" t="s">
        <v>104</v>
      </c>
      <c r="AA609" s="4" t="s">
        <v>2218</v>
      </c>
      <c r="AB609" t="s">
        <v>165</v>
      </c>
      <c r="AC609" s="80">
        <v>46220</v>
      </c>
    </row>
    <row r="610" spans="2:29" ht="57.6">
      <c r="B610" s="17" t="s">
        <v>2212</v>
      </c>
      <c r="C610" s="22" t="s">
        <v>2213</v>
      </c>
      <c r="D610" s="52" t="s">
        <v>341</v>
      </c>
      <c r="E610" t="s">
        <v>33</v>
      </c>
      <c r="F610" s="68" t="s">
        <v>1928</v>
      </c>
      <c r="G610" s="48" t="s">
        <v>2126</v>
      </c>
      <c r="H610" s="5" t="s">
        <v>2127</v>
      </c>
      <c r="I610" s="116" t="s">
        <v>2128</v>
      </c>
      <c r="J610" s="29" t="s">
        <v>88</v>
      </c>
      <c r="K610" s="29" t="s">
        <v>2214</v>
      </c>
      <c r="L610" t="s">
        <v>90</v>
      </c>
      <c r="M610" s="16" t="s">
        <v>2194</v>
      </c>
      <c r="N610" s="3" t="str">
        <f t="shared" si="22"/>
        <v>2 Years</v>
      </c>
      <c r="O610" t="s">
        <v>42</v>
      </c>
      <c r="P610" t="s">
        <v>2099</v>
      </c>
      <c r="Q610">
        <v>2026</v>
      </c>
      <c r="R610" s="29" t="s">
        <v>44</v>
      </c>
      <c r="S610" s="29" t="s">
        <v>2215</v>
      </c>
      <c r="T610" s="4" t="s">
        <v>2216</v>
      </c>
      <c r="Y610" t="s">
        <v>47</v>
      </c>
    </row>
    <row r="611" spans="2:29" ht="57.6">
      <c r="B611" s="17" t="s">
        <v>2212</v>
      </c>
      <c r="C611" s="22" t="s">
        <v>2213</v>
      </c>
      <c r="D611" s="52" t="s">
        <v>341</v>
      </c>
      <c r="E611" t="s">
        <v>33</v>
      </c>
      <c r="F611" s="68" t="s">
        <v>1928</v>
      </c>
      <c r="G611" s="48" t="s">
        <v>2126</v>
      </c>
      <c r="H611" s="5" t="s">
        <v>2127</v>
      </c>
      <c r="I611" s="116" t="s">
        <v>2128</v>
      </c>
      <c r="J611" s="29" t="s">
        <v>92</v>
      </c>
      <c r="K611" s="29" t="s">
        <v>2214</v>
      </c>
      <c r="L611" t="s">
        <v>90</v>
      </c>
      <c r="M611" s="16" t="s">
        <v>2194</v>
      </c>
      <c r="N611" s="3" t="str">
        <f t="shared" si="22"/>
        <v>2 Years</v>
      </c>
      <c r="O611" t="s">
        <v>42</v>
      </c>
      <c r="P611" t="s">
        <v>2099</v>
      </c>
      <c r="Q611">
        <v>2026</v>
      </c>
      <c r="R611" s="29" t="s">
        <v>44</v>
      </c>
      <c r="S611" s="29" t="s">
        <v>2215</v>
      </c>
      <c r="T611" s="4" t="s">
        <v>2216</v>
      </c>
      <c r="Y611" t="s">
        <v>47</v>
      </c>
    </row>
    <row r="612" spans="2:29" ht="57.6">
      <c r="B612" s="17" t="s">
        <v>2212</v>
      </c>
      <c r="C612" s="22" t="s">
        <v>2213</v>
      </c>
      <c r="D612" s="52" t="s">
        <v>341</v>
      </c>
      <c r="E612" t="s">
        <v>33</v>
      </c>
      <c r="F612" s="68" t="s">
        <v>1928</v>
      </c>
      <c r="G612" s="48" t="s">
        <v>2126</v>
      </c>
      <c r="H612" s="5" t="s">
        <v>2127</v>
      </c>
      <c r="I612" s="116" t="s">
        <v>2128</v>
      </c>
      <c r="J612" s="29" t="s">
        <v>159</v>
      </c>
      <c r="K612" s="29" t="s">
        <v>2214</v>
      </c>
      <c r="L612" t="s">
        <v>90</v>
      </c>
      <c r="M612" s="16" t="s">
        <v>2194</v>
      </c>
      <c r="N612" s="3" t="str">
        <f t="shared" si="22"/>
        <v>2 Years</v>
      </c>
      <c r="O612" t="s">
        <v>42</v>
      </c>
      <c r="P612" t="s">
        <v>2099</v>
      </c>
      <c r="Q612">
        <v>2026</v>
      </c>
      <c r="R612" s="29" t="s">
        <v>44</v>
      </c>
      <c r="S612" s="29" t="s">
        <v>2215</v>
      </c>
      <c r="T612" s="4" t="s">
        <v>2216</v>
      </c>
      <c r="Y612" t="s">
        <v>47</v>
      </c>
    </row>
    <row r="613" spans="2:29" ht="57.6">
      <c r="B613" s="17" t="s">
        <v>2219</v>
      </c>
      <c r="C613" s="22" t="s">
        <v>2220</v>
      </c>
      <c r="D613" s="52" t="s">
        <v>2221</v>
      </c>
      <c r="E613" t="s">
        <v>33</v>
      </c>
      <c r="F613" s="68" t="s">
        <v>1928</v>
      </c>
      <c r="G613" s="48" t="s">
        <v>2126</v>
      </c>
      <c r="H613" s="5" t="s">
        <v>2127</v>
      </c>
      <c r="I613" s="116" t="s">
        <v>2128</v>
      </c>
      <c r="J613" s="29" t="s">
        <v>57</v>
      </c>
      <c r="K613" s="29" t="s">
        <v>2214</v>
      </c>
      <c r="L613" t="s">
        <v>90</v>
      </c>
      <c r="M613" s="16" t="s">
        <v>2194</v>
      </c>
      <c r="N613" s="3" t="str">
        <f t="shared" ref="N613:N619" si="23">IF(L613="New","1  Year",IF(L613="Promotional","15 Weeks",IF(L613="Revalidation","2 Years","")))</f>
        <v>2 Years</v>
      </c>
      <c r="O613" t="s">
        <v>42</v>
      </c>
      <c r="P613" t="s">
        <v>2099</v>
      </c>
      <c r="Q613">
        <v>2026</v>
      </c>
      <c r="R613" s="29" t="s">
        <v>44</v>
      </c>
      <c r="S613" s="29" t="s">
        <v>2215</v>
      </c>
      <c r="T613" s="4" t="s">
        <v>2216</v>
      </c>
      <c r="Y613" t="s">
        <v>47</v>
      </c>
    </row>
    <row r="614" spans="2:29" ht="57.6">
      <c r="B614" s="17" t="s">
        <v>2219</v>
      </c>
      <c r="C614" s="22" t="s">
        <v>2220</v>
      </c>
      <c r="D614" s="52" t="s">
        <v>2221</v>
      </c>
      <c r="E614" t="s">
        <v>33</v>
      </c>
      <c r="F614" s="68" t="s">
        <v>1928</v>
      </c>
      <c r="G614" s="48" t="s">
        <v>2126</v>
      </c>
      <c r="H614" s="5" t="s">
        <v>2127</v>
      </c>
      <c r="I614" s="116" t="s">
        <v>2128</v>
      </c>
      <c r="J614" s="29" t="s">
        <v>38</v>
      </c>
      <c r="K614" s="29" t="s">
        <v>2214</v>
      </c>
      <c r="L614" t="s">
        <v>90</v>
      </c>
      <c r="M614" s="16" t="s">
        <v>2194</v>
      </c>
      <c r="N614" s="3" t="str">
        <f t="shared" si="23"/>
        <v>2 Years</v>
      </c>
      <c r="O614" t="s">
        <v>42</v>
      </c>
      <c r="P614" t="s">
        <v>2099</v>
      </c>
      <c r="Q614">
        <v>2026</v>
      </c>
      <c r="R614" s="29" t="s">
        <v>44</v>
      </c>
      <c r="S614" s="29" t="s">
        <v>2215</v>
      </c>
      <c r="T614" s="4" t="s">
        <v>2216</v>
      </c>
      <c r="Y614" t="s">
        <v>47</v>
      </c>
    </row>
    <row r="615" spans="2:29" ht="57.6">
      <c r="B615" s="17" t="s">
        <v>2219</v>
      </c>
      <c r="C615" s="22" t="s">
        <v>2220</v>
      </c>
      <c r="D615" s="52" t="s">
        <v>2221</v>
      </c>
      <c r="E615" t="s">
        <v>33</v>
      </c>
      <c r="F615" s="68" t="s">
        <v>1928</v>
      </c>
      <c r="G615" s="48" t="s">
        <v>2126</v>
      </c>
      <c r="H615" s="5" t="s">
        <v>2127</v>
      </c>
      <c r="I615" s="116" t="s">
        <v>2128</v>
      </c>
      <c r="J615" s="29" t="s">
        <v>145</v>
      </c>
      <c r="K615" s="29" t="s">
        <v>2214</v>
      </c>
      <c r="L615" t="s">
        <v>90</v>
      </c>
      <c r="M615" s="16" t="s">
        <v>2194</v>
      </c>
      <c r="N615" s="3" t="str">
        <f t="shared" si="23"/>
        <v>2 Years</v>
      </c>
      <c r="O615" t="s">
        <v>42</v>
      </c>
      <c r="P615" t="s">
        <v>2099</v>
      </c>
      <c r="Q615">
        <v>2026</v>
      </c>
      <c r="R615" s="29" t="s">
        <v>44</v>
      </c>
      <c r="S615" s="29" t="s">
        <v>2215</v>
      </c>
      <c r="T615" s="4" t="s">
        <v>2216</v>
      </c>
      <c r="U615" t="s">
        <v>162</v>
      </c>
      <c r="W615" t="s">
        <v>2222</v>
      </c>
      <c r="X615" t="s">
        <v>102</v>
      </c>
      <c r="Y615" s="79" t="s">
        <v>103</v>
      </c>
      <c r="Z615" t="s">
        <v>104</v>
      </c>
      <c r="AA615" s="4" t="s">
        <v>2218</v>
      </c>
      <c r="AB615" t="s">
        <v>165</v>
      </c>
      <c r="AC615" s="80">
        <v>46220</v>
      </c>
    </row>
    <row r="616" spans="2:29" ht="57.6">
      <c r="B616" s="17" t="s">
        <v>2219</v>
      </c>
      <c r="C616" s="22" t="s">
        <v>2220</v>
      </c>
      <c r="D616" s="52" t="s">
        <v>2221</v>
      </c>
      <c r="E616" t="s">
        <v>33</v>
      </c>
      <c r="F616" s="68" t="s">
        <v>1928</v>
      </c>
      <c r="G616" s="48" t="s">
        <v>2126</v>
      </c>
      <c r="H616" s="5" t="s">
        <v>2127</v>
      </c>
      <c r="I616" s="116" t="s">
        <v>2128</v>
      </c>
      <c r="J616" s="29" t="s">
        <v>88</v>
      </c>
      <c r="K616" s="29" t="s">
        <v>2214</v>
      </c>
      <c r="L616" t="s">
        <v>90</v>
      </c>
      <c r="M616" s="16" t="s">
        <v>2194</v>
      </c>
      <c r="N616" s="3" t="str">
        <f t="shared" si="23"/>
        <v>2 Years</v>
      </c>
      <c r="O616" t="s">
        <v>42</v>
      </c>
      <c r="P616" t="s">
        <v>2099</v>
      </c>
      <c r="Q616">
        <v>2026</v>
      </c>
      <c r="R616" s="29" t="s">
        <v>44</v>
      </c>
      <c r="S616" s="29" t="s">
        <v>2215</v>
      </c>
      <c r="T616" s="4" t="s">
        <v>2216</v>
      </c>
      <c r="Y616" t="s">
        <v>47</v>
      </c>
    </row>
    <row r="617" spans="2:29" ht="57.6">
      <c r="B617" s="17" t="s">
        <v>2219</v>
      </c>
      <c r="C617" s="22" t="s">
        <v>2220</v>
      </c>
      <c r="D617" s="52" t="s">
        <v>2221</v>
      </c>
      <c r="E617" t="s">
        <v>33</v>
      </c>
      <c r="F617" s="68" t="s">
        <v>1928</v>
      </c>
      <c r="G617" s="48" t="s">
        <v>2126</v>
      </c>
      <c r="H617" s="5" t="s">
        <v>2127</v>
      </c>
      <c r="I617" s="116" t="s">
        <v>2128</v>
      </c>
      <c r="J617" s="29" t="s">
        <v>92</v>
      </c>
      <c r="K617" s="29" t="s">
        <v>2214</v>
      </c>
      <c r="L617" t="s">
        <v>90</v>
      </c>
      <c r="M617" s="16" t="s">
        <v>2194</v>
      </c>
      <c r="N617" s="3" t="str">
        <f t="shared" si="23"/>
        <v>2 Years</v>
      </c>
      <c r="O617" t="s">
        <v>42</v>
      </c>
      <c r="P617" t="s">
        <v>2099</v>
      </c>
      <c r="Q617">
        <v>2026</v>
      </c>
      <c r="R617" s="29" t="s">
        <v>44</v>
      </c>
      <c r="S617" s="29" t="s">
        <v>2215</v>
      </c>
      <c r="T617" s="4" t="s">
        <v>2216</v>
      </c>
      <c r="Y617" t="s">
        <v>47</v>
      </c>
    </row>
    <row r="618" spans="2:29" ht="57.6">
      <c r="B618" s="17" t="s">
        <v>2219</v>
      </c>
      <c r="C618" s="22" t="s">
        <v>2220</v>
      </c>
      <c r="D618" s="52" t="s">
        <v>2221</v>
      </c>
      <c r="E618" t="s">
        <v>33</v>
      </c>
      <c r="F618" s="68" t="s">
        <v>1928</v>
      </c>
      <c r="G618" s="48" t="s">
        <v>2126</v>
      </c>
      <c r="H618" s="5" t="s">
        <v>2127</v>
      </c>
      <c r="I618" s="116" t="s">
        <v>2128</v>
      </c>
      <c r="J618" s="29" t="s">
        <v>159</v>
      </c>
      <c r="K618" s="29" t="s">
        <v>2214</v>
      </c>
      <c r="L618" t="s">
        <v>90</v>
      </c>
      <c r="M618" s="16" t="s">
        <v>2194</v>
      </c>
      <c r="N618" s="3" t="str">
        <f t="shared" si="23"/>
        <v>2 Years</v>
      </c>
      <c r="O618" t="s">
        <v>42</v>
      </c>
      <c r="P618" t="s">
        <v>2099</v>
      </c>
      <c r="Q618">
        <v>2026</v>
      </c>
      <c r="R618" s="29" t="s">
        <v>44</v>
      </c>
      <c r="S618" s="29" t="s">
        <v>2215</v>
      </c>
      <c r="T618" s="4" t="s">
        <v>2216</v>
      </c>
      <c r="W618" s="81">
        <v>0.41041666666666665</v>
      </c>
      <c r="X618" t="s">
        <v>102</v>
      </c>
      <c r="Y618" s="79" t="s">
        <v>103</v>
      </c>
      <c r="Z618" t="s">
        <v>104</v>
      </c>
      <c r="AB618" t="s">
        <v>105</v>
      </c>
      <c r="AC618" t="s">
        <v>106</v>
      </c>
    </row>
    <row r="619" spans="2:29" ht="31.8">
      <c r="B619" s="17" t="s">
        <v>2223</v>
      </c>
      <c r="C619" s="22" t="s">
        <v>2224</v>
      </c>
      <c r="D619" s="52" t="s">
        <v>2225</v>
      </c>
      <c r="E619" t="s">
        <v>33</v>
      </c>
      <c r="F619" s="70" t="s">
        <v>2226</v>
      </c>
      <c r="G619" s="48" t="s">
        <v>2227</v>
      </c>
      <c r="H619" s="5" t="s">
        <v>2228</v>
      </c>
      <c r="I619" s="116" t="s">
        <v>2229</v>
      </c>
      <c r="J619" s="29" t="s">
        <v>48</v>
      </c>
      <c r="K619" s="29" t="s">
        <v>2230</v>
      </c>
      <c r="L619" t="s">
        <v>40</v>
      </c>
      <c r="M619" s="16" t="s">
        <v>2194</v>
      </c>
      <c r="N619" s="3" t="str">
        <f t="shared" si="23"/>
        <v>1  Year</v>
      </c>
      <c r="O619" t="s">
        <v>42</v>
      </c>
      <c r="P619" t="s">
        <v>2099</v>
      </c>
      <c r="Q619">
        <v>2026</v>
      </c>
      <c r="R619" s="29" t="s">
        <v>44</v>
      </c>
      <c r="S619" s="29" t="s">
        <v>356</v>
      </c>
      <c r="T619" s="4" t="s">
        <v>2231</v>
      </c>
      <c r="Y619" t="s">
        <v>47</v>
      </c>
    </row>
    <row r="620" spans="2:29" ht="31.8">
      <c r="B620" s="17" t="s">
        <v>2223</v>
      </c>
      <c r="C620" s="22" t="s">
        <v>2224</v>
      </c>
      <c r="D620" s="52" t="s">
        <v>2225</v>
      </c>
      <c r="E620" t="s">
        <v>33</v>
      </c>
      <c r="F620" s="70" t="s">
        <v>2226</v>
      </c>
      <c r="G620" s="48" t="s">
        <v>2227</v>
      </c>
      <c r="H620" s="5" t="s">
        <v>2228</v>
      </c>
      <c r="I620" s="116" t="s">
        <v>2229</v>
      </c>
      <c r="J620" s="29" t="s">
        <v>92</v>
      </c>
      <c r="K620" s="29" t="s">
        <v>2230</v>
      </c>
      <c r="L620" t="s">
        <v>40</v>
      </c>
      <c r="M620" s="16" t="s">
        <v>2194</v>
      </c>
      <c r="N620" s="3" t="str">
        <f t="shared" ref="N620:N624" si="24">IF(L620="New","1  Year",IF(L620="Promotional","15 Weeks",IF(L620="Revalidation","2 Years","")))</f>
        <v>1  Year</v>
      </c>
      <c r="O620" t="s">
        <v>42</v>
      </c>
      <c r="P620" t="s">
        <v>2099</v>
      </c>
      <c r="Q620">
        <v>2026</v>
      </c>
      <c r="R620" s="29" t="s">
        <v>44</v>
      </c>
      <c r="S620" s="29" t="s">
        <v>356</v>
      </c>
      <c r="T620" s="4" t="s">
        <v>2231</v>
      </c>
      <c r="Y620" t="s">
        <v>47</v>
      </c>
    </row>
    <row r="621" spans="2:29" ht="31.8">
      <c r="B621" s="17" t="s">
        <v>2223</v>
      </c>
      <c r="C621" s="22" t="s">
        <v>2224</v>
      </c>
      <c r="D621" s="52" t="s">
        <v>2225</v>
      </c>
      <c r="E621" t="s">
        <v>33</v>
      </c>
      <c r="F621" s="70" t="s">
        <v>2226</v>
      </c>
      <c r="G621" s="48" t="s">
        <v>2227</v>
      </c>
      <c r="H621" s="5" t="s">
        <v>2228</v>
      </c>
      <c r="I621" s="116" t="s">
        <v>2229</v>
      </c>
      <c r="J621" s="29" t="s">
        <v>145</v>
      </c>
      <c r="K621" s="29" t="s">
        <v>2230</v>
      </c>
      <c r="L621" t="s">
        <v>40</v>
      </c>
      <c r="M621" s="16" t="s">
        <v>2194</v>
      </c>
      <c r="N621" s="3" t="str">
        <f t="shared" si="24"/>
        <v>1  Year</v>
      </c>
      <c r="O621" t="s">
        <v>42</v>
      </c>
      <c r="P621" t="s">
        <v>2099</v>
      </c>
      <c r="Q621">
        <v>2026</v>
      </c>
      <c r="R621" s="29" t="s">
        <v>44</v>
      </c>
      <c r="S621" s="29" t="s">
        <v>356</v>
      </c>
      <c r="T621" s="4" t="s">
        <v>2231</v>
      </c>
      <c r="Y621" t="s">
        <v>47</v>
      </c>
    </row>
    <row r="622" spans="2:29" ht="31.8">
      <c r="B622" s="17" t="s">
        <v>2232</v>
      </c>
      <c r="C622" s="22" t="s">
        <v>2233</v>
      </c>
      <c r="D622" s="52" t="s">
        <v>2225</v>
      </c>
      <c r="E622" t="s">
        <v>33</v>
      </c>
      <c r="F622" s="70" t="s">
        <v>2226</v>
      </c>
      <c r="G622" s="48" t="s">
        <v>2227</v>
      </c>
      <c r="H622" s="5" t="s">
        <v>2228</v>
      </c>
      <c r="I622" s="116" t="s">
        <v>2229</v>
      </c>
      <c r="J622" s="29" t="s">
        <v>48</v>
      </c>
      <c r="K622" s="29" t="s">
        <v>2230</v>
      </c>
      <c r="L622" t="s">
        <v>40</v>
      </c>
      <c r="M622" s="16" t="s">
        <v>2194</v>
      </c>
      <c r="N622" s="3" t="str">
        <f t="shared" si="24"/>
        <v>1  Year</v>
      </c>
      <c r="O622" t="s">
        <v>42</v>
      </c>
      <c r="P622" t="s">
        <v>2099</v>
      </c>
      <c r="Q622">
        <v>2026</v>
      </c>
      <c r="R622" s="29" t="s">
        <v>44</v>
      </c>
      <c r="S622" s="29" t="s">
        <v>356</v>
      </c>
      <c r="T622" s="17" t="s">
        <v>2232</v>
      </c>
      <c r="Y622" t="s">
        <v>47</v>
      </c>
    </row>
    <row r="623" spans="2:29" ht="31.8">
      <c r="B623" s="25" t="s">
        <v>2232</v>
      </c>
      <c r="C623" s="22" t="s">
        <v>2233</v>
      </c>
      <c r="D623" s="52" t="s">
        <v>2225</v>
      </c>
      <c r="E623" s="26" t="s">
        <v>33</v>
      </c>
      <c r="F623" s="70" t="s">
        <v>2226</v>
      </c>
      <c r="G623" s="48" t="s">
        <v>2227</v>
      </c>
      <c r="H623" s="5" t="s">
        <v>2228</v>
      </c>
      <c r="I623" s="116" t="s">
        <v>2229</v>
      </c>
      <c r="J623" s="29" t="s">
        <v>92</v>
      </c>
      <c r="K623" s="29" t="s">
        <v>2230</v>
      </c>
      <c r="L623" t="s">
        <v>40</v>
      </c>
      <c r="M623" s="16" t="s">
        <v>2194</v>
      </c>
      <c r="N623" s="3" t="str">
        <f t="shared" si="24"/>
        <v>1  Year</v>
      </c>
      <c r="O623" t="s">
        <v>42</v>
      </c>
      <c r="P623" t="s">
        <v>2099</v>
      </c>
      <c r="Q623">
        <v>2026</v>
      </c>
      <c r="R623" s="29" t="s">
        <v>44</v>
      </c>
      <c r="S623" s="29" t="s">
        <v>356</v>
      </c>
      <c r="T623" s="17" t="s">
        <v>2232</v>
      </c>
      <c r="Y623" t="s">
        <v>47</v>
      </c>
    </row>
    <row r="624" spans="2:29" ht="31.8">
      <c r="B624" s="25" t="s">
        <v>2232</v>
      </c>
      <c r="C624" s="22" t="s">
        <v>2233</v>
      </c>
      <c r="D624" s="52" t="s">
        <v>2225</v>
      </c>
      <c r="E624" s="26" t="s">
        <v>33</v>
      </c>
      <c r="F624" s="70" t="s">
        <v>2226</v>
      </c>
      <c r="G624" s="48" t="s">
        <v>2227</v>
      </c>
      <c r="H624" s="5" t="s">
        <v>2228</v>
      </c>
      <c r="I624" s="116" t="s">
        <v>2229</v>
      </c>
      <c r="J624" s="29" t="s">
        <v>145</v>
      </c>
      <c r="K624" s="29" t="s">
        <v>2230</v>
      </c>
      <c r="L624" t="s">
        <v>40</v>
      </c>
      <c r="M624" s="16" t="s">
        <v>2194</v>
      </c>
      <c r="N624" s="3" t="str">
        <f t="shared" si="24"/>
        <v>1  Year</v>
      </c>
      <c r="O624" t="s">
        <v>42</v>
      </c>
      <c r="P624" t="s">
        <v>2099</v>
      </c>
      <c r="Q624">
        <v>2026</v>
      </c>
      <c r="R624" s="29" t="s">
        <v>44</v>
      </c>
      <c r="S624" s="29" t="s">
        <v>356</v>
      </c>
      <c r="T624" s="17" t="s">
        <v>2232</v>
      </c>
      <c r="Y624" t="s">
        <v>47</v>
      </c>
    </row>
    <row r="625" spans="2:29" ht="72">
      <c r="B625" s="25" t="s">
        <v>2234</v>
      </c>
      <c r="C625" s="22" t="s">
        <v>2235</v>
      </c>
      <c r="D625" s="52" t="s">
        <v>2236</v>
      </c>
      <c r="E625" s="26" t="s">
        <v>52</v>
      </c>
      <c r="F625" s="70" t="s">
        <v>1937</v>
      </c>
      <c r="G625" s="48" t="s">
        <v>2167</v>
      </c>
      <c r="H625" s="5" t="s">
        <v>2168</v>
      </c>
      <c r="I625" s="118" t="s">
        <v>2172</v>
      </c>
      <c r="J625" s="29" t="s">
        <v>159</v>
      </c>
      <c r="K625" s="29" t="s">
        <v>2237</v>
      </c>
      <c r="L625" t="s">
        <v>40</v>
      </c>
      <c r="M625" s="16" t="s">
        <v>2194</v>
      </c>
      <c r="N625" s="3" t="str">
        <f t="shared" ref="N625:N640" si="25">IF(L625="New","1  Year",IF(L625="Promotional","15 Weeks",IF(L625="Revalidation","2 Years","")))</f>
        <v>1  Year</v>
      </c>
      <c r="O625" t="s">
        <v>42</v>
      </c>
      <c r="P625" t="s">
        <v>2099</v>
      </c>
      <c r="Q625">
        <v>2026</v>
      </c>
      <c r="R625" s="29" t="s">
        <v>44</v>
      </c>
      <c r="S625" s="29" t="s">
        <v>45</v>
      </c>
      <c r="T625" s="4" t="s">
        <v>2238</v>
      </c>
      <c r="Y625" t="s">
        <v>47</v>
      </c>
    </row>
    <row r="626" spans="2:29" ht="72">
      <c r="B626" s="25" t="s">
        <v>2234</v>
      </c>
      <c r="C626" s="22" t="s">
        <v>2235</v>
      </c>
      <c r="D626" s="52" t="s">
        <v>2236</v>
      </c>
      <c r="E626" s="26" t="s">
        <v>52</v>
      </c>
      <c r="F626" s="70" t="s">
        <v>1937</v>
      </c>
      <c r="G626" s="48" t="s">
        <v>2167</v>
      </c>
      <c r="H626" s="5" t="s">
        <v>2168</v>
      </c>
      <c r="I626" s="118" t="s">
        <v>2172</v>
      </c>
      <c r="J626" s="29" t="s">
        <v>57</v>
      </c>
      <c r="K626" s="29" t="s">
        <v>2237</v>
      </c>
      <c r="L626" t="s">
        <v>40</v>
      </c>
      <c r="M626" s="16" t="s">
        <v>2194</v>
      </c>
      <c r="N626" s="3" t="str">
        <f t="shared" si="25"/>
        <v>1  Year</v>
      </c>
      <c r="O626" t="s">
        <v>42</v>
      </c>
      <c r="P626" t="s">
        <v>2099</v>
      </c>
      <c r="Q626">
        <v>2026</v>
      </c>
      <c r="R626" s="29" t="s">
        <v>44</v>
      </c>
      <c r="S626" s="29" t="s">
        <v>45</v>
      </c>
      <c r="T626" s="4" t="s">
        <v>2238</v>
      </c>
      <c r="Y626" t="s">
        <v>47</v>
      </c>
    </row>
    <row r="627" spans="2:29" ht="72">
      <c r="B627" s="25" t="s">
        <v>2234</v>
      </c>
      <c r="C627" s="22" t="s">
        <v>2235</v>
      </c>
      <c r="D627" s="52" t="s">
        <v>2236</v>
      </c>
      <c r="E627" s="26" t="s">
        <v>52</v>
      </c>
      <c r="F627" s="70" t="s">
        <v>1937</v>
      </c>
      <c r="G627" s="48" t="s">
        <v>2167</v>
      </c>
      <c r="H627" s="5" t="s">
        <v>2168</v>
      </c>
      <c r="I627" s="118" t="s">
        <v>2172</v>
      </c>
      <c r="J627" s="29" t="s">
        <v>48</v>
      </c>
      <c r="K627" s="29" t="s">
        <v>2237</v>
      </c>
      <c r="L627" t="s">
        <v>40</v>
      </c>
      <c r="M627" s="16" t="s">
        <v>2194</v>
      </c>
      <c r="N627" s="3" t="str">
        <f t="shared" si="25"/>
        <v>1  Year</v>
      </c>
      <c r="O627" t="s">
        <v>42</v>
      </c>
      <c r="P627" t="s">
        <v>2099</v>
      </c>
      <c r="Q627">
        <v>2026</v>
      </c>
      <c r="R627" s="29" t="s">
        <v>44</v>
      </c>
      <c r="S627" s="29" t="s">
        <v>45</v>
      </c>
      <c r="T627" s="4" t="s">
        <v>2238</v>
      </c>
      <c r="Y627" t="s">
        <v>47</v>
      </c>
    </row>
    <row r="628" spans="2:29" ht="93">
      <c r="B628" s="25" t="s">
        <v>2239</v>
      </c>
      <c r="C628" s="22" t="s">
        <v>2240</v>
      </c>
      <c r="D628" s="52" t="s">
        <v>831</v>
      </c>
      <c r="E628" s="26" t="s">
        <v>52</v>
      </c>
      <c r="F628" s="70" t="s">
        <v>825</v>
      </c>
      <c r="G628" s="48" t="s">
        <v>2241</v>
      </c>
      <c r="H628" s="5" t="s">
        <v>2242</v>
      </c>
      <c r="I628" s="116" t="s">
        <v>2243</v>
      </c>
      <c r="J628" s="29" t="s">
        <v>88</v>
      </c>
      <c r="K628" s="29" t="s">
        <v>2244</v>
      </c>
      <c r="L628" t="s">
        <v>40</v>
      </c>
      <c r="M628" s="16" t="s">
        <v>2194</v>
      </c>
      <c r="N628" s="3" t="str">
        <f t="shared" si="25"/>
        <v>1  Year</v>
      </c>
      <c r="O628" t="s">
        <v>42</v>
      </c>
      <c r="P628" t="s">
        <v>2099</v>
      </c>
      <c r="Q628">
        <v>2026</v>
      </c>
      <c r="R628" s="29" t="s">
        <v>44</v>
      </c>
      <c r="S628" s="29" t="s">
        <v>45</v>
      </c>
      <c r="T628" s="4" t="s">
        <v>2245</v>
      </c>
      <c r="Y628" t="s">
        <v>47</v>
      </c>
    </row>
    <row r="629" spans="2:29" ht="93">
      <c r="B629" s="26" t="s">
        <v>2246</v>
      </c>
      <c r="C629" s="22" t="s">
        <v>2247</v>
      </c>
      <c r="D629" s="52" t="s">
        <v>2248</v>
      </c>
      <c r="E629" s="26" t="s">
        <v>33</v>
      </c>
      <c r="F629" s="70" t="s">
        <v>825</v>
      </c>
      <c r="G629" s="48" t="s">
        <v>2241</v>
      </c>
      <c r="H629" s="5" t="s">
        <v>2242</v>
      </c>
      <c r="I629" s="116" t="s">
        <v>2243</v>
      </c>
      <c r="J629" s="29" t="s">
        <v>88</v>
      </c>
      <c r="K629" s="29" t="s">
        <v>2249</v>
      </c>
      <c r="L629" t="s">
        <v>40</v>
      </c>
      <c r="M629" s="16" t="s">
        <v>2194</v>
      </c>
      <c r="N629" s="3" t="str">
        <f t="shared" si="25"/>
        <v>1  Year</v>
      </c>
      <c r="O629" t="s">
        <v>42</v>
      </c>
      <c r="P629" t="s">
        <v>2099</v>
      </c>
      <c r="Q629">
        <v>2026</v>
      </c>
      <c r="R629" s="29" t="s">
        <v>44</v>
      </c>
      <c r="S629" s="29" t="s">
        <v>2250</v>
      </c>
      <c r="T629" s="4" t="s">
        <v>2251</v>
      </c>
      <c r="Y629" t="s">
        <v>47</v>
      </c>
    </row>
    <row r="630" spans="2:29" ht="93">
      <c r="B630" s="26" t="s">
        <v>2252</v>
      </c>
      <c r="C630" s="22" t="s">
        <v>2253</v>
      </c>
      <c r="D630" s="52" t="s">
        <v>831</v>
      </c>
      <c r="E630" s="26" t="s">
        <v>33</v>
      </c>
      <c r="F630" s="70" t="s">
        <v>825</v>
      </c>
      <c r="G630" s="48" t="s">
        <v>2241</v>
      </c>
      <c r="H630" s="5" t="s">
        <v>2242</v>
      </c>
      <c r="I630" s="116" t="s">
        <v>2243</v>
      </c>
      <c r="J630" s="29" t="s">
        <v>88</v>
      </c>
      <c r="K630" s="29" t="s">
        <v>2249</v>
      </c>
      <c r="L630" t="s">
        <v>40</v>
      </c>
      <c r="M630" s="16" t="s">
        <v>2194</v>
      </c>
      <c r="N630" s="3" t="str">
        <f t="shared" si="25"/>
        <v>1  Year</v>
      </c>
      <c r="O630" t="s">
        <v>42</v>
      </c>
      <c r="P630" t="s">
        <v>2099</v>
      </c>
      <c r="Q630">
        <v>2026</v>
      </c>
      <c r="R630" s="29" t="s">
        <v>44</v>
      </c>
      <c r="S630" s="29" t="s">
        <v>2250</v>
      </c>
      <c r="T630" s="4" t="s">
        <v>2251</v>
      </c>
      <c r="Y630" t="s">
        <v>47</v>
      </c>
    </row>
    <row r="631" spans="2:29" ht="93">
      <c r="B631" s="17" t="s">
        <v>2254</v>
      </c>
      <c r="C631" s="22" t="s">
        <v>2255</v>
      </c>
      <c r="D631" s="52" t="s">
        <v>2256</v>
      </c>
      <c r="E631" s="26" t="s">
        <v>33</v>
      </c>
      <c r="F631" s="70" t="s">
        <v>825</v>
      </c>
      <c r="G631" s="48" t="s">
        <v>2241</v>
      </c>
      <c r="J631" s="29" t="s">
        <v>88</v>
      </c>
      <c r="K631" s="29" t="s">
        <v>2257</v>
      </c>
      <c r="L631" t="s">
        <v>40</v>
      </c>
      <c r="M631" s="16" t="s">
        <v>2194</v>
      </c>
      <c r="N631" s="3" t="str">
        <f t="shared" si="25"/>
        <v>1  Year</v>
      </c>
      <c r="O631" t="s">
        <v>42</v>
      </c>
      <c r="P631" t="s">
        <v>2099</v>
      </c>
      <c r="Q631">
        <v>2026</v>
      </c>
      <c r="R631" s="29" t="s">
        <v>44</v>
      </c>
      <c r="S631" s="29" t="s">
        <v>45</v>
      </c>
      <c r="T631" s="4" t="s">
        <v>2258</v>
      </c>
      <c r="Y631" t="s">
        <v>47</v>
      </c>
    </row>
    <row r="632" spans="2:29" ht="93">
      <c r="B632" s="17" t="s">
        <v>2259</v>
      </c>
      <c r="C632" s="22" t="s">
        <v>823</v>
      </c>
      <c r="D632" s="52" t="s">
        <v>2260</v>
      </c>
      <c r="E632" s="26" t="s">
        <v>33</v>
      </c>
      <c r="F632" s="70" t="s">
        <v>825</v>
      </c>
      <c r="G632" s="48" t="s">
        <v>2241</v>
      </c>
      <c r="J632" s="29" t="s">
        <v>88</v>
      </c>
      <c r="K632" s="29" t="s">
        <v>2257</v>
      </c>
      <c r="L632" t="s">
        <v>40</v>
      </c>
      <c r="M632" s="16" t="s">
        <v>2194</v>
      </c>
      <c r="N632" s="3" t="str">
        <f t="shared" si="25"/>
        <v>1  Year</v>
      </c>
      <c r="O632" t="s">
        <v>42</v>
      </c>
      <c r="P632" t="s">
        <v>2099</v>
      </c>
      <c r="Q632">
        <v>2026</v>
      </c>
      <c r="R632" s="29" t="s">
        <v>44</v>
      </c>
      <c r="S632" s="29" t="s">
        <v>45</v>
      </c>
      <c r="T632" s="4" t="s">
        <v>2258</v>
      </c>
      <c r="Y632" t="s">
        <v>47</v>
      </c>
    </row>
    <row r="633" spans="2:29" ht="93">
      <c r="B633" s="26" t="s">
        <v>2261</v>
      </c>
      <c r="C633" s="22" t="s">
        <v>2262</v>
      </c>
      <c r="D633" s="52" t="s">
        <v>2263</v>
      </c>
      <c r="E633" s="26" t="s">
        <v>33</v>
      </c>
      <c r="F633" s="70" t="s">
        <v>825</v>
      </c>
      <c r="G633" s="48" t="s">
        <v>2241</v>
      </c>
      <c r="J633" s="29" t="s">
        <v>88</v>
      </c>
      <c r="K633" s="29" t="s">
        <v>2264</v>
      </c>
      <c r="L633" t="s">
        <v>40</v>
      </c>
      <c r="M633" s="16" t="s">
        <v>2194</v>
      </c>
      <c r="N633" s="3" t="str">
        <f t="shared" si="25"/>
        <v>1  Year</v>
      </c>
      <c r="O633" t="s">
        <v>42</v>
      </c>
      <c r="P633" t="s">
        <v>2099</v>
      </c>
      <c r="Q633">
        <v>2026</v>
      </c>
      <c r="R633" s="29" t="s">
        <v>44</v>
      </c>
      <c r="S633" s="29" t="s">
        <v>45</v>
      </c>
      <c r="T633" s="4" t="s">
        <v>2265</v>
      </c>
      <c r="Y633" t="s">
        <v>47</v>
      </c>
    </row>
    <row r="634" spans="2:29" ht="57.6">
      <c r="B634" s="26" t="s">
        <v>2266</v>
      </c>
      <c r="C634" s="22" t="s">
        <v>685</v>
      </c>
      <c r="D634" s="52" t="s">
        <v>2267</v>
      </c>
      <c r="E634" s="26" t="s">
        <v>182</v>
      </c>
      <c r="F634" s="70" t="s">
        <v>908</v>
      </c>
      <c r="G634" s="71" t="s">
        <v>2268</v>
      </c>
      <c r="H634" s="5" t="s">
        <v>2269</v>
      </c>
      <c r="I634" s="116" t="s">
        <v>2270</v>
      </c>
      <c r="J634" s="29" t="s">
        <v>145</v>
      </c>
      <c r="K634" s="29" t="s">
        <v>690</v>
      </c>
      <c r="L634" t="s">
        <v>40</v>
      </c>
      <c r="M634" s="16" t="s">
        <v>2194</v>
      </c>
      <c r="N634" s="3" t="str">
        <f t="shared" si="25"/>
        <v>1  Year</v>
      </c>
      <c r="O634" t="s">
        <v>1910</v>
      </c>
      <c r="P634" t="s">
        <v>2099</v>
      </c>
      <c r="Q634">
        <v>2026</v>
      </c>
      <c r="R634" s="29" t="s">
        <v>1981</v>
      </c>
      <c r="S634" s="29" t="s">
        <v>45</v>
      </c>
      <c r="T634" s="4" t="s">
        <v>2271</v>
      </c>
      <c r="Y634" t="s">
        <v>47</v>
      </c>
    </row>
    <row r="635" spans="2:29" ht="57.6">
      <c r="B635" s="26" t="s">
        <v>2272</v>
      </c>
      <c r="C635" s="22" t="s">
        <v>1741</v>
      </c>
      <c r="D635" s="52" t="s">
        <v>2273</v>
      </c>
      <c r="E635" s="26" t="s">
        <v>182</v>
      </c>
      <c r="F635" s="70" t="s">
        <v>908</v>
      </c>
      <c r="G635" s="71" t="s">
        <v>2268</v>
      </c>
      <c r="H635" s="5" t="s">
        <v>2269</v>
      </c>
      <c r="I635" s="116" t="s">
        <v>2270</v>
      </c>
      <c r="J635" s="29" t="s">
        <v>145</v>
      </c>
      <c r="K635" s="29" t="s">
        <v>690</v>
      </c>
      <c r="L635" t="s">
        <v>40</v>
      </c>
      <c r="M635" s="16" t="s">
        <v>2194</v>
      </c>
      <c r="N635" s="3" t="str">
        <f t="shared" si="25"/>
        <v>1  Year</v>
      </c>
      <c r="O635" t="s">
        <v>1910</v>
      </c>
      <c r="P635" t="s">
        <v>2099</v>
      </c>
      <c r="Q635">
        <v>2026</v>
      </c>
      <c r="R635" s="29" t="s">
        <v>1981</v>
      </c>
      <c r="S635" s="29" t="s">
        <v>45</v>
      </c>
      <c r="T635" s="4" t="s">
        <v>2271</v>
      </c>
      <c r="Y635" t="s">
        <v>47</v>
      </c>
    </row>
    <row r="636" spans="2:29" ht="57.6">
      <c r="B636" s="26" t="s">
        <v>2274</v>
      </c>
      <c r="C636" s="22" t="s">
        <v>2275</v>
      </c>
      <c r="D636" s="52" t="s">
        <v>693</v>
      </c>
      <c r="E636" s="26" t="s">
        <v>182</v>
      </c>
      <c r="F636" s="70" t="s">
        <v>908</v>
      </c>
      <c r="G636" s="71" t="s">
        <v>2268</v>
      </c>
      <c r="H636" s="5" t="s">
        <v>2269</v>
      </c>
      <c r="I636" s="116" t="s">
        <v>2270</v>
      </c>
      <c r="J636" s="29" t="s">
        <v>145</v>
      </c>
      <c r="K636" s="29" t="s">
        <v>690</v>
      </c>
      <c r="L636" t="s">
        <v>40</v>
      </c>
      <c r="M636" s="16" t="s">
        <v>2194</v>
      </c>
      <c r="N636" s="3" t="str">
        <f t="shared" si="25"/>
        <v>1  Year</v>
      </c>
      <c r="O636" t="s">
        <v>1910</v>
      </c>
      <c r="P636" t="s">
        <v>2099</v>
      </c>
      <c r="Q636">
        <v>2026</v>
      </c>
      <c r="R636" s="29" t="s">
        <v>1981</v>
      </c>
      <c r="S636" s="29" t="s">
        <v>45</v>
      </c>
      <c r="T636" s="4" t="s">
        <v>2271</v>
      </c>
      <c r="Y636" t="s">
        <v>47</v>
      </c>
    </row>
    <row r="637" spans="2:29" ht="57.6">
      <c r="B637" s="26" t="s">
        <v>1147</v>
      </c>
      <c r="C637" s="22" t="s">
        <v>1148</v>
      </c>
      <c r="D637" s="52" t="s">
        <v>1149</v>
      </c>
      <c r="E637" s="26" t="s">
        <v>182</v>
      </c>
      <c r="F637" s="70" t="s">
        <v>908</v>
      </c>
      <c r="G637" s="71" t="s">
        <v>2268</v>
      </c>
      <c r="H637" s="5" t="s">
        <v>2269</v>
      </c>
      <c r="I637" s="116" t="s">
        <v>2270</v>
      </c>
      <c r="J637" s="29" t="s">
        <v>145</v>
      </c>
      <c r="K637" s="29" t="s">
        <v>1151</v>
      </c>
      <c r="L637" t="s">
        <v>40</v>
      </c>
      <c r="M637" s="16" t="s">
        <v>2194</v>
      </c>
      <c r="N637" s="3" t="str">
        <f t="shared" si="25"/>
        <v>1  Year</v>
      </c>
      <c r="O637" t="s">
        <v>1910</v>
      </c>
      <c r="P637" s="47" t="s">
        <v>2099</v>
      </c>
      <c r="Q637">
        <v>2026</v>
      </c>
      <c r="R637" s="29" t="s">
        <v>1981</v>
      </c>
      <c r="S637" s="29" t="s">
        <v>45</v>
      </c>
      <c r="T637" s="4" t="s">
        <v>2276</v>
      </c>
      <c r="W637" t="s">
        <v>2277</v>
      </c>
      <c r="X637" t="s">
        <v>163</v>
      </c>
      <c r="Y637" t="s">
        <v>103</v>
      </c>
      <c r="AB637" t="s">
        <v>105</v>
      </c>
      <c r="AC637" t="s">
        <v>815</v>
      </c>
    </row>
    <row r="638" spans="2:29" ht="57.6">
      <c r="B638" s="26" t="s">
        <v>1147</v>
      </c>
      <c r="C638" s="22" t="s">
        <v>1148</v>
      </c>
      <c r="D638" s="52" t="s">
        <v>1149</v>
      </c>
      <c r="E638" s="26" t="s">
        <v>182</v>
      </c>
      <c r="F638" s="70" t="s">
        <v>908</v>
      </c>
      <c r="G638" s="71" t="s">
        <v>2268</v>
      </c>
      <c r="H638" s="5" t="s">
        <v>2269</v>
      </c>
      <c r="I638" s="116" t="s">
        <v>2270</v>
      </c>
      <c r="J638" s="29" t="s">
        <v>88</v>
      </c>
      <c r="K638" s="29" t="s">
        <v>1151</v>
      </c>
      <c r="L638" t="s">
        <v>40</v>
      </c>
      <c r="M638" s="16" t="s">
        <v>2194</v>
      </c>
      <c r="N638" s="3" t="str">
        <f t="shared" si="25"/>
        <v>1  Year</v>
      </c>
      <c r="O638" t="s">
        <v>1910</v>
      </c>
      <c r="P638" t="s">
        <v>2099</v>
      </c>
      <c r="Q638">
        <v>2026</v>
      </c>
      <c r="R638" s="29" t="s">
        <v>1981</v>
      </c>
      <c r="S638" s="29" t="s">
        <v>45</v>
      </c>
      <c r="T638" s="4" t="s">
        <v>2276</v>
      </c>
      <c r="Y638" t="s">
        <v>47</v>
      </c>
    </row>
    <row r="639" spans="2:29" ht="57.6">
      <c r="B639" s="17" t="s">
        <v>2278</v>
      </c>
      <c r="C639" s="22" t="s">
        <v>2279</v>
      </c>
      <c r="D639" s="52" t="s">
        <v>2280</v>
      </c>
      <c r="E639" s="26" t="s">
        <v>33</v>
      </c>
      <c r="F639" s="70" t="s">
        <v>832</v>
      </c>
      <c r="G639" s="48" t="s">
        <v>1823</v>
      </c>
      <c r="H639" s="5" t="s">
        <v>1824</v>
      </c>
      <c r="I639" s="116" t="s">
        <v>2281</v>
      </c>
      <c r="J639" s="29" t="s">
        <v>145</v>
      </c>
      <c r="K639" s="29" t="s">
        <v>2282</v>
      </c>
      <c r="L639" t="s">
        <v>90</v>
      </c>
      <c r="M639" s="16" t="s">
        <v>2194</v>
      </c>
      <c r="N639" s="3" t="str">
        <f t="shared" si="25"/>
        <v>2 Years</v>
      </c>
      <c r="O639" t="s">
        <v>811</v>
      </c>
      <c r="P639" t="s">
        <v>2099</v>
      </c>
      <c r="Q639">
        <v>2026</v>
      </c>
      <c r="R639" s="29" t="s">
        <v>44</v>
      </c>
      <c r="S639" s="29" t="s">
        <v>45</v>
      </c>
      <c r="T639" s="4" t="s">
        <v>2283</v>
      </c>
      <c r="Y639" t="s">
        <v>47</v>
      </c>
    </row>
    <row r="640" spans="2:29" ht="57.6">
      <c r="B640" s="17" t="s">
        <v>2284</v>
      </c>
      <c r="C640" s="22" t="s">
        <v>2285</v>
      </c>
      <c r="D640" s="52" t="s">
        <v>2280</v>
      </c>
      <c r="E640" s="26" t="s">
        <v>33</v>
      </c>
      <c r="F640" s="70" t="s">
        <v>832</v>
      </c>
      <c r="G640" s="48" t="s">
        <v>1823</v>
      </c>
      <c r="H640" s="5" t="s">
        <v>1824</v>
      </c>
      <c r="I640" s="116" t="s">
        <v>2281</v>
      </c>
      <c r="J640" s="29" t="s">
        <v>145</v>
      </c>
      <c r="K640" s="29" t="s">
        <v>2282</v>
      </c>
      <c r="L640" t="s">
        <v>90</v>
      </c>
      <c r="M640" s="16" t="s">
        <v>2194</v>
      </c>
      <c r="N640" s="3" t="str">
        <f t="shared" si="25"/>
        <v>2 Years</v>
      </c>
      <c r="O640" t="s">
        <v>811</v>
      </c>
      <c r="P640" t="s">
        <v>2099</v>
      </c>
      <c r="Q640">
        <v>2026</v>
      </c>
      <c r="R640" s="29" t="s">
        <v>44</v>
      </c>
      <c r="S640" s="29" t="s">
        <v>45</v>
      </c>
      <c r="T640" s="4" t="s">
        <v>2286</v>
      </c>
      <c r="Y640" t="s">
        <v>47</v>
      </c>
    </row>
    <row r="641" spans="2:29" ht="57.6">
      <c r="B641" s="17" t="s">
        <v>2287</v>
      </c>
      <c r="C641" s="22" t="s">
        <v>2288</v>
      </c>
      <c r="D641" s="52" t="s">
        <v>2280</v>
      </c>
      <c r="E641" s="26" t="s">
        <v>33</v>
      </c>
      <c r="F641" s="70" t="s">
        <v>832</v>
      </c>
      <c r="G641" s="48" t="s">
        <v>1823</v>
      </c>
      <c r="H641" s="5" t="s">
        <v>1824</v>
      </c>
      <c r="I641" s="116" t="s">
        <v>2281</v>
      </c>
      <c r="J641" s="29" t="s">
        <v>145</v>
      </c>
      <c r="K641" s="29" t="s">
        <v>2282</v>
      </c>
      <c r="L641" t="s">
        <v>90</v>
      </c>
      <c r="M641" s="16" t="s">
        <v>2194</v>
      </c>
      <c r="N641" s="3" t="str">
        <f t="shared" ref="N641" si="26">IF(L641="New","1  Year",IF(L641="Promotional","15 Weeks",IF(L641="Revalidation","2 Years","")))</f>
        <v>2 Years</v>
      </c>
      <c r="O641" t="s">
        <v>811</v>
      </c>
      <c r="P641" t="s">
        <v>2099</v>
      </c>
      <c r="Q641">
        <v>2026</v>
      </c>
      <c r="R641" s="29" t="s">
        <v>44</v>
      </c>
      <c r="S641" s="29" t="s">
        <v>45</v>
      </c>
      <c r="T641" s="4" t="s">
        <v>2289</v>
      </c>
      <c r="U641" t="s">
        <v>813</v>
      </c>
      <c r="W641" s="93" t="s">
        <v>2290</v>
      </c>
      <c r="X641" t="s">
        <v>163</v>
      </c>
      <c r="Y641" t="s">
        <v>103</v>
      </c>
      <c r="AB641" t="s">
        <v>105</v>
      </c>
      <c r="AC641" t="s">
        <v>815</v>
      </c>
    </row>
    <row r="642" spans="2:29" ht="57.6">
      <c r="B642" s="17" t="s">
        <v>2291</v>
      </c>
      <c r="C642" s="22" t="s">
        <v>2292</v>
      </c>
      <c r="D642" s="52" t="s">
        <v>2280</v>
      </c>
      <c r="E642" s="26" t="s">
        <v>33</v>
      </c>
      <c r="F642" s="70" t="s">
        <v>832</v>
      </c>
      <c r="G642" s="48" t="s">
        <v>1823</v>
      </c>
      <c r="H642" s="5" t="s">
        <v>1824</v>
      </c>
      <c r="I642" s="116" t="s">
        <v>2281</v>
      </c>
      <c r="J642" s="29" t="s">
        <v>145</v>
      </c>
      <c r="K642" s="29" t="s">
        <v>2282</v>
      </c>
      <c r="L642" t="s">
        <v>90</v>
      </c>
      <c r="M642" s="16" t="s">
        <v>2194</v>
      </c>
      <c r="N642" s="3" t="str">
        <f t="shared" ref="N642:N644" si="27">IF(L642="New","1  Year",IF(L642="Promotional","15 Weeks",IF(L642="Revalidation","2 Years","")))</f>
        <v>2 Years</v>
      </c>
      <c r="O642" t="s">
        <v>811</v>
      </c>
      <c r="P642" t="s">
        <v>2099</v>
      </c>
      <c r="Q642">
        <v>2026</v>
      </c>
      <c r="R642" s="29" t="s">
        <v>44</v>
      </c>
      <c r="S642" s="29" t="s">
        <v>45</v>
      </c>
      <c r="T642" s="4" t="s">
        <v>2293</v>
      </c>
      <c r="U642" t="s">
        <v>813</v>
      </c>
      <c r="W642" t="s">
        <v>2294</v>
      </c>
      <c r="X642" t="s">
        <v>163</v>
      </c>
      <c r="Y642" t="s">
        <v>103</v>
      </c>
      <c r="AB642" t="s">
        <v>105</v>
      </c>
      <c r="AC642" t="s">
        <v>815</v>
      </c>
    </row>
    <row r="643" spans="2:29" ht="43.2">
      <c r="B643" s="17" t="s">
        <v>2295</v>
      </c>
      <c r="C643" s="22" t="s">
        <v>2296</v>
      </c>
      <c r="D643" s="52" t="s">
        <v>2297</v>
      </c>
      <c r="E643" s="26" t="s">
        <v>182</v>
      </c>
      <c r="F643" s="70" t="s">
        <v>2095</v>
      </c>
      <c r="G643" s="71" t="s">
        <v>2096</v>
      </c>
      <c r="H643" s="5" t="s">
        <v>2298</v>
      </c>
      <c r="I643" s="116" t="s">
        <v>2299</v>
      </c>
      <c r="J643" s="29" t="s">
        <v>145</v>
      </c>
      <c r="K643" s="29" t="s">
        <v>2300</v>
      </c>
      <c r="L643" t="s">
        <v>40</v>
      </c>
      <c r="M643" s="16" t="s">
        <v>2194</v>
      </c>
      <c r="N643" s="3" t="str">
        <f t="shared" si="27"/>
        <v>1  Year</v>
      </c>
      <c r="O643" t="s">
        <v>1520</v>
      </c>
      <c r="P643" t="s">
        <v>2099</v>
      </c>
      <c r="Q643">
        <v>2026</v>
      </c>
      <c r="R643" s="29" t="s">
        <v>44</v>
      </c>
      <c r="S643" s="29" t="s">
        <v>45</v>
      </c>
      <c r="T643" s="4" t="s">
        <v>2301</v>
      </c>
      <c r="Y643" t="s">
        <v>47</v>
      </c>
    </row>
    <row r="644" spans="2:29" ht="72">
      <c r="B644" s="26" t="s">
        <v>2302</v>
      </c>
      <c r="C644" s="22" t="s">
        <v>2303</v>
      </c>
      <c r="D644" s="52" t="s">
        <v>2187</v>
      </c>
      <c r="E644" s="26" t="s">
        <v>52</v>
      </c>
      <c r="F644" s="70" t="s">
        <v>1937</v>
      </c>
      <c r="G644" s="48" t="s">
        <v>2167</v>
      </c>
      <c r="H644" s="5" t="s">
        <v>2168</v>
      </c>
      <c r="I644" s="118" t="s">
        <v>2172</v>
      </c>
      <c r="J644" s="29" t="s">
        <v>57</v>
      </c>
      <c r="K644" s="29" t="s">
        <v>2304</v>
      </c>
      <c r="L644" t="s">
        <v>40</v>
      </c>
      <c r="M644" s="16" t="s">
        <v>2194</v>
      </c>
      <c r="N644" s="3" t="str">
        <f t="shared" si="27"/>
        <v>1  Year</v>
      </c>
      <c r="O644" t="s">
        <v>42</v>
      </c>
      <c r="P644" t="s">
        <v>2099</v>
      </c>
      <c r="Q644">
        <v>2026</v>
      </c>
      <c r="R644" s="29" t="s">
        <v>44</v>
      </c>
      <c r="S644" s="29" t="s">
        <v>45</v>
      </c>
      <c r="T644" s="4" t="s">
        <v>2305</v>
      </c>
      <c r="Y644" t="s">
        <v>47</v>
      </c>
    </row>
    <row r="645" spans="2:29" ht="72">
      <c r="B645" s="26" t="s">
        <v>2302</v>
      </c>
      <c r="C645" s="22" t="s">
        <v>2303</v>
      </c>
      <c r="D645" s="52" t="s">
        <v>2187</v>
      </c>
      <c r="E645" s="26" t="s">
        <v>52</v>
      </c>
      <c r="F645" s="70" t="s">
        <v>1937</v>
      </c>
      <c r="G645" s="48" t="s">
        <v>2167</v>
      </c>
      <c r="H645" s="5" t="s">
        <v>2168</v>
      </c>
      <c r="I645" s="118" t="s">
        <v>2172</v>
      </c>
      <c r="J645" s="29" t="s">
        <v>800</v>
      </c>
      <c r="K645" s="29" t="s">
        <v>2304</v>
      </c>
      <c r="L645" t="s">
        <v>40</v>
      </c>
      <c r="M645" s="16" t="s">
        <v>2194</v>
      </c>
      <c r="N645" s="3" t="str">
        <f t="shared" ref="N645:N646" si="28">IF(L645="New","1  Year",IF(L645="Promotional","15 Weeks",IF(L645="Revalidation","2 Years","")))</f>
        <v>1  Year</v>
      </c>
      <c r="O645" t="s">
        <v>42</v>
      </c>
      <c r="P645" t="s">
        <v>2099</v>
      </c>
      <c r="Q645">
        <v>2026</v>
      </c>
      <c r="R645" s="29" t="s">
        <v>44</v>
      </c>
      <c r="S645" s="29" t="s">
        <v>45</v>
      </c>
      <c r="T645" s="4" t="s">
        <v>2305</v>
      </c>
      <c r="Y645" t="s">
        <v>47</v>
      </c>
    </row>
    <row r="646" spans="2:29" ht="57.6">
      <c r="B646" s="17" t="s">
        <v>2306</v>
      </c>
      <c r="C646" s="22" t="s">
        <v>2307</v>
      </c>
      <c r="D646" s="52" t="s">
        <v>2187</v>
      </c>
      <c r="E646" s="26" t="s">
        <v>182</v>
      </c>
      <c r="F646" s="71" t="s">
        <v>197</v>
      </c>
      <c r="G646" s="48" t="s">
        <v>2308</v>
      </c>
      <c r="H646" s="5" t="s">
        <v>2309</v>
      </c>
      <c r="I646" s="117" t="s">
        <v>182</v>
      </c>
      <c r="J646" s="29" t="s">
        <v>145</v>
      </c>
      <c r="K646" s="29" t="s">
        <v>2310</v>
      </c>
      <c r="L646" t="s">
        <v>40</v>
      </c>
      <c r="M646" s="16" t="s">
        <v>2194</v>
      </c>
      <c r="N646" s="3" t="str">
        <f t="shared" si="28"/>
        <v>1  Year</v>
      </c>
      <c r="O646" t="s">
        <v>1910</v>
      </c>
      <c r="P646" t="s">
        <v>2099</v>
      </c>
      <c r="Q646">
        <v>2026</v>
      </c>
      <c r="R646" s="29" t="s">
        <v>44</v>
      </c>
      <c r="S646" s="29" t="s">
        <v>45</v>
      </c>
      <c r="T646" s="4" t="s">
        <v>2311</v>
      </c>
      <c r="U646" t="s">
        <v>162</v>
      </c>
      <c r="W646" t="s">
        <v>2312</v>
      </c>
      <c r="X646" t="s">
        <v>2313</v>
      </c>
      <c r="Y646" s="95" t="s">
        <v>2314</v>
      </c>
      <c r="Z646" s="96" t="s">
        <v>2315</v>
      </c>
      <c r="AB646" t="s">
        <v>165</v>
      </c>
      <c r="AC646" s="80">
        <v>46220</v>
      </c>
    </row>
    <row r="647" spans="2:29" ht="43.2">
      <c r="B647" s="17" t="s">
        <v>2316</v>
      </c>
      <c r="C647" s="22" t="s">
        <v>2317</v>
      </c>
      <c r="D647" s="52" t="s">
        <v>2318</v>
      </c>
      <c r="E647" s="26" t="s">
        <v>182</v>
      </c>
      <c r="F647" s="71" t="s">
        <v>197</v>
      </c>
      <c r="G647" s="48" t="s">
        <v>2308</v>
      </c>
      <c r="H647" s="5" t="s">
        <v>2309</v>
      </c>
      <c r="I647" s="117" t="s">
        <v>182</v>
      </c>
      <c r="J647" s="29" t="s">
        <v>145</v>
      </c>
      <c r="K647" s="29" t="s">
        <v>2310</v>
      </c>
      <c r="L647" t="s">
        <v>40</v>
      </c>
      <c r="M647" s="16" t="s">
        <v>2194</v>
      </c>
      <c r="N647" s="3" t="str">
        <f t="shared" ref="N647:N653" si="29">IF(L647="New","1  Year",IF(L647="Promotional","15 Weeks",IF(L647="Revalidation","2 Years","")))</f>
        <v>1  Year</v>
      </c>
      <c r="O647" t="s">
        <v>1910</v>
      </c>
      <c r="P647" t="s">
        <v>2099</v>
      </c>
      <c r="Q647">
        <v>2026</v>
      </c>
      <c r="R647" s="29" t="s">
        <v>44</v>
      </c>
      <c r="S647" s="29" t="s">
        <v>45</v>
      </c>
      <c r="T647" s="4" t="s">
        <v>2311</v>
      </c>
      <c r="U647" t="s">
        <v>162</v>
      </c>
      <c r="W647" t="s">
        <v>2312</v>
      </c>
      <c r="X647" t="s">
        <v>2313</v>
      </c>
      <c r="Y647" s="94" t="s">
        <v>2319</v>
      </c>
      <c r="Z647" s="29" t="s">
        <v>2320</v>
      </c>
      <c r="AB647" t="s">
        <v>165</v>
      </c>
      <c r="AC647" s="80">
        <v>46220</v>
      </c>
    </row>
    <row r="648" spans="2:29" ht="72">
      <c r="B648" s="17" t="s">
        <v>2321</v>
      </c>
      <c r="C648" s="22" t="s">
        <v>2322</v>
      </c>
      <c r="D648" s="52" t="s">
        <v>2323</v>
      </c>
      <c r="E648" s="26" t="s">
        <v>182</v>
      </c>
      <c r="F648" s="71" t="s">
        <v>197</v>
      </c>
      <c r="G648" s="48" t="s">
        <v>2308</v>
      </c>
      <c r="H648" s="5" t="s">
        <v>2309</v>
      </c>
      <c r="I648" s="117" t="s">
        <v>182</v>
      </c>
      <c r="J648" s="29" t="s">
        <v>145</v>
      </c>
      <c r="K648" s="29" t="s">
        <v>2310</v>
      </c>
      <c r="L648" t="s">
        <v>40</v>
      </c>
      <c r="M648" s="16" t="s">
        <v>2194</v>
      </c>
      <c r="N648" s="3" t="str">
        <f t="shared" si="29"/>
        <v>1  Year</v>
      </c>
      <c r="O648" t="s">
        <v>1910</v>
      </c>
      <c r="P648" t="s">
        <v>2099</v>
      </c>
      <c r="Q648">
        <v>2026</v>
      </c>
      <c r="R648" s="29" t="s">
        <v>44</v>
      </c>
      <c r="S648" s="29" t="s">
        <v>45</v>
      </c>
      <c r="T648" s="4" t="s">
        <v>2311</v>
      </c>
      <c r="U648" t="s">
        <v>162</v>
      </c>
      <c r="W648" t="s">
        <v>2312</v>
      </c>
      <c r="X648" t="s">
        <v>2313</v>
      </c>
      <c r="Y648" s="94" t="s">
        <v>2319</v>
      </c>
      <c r="Z648" s="29" t="s">
        <v>2320</v>
      </c>
      <c r="AB648" t="s">
        <v>165</v>
      </c>
      <c r="AC648" s="80">
        <v>46220</v>
      </c>
    </row>
    <row r="649" spans="2:29" ht="100.8">
      <c r="B649" s="17" t="s">
        <v>2324</v>
      </c>
      <c r="C649" s="22" t="s">
        <v>2325</v>
      </c>
      <c r="D649" s="52" t="s">
        <v>2326</v>
      </c>
      <c r="E649" s="26" t="s">
        <v>182</v>
      </c>
      <c r="F649" s="71" t="s">
        <v>197</v>
      </c>
      <c r="G649" s="48" t="s">
        <v>2308</v>
      </c>
      <c r="H649" s="5" t="s">
        <v>2309</v>
      </c>
      <c r="I649" s="117" t="s">
        <v>182</v>
      </c>
      <c r="J649" s="29" t="s">
        <v>145</v>
      </c>
      <c r="K649" s="29" t="s">
        <v>2310</v>
      </c>
      <c r="L649" t="s">
        <v>40</v>
      </c>
      <c r="M649" s="16" t="s">
        <v>2194</v>
      </c>
      <c r="N649" s="3" t="str">
        <f t="shared" si="29"/>
        <v>1  Year</v>
      </c>
      <c r="O649" t="s">
        <v>1910</v>
      </c>
      <c r="P649" t="s">
        <v>2099</v>
      </c>
      <c r="Q649">
        <v>2026</v>
      </c>
      <c r="R649" s="29" t="s">
        <v>44</v>
      </c>
      <c r="S649" s="29" t="s">
        <v>45</v>
      </c>
      <c r="T649" s="4" t="s">
        <v>2311</v>
      </c>
      <c r="U649" t="s">
        <v>162</v>
      </c>
      <c r="W649" t="s">
        <v>2327</v>
      </c>
      <c r="X649" t="s">
        <v>2313</v>
      </c>
      <c r="Y649" s="94" t="s">
        <v>2319</v>
      </c>
      <c r="Z649" s="29" t="s">
        <v>2320</v>
      </c>
      <c r="AB649" t="s">
        <v>165</v>
      </c>
      <c r="AC649" s="80">
        <v>46220</v>
      </c>
    </row>
    <row r="650" spans="2:29" ht="43.2">
      <c r="B650" s="17" t="s">
        <v>194</v>
      </c>
      <c r="C650" s="22" t="s">
        <v>195</v>
      </c>
      <c r="D650" s="52" t="s">
        <v>196</v>
      </c>
      <c r="E650" s="26" t="s">
        <v>182</v>
      </c>
      <c r="F650" s="71" t="s">
        <v>197</v>
      </c>
      <c r="G650" s="48" t="s">
        <v>2308</v>
      </c>
      <c r="H650" s="5" t="s">
        <v>2309</v>
      </c>
      <c r="I650" s="117" t="s">
        <v>182</v>
      </c>
      <c r="J650" s="29" t="s">
        <v>145</v>
      </c>
      <c r="K650" s="29" t="s">
        <v>2310</v>
      </c>
      <c r="L650" t="s">
        <v>40</v>
      </c>
      <c r="M650" s="16" t="s">
        <v>2194</v>
      </c>
      <c r="N650" s="3" t="str">
        <f t="shared" si="29"/>
        <v>1  Year</v>
      </c>
      <c r="O650" t="s">
        <v>1910</v>
      </c>
      <c r="P650" t="s">
        <v>2099</v>
      </c>
      <c r="Q650">
        <v>2026</v>
      </c>
      <c r="R650" s="29" t="s">
        <v>44</v>
      </c>
      <c r="S650" s="29" t="s">
        <v>45</v>
      </c>
      <c r="T650" s="4" t="s">
        <v>2311</v>
      </c>
      <c r="U650" t="s">
        <v>162</v>
      </c>
      <c r="W650" t="s">
        <v>2327</v>
      </c>
      <c r="X650" t="s">
        <v>2313</v>
      </c>
      <c r="Y650" s="94" t="s">
        <v>2319</v>
      </c>
      <c r="Z650" s="29" t="s">
        <v>2320</v>
      </c>
      <c r="AB650" t="s">
        <v>165</v>
      </c>
      <c r="AC650" s="80">
        <v>46220</v>
      </c>
    </row>
    <row r="651" spans="2:29" ht="57.6">
      <c r="B651" s="17" t="s">
        <v>2328</v>
      </c>
      <c r="C651" s="17" t="s">
        <v>2329</v>
      </c>
      <c r="D651" s="52" t="s">
        <v>2297</v>
      </c>
      <c r="E651" s="26" t="s">
        <v>182</v>
      </c>
      <c r="F651" s="68" t="s">
        <v>2095</v>
      </c>
      <c r="G651" s="71" t="s">
        <v>2096</v>
      </c>
      <c r="H651" s="5" t="s">
        <v>2298</v>
      </c>
      <c r="I651" s="116" t="s">
        <v>2299</v>
      </c>
      <c r="J651" s="29" t="s">
        <v>145</v>
      </c>
      <c r="K651" s="29" t="s">
        <v>2330</v>
      </c>
      <c r="L651" t="s">
        <v>40</v>
      </c>
      <c r="M651" s="16" t="s">
        <v>2194</v>
      </c>
      <c r="N651" s="3" t="str">
        <f t="shared" si="29"/>
        <v>1  Year</v>
      </c>
      <c r="O651" t="s">
        <v>1520</v>
      </c>
      <c r="P651" t="s">
        <v>2099</v>
      </c>
      <c r="Q651">
        <v>2026</v>
      </c>
      <c r="R651" s="29" t="s">
        <v>44</v>
      </c>
      <c r="S651" s="29" t="s">
        <v>45</v>
      </c>
      <c r="T651" s="4" t="s">
        <v>2331</v>
      </c>
      <c r="Y651" t="s">
        <v>47</v>
      </c>
    </row>
    <row r="652" spans="2:29" ht="43.2">
      <c r="B652" s="17" t="s">
        <v>2332</v>
      </c>
      <c r="C652" s="22" t="s">
        <v>2333</v>
      </c>
      <c r="D652" s="52" t="s">
        <v>2297</v>
      </c>
      <c r="E652" s="26" t="s">
        <v>182</v>
      </c>
      <c r="F652" s="68" t="s">
        <v>2095</v>
      </c>
      <c r="G652" s="71" t="s">
        <v>2096</v>
      </c>
      <c r="H652" s="5" t="s">
        <v>2298</v>
      </c>
      <c r="I652" s="116" t="s">
        <v>2299</v>
      </c>
      <c r="J652" s="29" t="s">
        <v>145</v>
      </c>
      <c r="K652" s="29" t="s">
        <v>2334</v>
      </c>
      <c r="L652" t="s">
        <v>40</v>
      </c>
      <c r="M652" s="16" t="s">
        <v>2194</v>
      </c>
      <c r="N652" s="3" t="str">
        <f t="shared" si="29"/>
        <v>1  Year</v>
      </c>
      <c r="O652" t="s">
        <v>1520</v>
      </c>
      <c r="P652" t="s">
        <v>2099</v>
      </c>
      <c r="Q652">
        <v>2026</v>
      </c>
      <c r="R652" s="29" t="s">
        <v>44</v>
      </c>
      <c r="S652" s="29" t="s">
        <v>45</v>
      </c>
      <c r="T652" s="4" t="s">
        <v>2335</v>
      </c>
      <c r="Y652" t="s">
        <v>47</v>
      </c>
    </row>
    <row r="653" spans="2:29" ht="72">
      <c r="B653" s="17" t="s">
        <v>2336</v>
      </c>
      <c r="C653" s="17" t="s">
        <v>2337</v>
      </c>
      <c r="D653" s="52" t="s">
        <v>2338</v>
      </c>
      <c r="E653" s="26" t="s">
        <v>52</v>
      </c>
      <c r="F653" s="68" t="s">
        <v>1937</v>
      </c>
      <c r="G653" s="48" t="s">
        <v>2167</v>
      </c>
      <c r="H653" s="5" t="s">
        <v>2168</v>
      </c>
      <c r="I653" s="118" t="s">
        <v>2172</v>
      </c>
      <c r="J653" s="29" t="s">
        <v>57</v>
      </c>
      <c r="K653" s="29" t="s">
        <v>2339</v>
      </c>
      <c r="L653" t="s">
        <v>40</v>
      </c>
      <c r="M653" s="16" t="s">
        <v>2194</v>
      </c>
      <c r="N653" s="3" t="str">
        <f t="shared" si="29"/>
        <v>1  Year</v>
      </c>
      <c r="O653" t="s">
        <v>42</v>
      </c>
      <c r="P653" t="s">
        <v>2099</v>
      </c>
      <c r="Q653">
        <v>2026</v>
      </c>
      <c r="R653" s="29" t="s">
        <v>44</v>
      </c>
      <c r="S653" s="29" t="s">
        <v>45</v>
      </c>
      <c r="T653" s="4" t="s">
        <v>2340</v>
      </c>
      <c r="Y653" t="s">
        <v>47</v>
      </c>
    </row>
    <row r="654" spans="2:29" ht="72">
      <c r="B654" s="17" t="s">
        <v>2336</v>
      </c>
      <c r="C654" s="17" t="s">
        <v>2337</v>
      </c>
      <c r="D654" s="52" t="s">
        <v>2338</v>
      </c>
      <c r="E654" s="26" t="s">
        <v>52</v>
      </c>
      <c r="F654" s="68" t="s">
        <v>1937</v>
      </c>
      <c r="G654" s="48" t="s">
        <v>2167</v>
      </c>
      <c r="H654" s="5" t="s">
        <v>2168</v>
      </c>
      <c r="I654" s="118" t="s">
        <v>2172</v>
      </c>
      <c r="J654" s="29" t="s">
        <v>800</v>
      </c>
      <c r="K654" s="29" t="s">
        <v>2339</v>
      </c>
      <c r="L654" t="s">
        <v>40</v>
      </c>
      <c r="M654" s="16" t="s">
        <v>2194</v>
      </c>
      <c r="N654" s="3" t="str">
        <f t="shared" ref="N654:N659" si="30">IF(L654="New","1  Year",IF(L654="Promotional","15 Weeks",IF(L654="Revalidation","2 Years","")))</f>
        <v>1  Year</v>
      </c>
      <c r="O654" t="s">
        <v>42</v>
      </c>
      <c r="P654" t="s">
        <v>2099</v>
      </c>
      <c r="Q654">
        <v>2026</v>
      </c>
      <c r="R654" s="29" t="s">
        <v>44</v>
      </c>
      <c r="S654" s="29" t="s">
        <v>45</v>
      </c>
      <c r="T654" s="4" t="s">
        <v>2340</v>
      </c>
      <c r="Y654" t="s">
        <v>47</v>
      </c>
    </row>
    <row r="655" spans="2:29" ht="43.2">
      <c r="B655" s="17" t="s">
        <v>2341</v>
      </c>
      <c r="C655" s="17" t="s">
        <v>2342</v>
      </c>
      <c r="D655" s="52" t="s">
        <v>1770</v>
      </c>
      <c r="E655" s="26" t="s">
        <v>182</v>
      </c>
      <c r="F655" s="68" t="s">
        <v>2095</v>
      </c>
      <c r="G655" s="71" t="s">
        <v>2096</v>
      </c>
      <c r="H655" s="5" t="s">
        <v>2298</v>
      </c>
      <c r="I655" s="116" t="s">
        <v>2299</v>
      </c>
      <c r="J655" s="29" t="s">
        <v>145</v>
      </c>
      <c r="K655" s="29" t="s">
        <v>2343</v>
      </c>
      <c r="L655" t="s">
        <v>40</v>
      </c>
      <c r="M655" s="16" t="s">
        <v>2194</v>
      </c>
      <c r="N655" s="3" t="str">
        <f t="shared" si="30"/>
        <v>1  Year</v>
      </c>
      <c r="O655" t="s">
        <v>1520</v>
      </c>
      <c r="P655" t="s">
        <v>2099</v>
      </c>
      <c r="Q655">
        <v>2026</v>
      </c>
      <c r="R655" s="29" t="s">
        <v>44</v>
      </c>
      <c r="S655" s="29" t="s">
        <v>45</v>
      </c>
      <c r="T655" s="4" t="s">
        <v>2344</v>
      </c>
      <c r="Y655" t="s">
        <v>47</v>
      </c>
    </row>
    <row r="656" spans="2:29" ht="31.8">
      <c r="B656" s="17" t="s">
        <v>2345</v>
      </c>
      <c r="C656" s="22" t="s">
        <v>206</v>
      </c>
      <c r="D656" s="52" t="s">
        <v>2346</v>
      </c>
      <c r="E656" s="26" t="s">
        <v>182</v>
      </c>
      <c r="F656" s="70" t="s">
        <v>208</v>
      </c>
      <c r="G656" s="48" t="s">
        <v>2347</v>
      </c>
      <c r="H656" s="59" t="s">
        <v>2348</v>
      </c>
      <c r="I656" s="116" t="s">
        <v>349</v>
      </c>
      <c r="J656" s="29" t="s">
        <v>48</v>
      </c>
      <c r="K656" s="29" t="s">
        <v>2349</v>
      </c>
      <c r="L656" t="s">
        <v>40</v>
      </c>
      <c r="M656" s="16" t="s">
        <v>2194</v>
      </c>
      <c r="N656" s="3" t="str">
        <f t="shared" si="30"/>
        <v>1  Year</v>
      </c>
      <c r="O656" t="s">
        <v>1910</v>
      </c>
      <c r="P656" t="s">
        <v>2099</v>
      </c>
      <c r="Q656">
        <v>2026</v>
      </c>
      <c r="R656" s="29" t="s">
        <v>1981</v>
      </c>
      <c r="S656" s="29" t="s">
        <v>45</v>
      </c>
      <c r="T656" s="4" t="s">
        <v>2350</v>
      </c>
      <c r="Y656" t="s">
        <v>47</v>
      </c>
    </row>
    <row r="657" spans="2:29" ht="43.2">
      <c r="B657" s="17" t="s">
        <v>2351</v>
      </c>
      <c r="C657" s="22" t="s">
        <v>2352</v>
      </c>
      <c r="D657" s="52" t="s">
        <v>969</v>
      </c>
      <c r="E657" s="26" t="s">
        <v>182</v>
      </c>
      <c r="F657" s="68" t="s">
        <v>2095</v>
      </c>
      <c r="G657" s="48" t="s">
        <v>2096</v>
      </c>
      <c r="H657" s="5" t="s">
        <v>2298</v>
      </c>
      <c r="I657" s="116" t="s">
        <v>2299</v>
      </c>
      <c r="J657" s="29" t="s">
        <v>145</v>
      </c>
      <c r="K657" s="29" t="s">
        <v>2353</v>
      </c>
      <c r="L657" t="s">
        <v>40</v>
      </c>
      <c r="M657" s="16" t="s">
        <v>2194</v>
      </c>
      <c r="N657" s="3" t="str">
        <f t="shared" si="30"/>
        <v>1  Year</v>
      </c>
      <c r="O657" t="s">
        <v>1520</v>
      </c>
      <c r="P657" t="s">
        <v>2099</v>
      </c>
      <c r="Q657">
        <v>2026</v>
      </c>
      <c r="R657" s="29" t="s">
        <v>44</v>
      </c>
      <c r="S657" s="29" t="s">
        <v>45</v>
      </c>
      <c r="T657" s="4" t="s">
        <v>2354</v>
      </c>
      <c r="Y657" t="s">
        <v>47</v>
      </c>
    </row>
    <row r="658" spans="2:29" ht="86.4">
      <c r="B658" s="17" t="s">
        <v>2355</v>
      </c>
      <c r="C658" s="17" t="s">
        <v>2356</v>
      </c>
      <c r="D658" s="52" t="s">
        <v>969</v>
      </c>
      <c r="E658" s="26" t="s">
        <v>182</v>
      </c>
      <c r="F658" s="68" t="s">
        <v>2095</v>
      </c>
      <c r="G658" s="48" t="s">
        <v>2096</v>
      </c>
      <c r="H658" s="5" t="s">
        <v>2298</v>
      </c>
      <c r="I658" s="116" t="s">
        <v>2299</v>
      </c>
      <c r="J658" s="29" t="s">
        <v>145</v>
      </c>
      <c r="K658" s="29" t="s">
        <v>2357</v>
      </c>
      <c r="L658" t="s">
        <v>40</v>
      </c>
      <c r="M658" s="16" t="s">
        <v>2194</v>
      </c>
      <c r="N658" s="3" t="str">
        <f t="shared" si="30"/>
        <v>1  Year</v>
      </c>
      <c r="O658" t="s">
        <v>1520</v>
      </c>
      <c r="P658" t="s">
        <v>2099</v>
      </c>
      <c r="Q658">
        <v>2026</v>
      </c>
      <c r="R658" s="29" t="s">
        <v>44</v>
      </c>
      <c r="S658" s="29" t="s">
        <v>45</v>
      </c>
      <c r="T658" s="4" t="s">
        <v>2358</v>
      </c>
      <c r="Y658" t="s">
        <v>47</v>
      </c>
    </row>
    <row r="659" spans="2:29" ht="43.2">
      <c r="B659" s="26" t="s">
        <v>2359</v>
      </c>
      <c r="C659" s="17" t="s">
        <v>2360</v>
      </c>
      <c r="D659" s="52" t="s">
        <v>1614</v>
      </c>
      <c r="E659" s="26" t="s">
        <v>182</v>
      </c>
      <c r="F659" s="68" t="s">
        <v>2095</v>
      </c>
      <c r="G659" s="48" t="s">
        <v>2096</v>
      </c>
      <c r="H659" s="5" t="s">
        <v>2298</v>
      </c>
      <c r="I659" s="116" t="s">
        <v>2299</v>
      </c>
      <c r="J659" s="29" t="s">
        <v>145</v>
      </c>
      <c r="K659" s="29" t="s">
        <v>2361</v>
      </c>
      <c r="L659" t="s">
        <v>40</v>
      </c>
      <c r="M659" s="16" t="s">
        <v>2194</v>
      </c>
      <c r="N659" s="3" t="str">
        <f t="shared" si="30"/>
        <v>1  Year</v>
      </c>
      <c r="O659" t="s">
        <v>1520</v>
      </c>
      <c r="P659" t="s">
        <v>2099</v>
      </c>
      <c r="Q659">
        <v>2026</v>
      </c>
      <c r="R659" s="29" t="s">
        <v>44</v>
      </c>
      <c r="S659" s="29" t="s">
        <v>45</v>
      </c>
      <c r="T659" s="4" t="s">
        <v>2362</v>
      </c>
      <c r="Y659" t="s">
        <v>47</v>
      </c>
    </row>
    <row r="660" spans="2:29" ht="28.8">
      <c r="B660" s="17" t="s">
        <v>2363</v>
      </c>
      <c r="C660" s="22" t="s">
        <v>2364</v>
      </c>
      <c r="D660" s="52" t="s">
        <v>114</v>
      </c>
      <c r="E660" s="26" t="s">
        <v>182</v>
      </c>
      <c r="F660" s="68" t="s">
        <v>966</v>
      </c>
      <c r="G660" s="48" t="s">
        <v>527</v>
      </c>
      <c r="H660" s="5" t="s">
        <v>2365</v>
      </c>
      <c r="I660" s="116" t="s">
        <v>529</v>
      </c>
      <c r="J660" s="29" t="s">
        <v>145</v>
      </c>
      <c r="K660" s="29" t="s">
        <v>2366</v>
      </c>
      <c r="L660" t="s">
        <v>40</v>
      </c>
      <c r="M660" s="16" t="s">
        <v>2194</v>
      </c>
      <c r="N660" s="3" t="str">
        <f t="shared" ref="N660:N724" si="31">IF(L660="New","1  Year",IF(L660="Promotional","15 Weeks",IF(L660="Revalidation","2 Years","")))</f>
        <v>1  Year</v>
      </c>
      <c r="O660" t="s">
        <v>1910</v>
      </c>
      <c r="P660" t="s">
        <v>2099</v>
      </c>
      <c r="Q660">
        <v>2026</v>
      </c>
      <c r="R660" s="29" t="s">
        <v>1981</v>
      </c>
      <c r="S660" s="29" t="s">
        <v>45</v>
      </c>
      <c r="T660" s="4" t="s">
        <v>2367</v>
      </c>
      <c r="U660" t="s">
        <v>813</v>
      </c>
      <c r="Y660" s="79" t="s">
        <v>103</v>
      </c>
      <c r="AA660" s="4" t="s">
        <v>2368</v>
      </c>
      <c r="AB660" s="29" t="s">
        <v>165</v>
      </c>
      <c r="AC660" s="80">
        <v>46219</v>
      </c>
    </row>
    <row r="661" spans="2:29" ht="28.8">
      <c r="B661" s="17" t="s">
        <v>2369</v>
      </c>
      <c r="C661" s="22" t="s">
        <v>2370</v>
      </c>
      <c r="D661" s="52" t="s">
        <v>114</v>
      </c>
      <c r="E661" s="26" t="s">
        <v>182</v>
      </c>
      <c r="F661" s="68" t="s">
        <v>966</v>
      </c>
      <c r="G661" s="48" t="s">
        <v>527</v>
      </c>
      <c r="H661" s="5" t="s">
        <v>2365</v>
      </c>
      <c r="I661" s="116" t="s">
        <v>529</v>
      </c>
      <c r="J661" s="29" t="s">
        <v>145</v>
      </c>
      <c r="K661" s="29" t="s">
        <v>2366</v>
      </c>
      <c r="L661" t="s">
        <v>40</v>
      </c>
      <c r="M661" s="16" t="s">
        <v>2194</v>
      </c>
      <c r="N661" s="3" t="str">
        <f t="shared" si="31"/>
        <v>1  Year</v>
      </c>
      <c r="O661" t="s">
        <v>1910</v>
      </c>
      <c r="P661" t="s">
        <v>2099</v>
      </c>
      <c r="Q661">
        <v>2026</v>
      </c>
      <c r="R661" s="29" t="s">
        <v>1981</v>
      </c>
      <c r="S661" s="29" t="s">
        <v>45</v>
      </c>
      <c r="T661" s="4" t="s">
        <v>2367</v>
      </c>
      <c r="U661" t="s">
        <v>813</v>
      </c>
      <c r="Y661" s="79" t="s">
        <v>103</v>
      </c>
      <c r="AA661" s="4" t="s">
        <v>2368</v>
      </c>
      <c r="AB661" s="29" t="s">
        <v>165</v>
      </c>
      <c r="AC661" s="80">
        <v>46584</v>
      </c>
    </row>
    <row r="662" spans="2:29" ht="28.8">
      <c r="B662" s="17" t="s">
        <v>2371</v>
      </c>
      <c r="C662" s="17" t="s">
        <v>2372</v>
      </c>
      <c r="D662" s="52" t="s">
        <v>2373</v>
      </c>
      <c r="E662" s="26" t="s">
        <v>33</v>
      </c>
      <c r="F662" s="68" t="s">
        <v>966</v>
      </c>
      <c r="G662" s="48" t="s">
        <v>527</v>
      </c>
      <c r="H662" s="5" t="s">
        <v>2365</v>
      </c>
      <c r="I662" s="116" t="s">
        <v>529</v>
      </c>
      <c r="J662" s="29" t="s">
        <v>145</v>
      </c>
      <c r="K662" s="97" t="s">
        <v>2374</v>
      </c>
      <c r="L662" t="s">
        <v>40</v>
      </c>
      <c r="M662" s="16" t="s">
        <v>2194</v>
      </c>
      <c r="N662" s="3" t="str">
        <f t="shared" si="31"/>
        <v>1  Year</v>
      </c>
      <c r="O662" t="s">
        <v>42</v>
      </c>
      <c r="P662" t="s">
        <v>2099</v>
      </c>
      <c r="Q662">
        <v>2026</v>
      </c>
      <c r="R662" s="29" t="s">
        <v>1981</v>
      </c>
      <c r="S662" s="29" t="s">
        <v>45</v>
      </c>
      <c r="T662" s="4" t="s">
        <v>2375</v>
      </c>
      <c r="Y662" t="s">
        <v>47</v>
      </c>
    </row>
    <row r="663" spans="2:29" ht="31.8">
      <c r="B663" s="17" t="s">
        <v>2376</v>
      </c>
      <c r="C663" s="17" t="s">
        <v>2377</v>
      </c>
      <c r="D663" s="17" t="s">
        <v>2378</v>
      </c>
      <c r="E663" s="26" t="s">
        <v>33</v>
      </c>
      <c r="F663" s="68" t="s">
        <v>2095</v>
      </c>
      <c r="G663" s="48" t="s">
        <v>2096</v>
      </c>
      <c r="H663" s="5" t="s">
        <v>2298</v>
      </c>
      <c r="I663" s="116" t="s">
        <v>2299</v>
      </c>
      <c r="J663" s="29" t="s">
        <v>145</v>
      </c>
      <c r="K663" s="38" t="s">
        <v>2379</v>
      </c>
      <c r="L663" t="s">
        <v>40</v>
      </c>
      <c r="M663" s="16" t="s">
        <v>2194</v>
      </c>
      <c r="N663" s="3" t="str">
        <f t="shared" si="31"/>
        <v>1  Year</v>
      </c>
      <c r="O663" t="s">
        <v>1520</v>
      </c>
      <c r="P663" t="s">
        <v>2099</v>
      </c>
      <c r="Q663">
        <v>2026</v>
      </c>
      <c r="R663" s="29" t="s">
        <v>44</v>
      </c>
      <c r="S663" s="29" t="s">
        <v>45</v>
      </c>
      <c r="T663" s="4" t="s">
        <v>2380</v>
      </c>
      <c r="Y663" t="s">
        <v>47</v>
      </c>
    </row>
    <row r="664" spans="2:29" ht="39.6">
      <c r="B664" s="17" t="s">
        <v>2381</v>
      </c>
      <c r="C664" s="17" t="s">
        <v>2382</v>
      </c>
      <c r="D664" s="17" t="s">
        <v>2383</v>
      </c>
      <c r="E664" s="26" t="s">
        <v>33</v>
      </c>
      <c r="F664" s="68" t="s">
        <v>2095</v>
      </c>
      <c r="G664" s="48" t="s">
        <v>2096</v>
      </c>
      <c r="H664" s="5" t="s">
        <v>2298</v>
      </c>
      <c r="I664" s="116" t="s">
        <v>2299</v>
      </c>
      <c r="J664" s="29" t="s">
        <v>145</v>
      </c>
      <c r="K664" s="38" t="s">
        <v>2384</v>
      </c>
      <c r="L664" t="s">
        <v>40</v>
      </c>
      <c r="M664" s="16" t="s">
        <v>2194</v>
      </c>
      <c r="N664" s="3" t="str">
        <f t="shared" si="31"/>
        <v>1  Year</v>
      </c>
      <c r="O664" t="s">
        <v>1520</v>
      </c>
      <c r="P664" t="s">
        <v>2099</v>
      </c>
      <c r="Q664">
        <v>2026</v>
      </c>
      <c r="R664" s="29" t="s">
        <v>44</v>
      </c>
      <c r="S664" s="29" t="s">
        <v>45</v>
      </c>
      <c r="T664" s="4" t="s">
        <v>2385</v>
      </c>
      <c r="Y664" t="s">
        <v>47</v>
      </c>
    </row>
    <row r="665" spans="2:29" ht="39.6">
      <c r="B665" s="17" t="s">
        <v>2386</v>
      </c>
      <c r="C665" s="17" t="s">
        <v>2387</v>
      </c>
      <c r="D665" s="17" t="s">
        <v>969</v>
      </c>
      <c r="E665" s="26" t="s">
        <v>33</v>
      </c>
      <c r="F665" s="98" t="s">
        <v>1599</v>
      </c>
      <c r="G665" s="48" t="s">
        <v>1600</v>
      </c>
      <c r="H665" s="17" t="s">
        <v>2388</v>
      </c>
      <c r="I665" s="121" t="s">
        <v>2389</v>
      </c>
      <c r="J665" s="29" t="s">
        <v>145</v>
      </c>
      <c r="K665" s="38" t="s">
        <v>2390</v>
      </c>
      <c r="L665" t="s">
        <v>40</v>
      </c>
      <c r="M665" s="16" t="s">
        <v>2194</v>
      </c>
      <c r="N665" s="3" t="str">
        <f t="shared" si="31"/>
        <v>1  Year</v>
      </c>
      <c r="O665" t="s">
        <v>1520</v>
      </c>
      <c r="P665" t="s">
        <v>2099</v>
      </c>
      <c r="Q665">
        <v>2026</v>
      </c>
      <c r="R665" s="29" t="s">
        <v>44</v>
      </c>
      <c r="S665" s="29" t="s">
        <v>45</v>
      </c>
      <c r="T665" s="4" t="s">
        <v>2391</v>
      </c>
      <c r="Y665" t="s">
        <v>47</v>
      </c>
    </row>
    <row r="666" spans="2:29" ht="39.6">
      <c r="B666" s="17" t="s">
        <v>2392</v>
      </c>
      <c r="C666" s="17" t="s">
        <v>2393</v>
      </c>
      <c r="D666" s="52" t="s">
        <v>2394</v>
      </c>
      <c r="E666" s="26" t="s">
        <v>33</v>
      </c>
      <c r="F666" s="99" t="s">
        <v>1599</v>
      </c>
      <c r="G666" s="48" t="s">
        <v>1600</v>
      </c>
      <c r="H666" s="17" t="s">
        <v>2388</v>
      </c>
      <c r="I666" s="121" t="s">
        <v>2389</v>
      </c>
      <c r="J666" s="29" t="s">
        <v>145</v>
      </c>
      <c r="K666" s="38" t="s">
        <v>2395</v>
      </c>
      <c r="L666" t="s">
        <v>40</v>
      </c>
      <c r="M666" s="16">
        <f>DATE(RIGHT(M665,4),MID(M665,4,2),LEFT(M665,2))</f>
        <v>46140</v>
      </c>
      <c r="N666" s="3" t="str">
        <f t="shared" si="31"/>
        <v>1  Year</v>
      </c>
      <c r="O666" t="s">
        <v>1520</v>
      </c>
      <c r="P666" t="str">
        <f>TEXT(M666,"mmmm")</f>
        <v>April</v>
      </c>
      <c r="Q666">
        <f>YEAR(M666)</f>
        <v>2026</v>
      </c>
      <c r="R666" s="29" t="s">
        <v>44</v>
      </c>
      <c r="S666" s="29" t="s">
        <v>45</v>
      </c>
      <c r="T666" s="4" t="s">
        <v>2396</v>
      </c>
      <c r="Y666" t="s">
        <v>47</v>
      </c>
    </row>
    <row r="667" spans="2:29" ht="39.6">
      <c r="B667" s="17" t="s">
        <v>2397</v>
      </c>
      <c r="C667" s="17" t="s">
        <v>2398</v>
      </c>
      <c r="D667" s="17" t="s">
        <v>2378</v>
      </c>
      <c r="E667" s="26" t="s">
        <v>33</v>
      </c>
      <c r="F667" s="68" t="s">
        <v>312</v>
      </c>
      <c r="G667" s="48" t="s">
        <v>2399</v>
      </c>
      <c r="H667" s="5" t="s">
        <v>295</v>
      </c>
      <c r="I667" s="117" t="s">
        <v>2400</v>
      </c>
      <c r="J667" s="29" t="s">
        <v>145</v>
      </c>
      <c r="K667" s="38" t="s">
        <v>2401</v>
      </c>
      <c r="L667" t="s">
        <v>40</v>
      </c>
      <c r="M667" s="16">
        <v>46140</v>
      </c>
      <c r="N667" s="3" t="str">
        <f t="shared" si="31"/>
        <v>1  Year</v>
      </c>
      <c r="O667" t="s">
        <v>1520</v>
      </c>
      <c r="P667" t="str">
        <f>TEXT(M667,"mmmm")</f>
        <v>April</v>
      </c>
      <c r="Q667">
        <f>YEAR(M667)</f>
        <v>2026</v>
      </c>
      <c r="R667" s="29" t="s">
        <v>44</v>
      </c>
      <c r="S667" s="29" t="s">
        <v>45</v>
      </c>
      <c r="T667" s="4" t="s">
        <v>2402</v>
      </c>
      <c r="Y667" t="s">
        <v>47</v>
      </c>
    </row>
    <row r="668" spans="2:29" ht="31.8">
      <c r="B668" s="17" t="s">
        <v>2403</v>
      </c>
      <c r="C668" s="17" t="s">
        <v>2404</v>
      </c>
      <c r="D668" s="17" t="s">
        <v>609</v>
      </c>
      <c r="E668" s="26" t="s">
        <v>33</v>
      </c>
      <c r="F668" s="68" t="s">
        <v>312</v>
      </c>
      <c r="G668" s="48" t="s">
        <v>2399</v>
      </c>
      <c r="H668" s="5" t="s">
        <v>295</v>
      </c>
      <c r="I668" s="117" t="s">
        <v>2400</v>
      </c>
      <c r="J668" s="29" t="s">
        <v>145</v>
      </c>
      <c r="K668" s="38" t="s">
        <v>2405</v>
      </c>
      <c r="L668" t="s">
        <v>40</v>
      </c>
      <c r="M668" s="16">
        <v>46140</v>
      </c>
      <c r="N668" s="3" t="str">
        <f t="shared" si="31"/>
        <v>1  Year</v>
      </c>
      <c r="O668" t="s">
        <v>1520</v>
      </c>
      <c r="P668" t="str">
        <f t="shared" ref="P668:P669" si="32">TEXT(M668,"mmmm")</f>
        <v>April</v>
      </c>
      <c r="Q668">
        <f t="shared" ref="Q668:Q669" si="33">YEAR(M668)</f>
        <v>2026</v>
      </c>
      <c r="R668" s="29" t="s">
        <v>44</v>
      </c>
      <c r="S668" s="29" t="s">
        <v>45</v>
      </c>
      <c r="T668" s="4" t="s">
        <v>2406</v>
      </c>
    </row>
    <row r="669" spans="2:29" ht="52.8">
      <c r="B669" s="17" t="s">
        <v>2407</v>
      </c>
      <c r="C669" s="17" t="s">
        <v>2408</v>
      </c>
      <c r="D669" s="100" t="s">
        <v>2409</v>
      </c>
      <c r="E669" s="26" t="s">
        <v>182</v>
      </c>
      <c r="F669" s="98" t="s">
        <v>217</v>
      </c>
      <c r="G669" s="38" t="s">
        <v>2410</v>
      </c>
      <c r="H669" s="17" t="s">
        <v>219</v>
      </c>
      <c r="I669" s="117" t="s">
        <v>220</v>
      </c>
      <c r="J669" s="29" t="s">
        <v>48</v>
      </c>
      <c r="K669" s="38" t="s">
        <v>2411</v>
      </c>
      <c r="L669" t="s">
        <v>40</v>
      </c>
      <c r="M669" s="16">
        <v>46140</v>
      </c>
      <c r="N669" s="3" t="str">
        <f t="shared" si="31"/>
        <v>1  Year</v>
      </c>
      <c r="O669" t="s">
        <v>1910</v>
      </c>
      <c r="P669" t="str">
        <f t="shared" si="32"/>
        <v>April</v>
      </c>
      <c r="Q669">
        <f t="shared" si="33"/>
        <v>2026</v>
      </c>
      <c r="R669" s="29" t="s">
        <v>1981</v>
      </c>
      <c r="S669" s="29" t="s">
        <v>45</v>
      </c>
    </row>
    <row r="670" spans="2:29" ht="52.8">
      <c r="B670" s="17" t="s">
        <v>2407</v>
      </c>
      <c r="C670" s="17" t="s">
        <v>2408</v>
      </c>
      <c r="D670" s="100" t="s">
        <v>2409</v>
      </c>
      <c r="E670" s="26" t="s">
        <v>182</v>
      </c>
      <c r="F670" s="98" t="s">
        <v>217</v>
      </c>
      <c r="G670" s="38" t="s">
        <v>2410</v>
      </c>
      <c r="H670" s="17" t="s">
        <v>219</v>
      </c>
      <c r="I670" s="117" t="s">
        <v>220</v>
      </c>
      <c r="J670" s="29" t="s">
        <v>48</v>
      </c>
      <c r="K670" s="38" t="s">
        <v>2411</v>
      </c>
      <c r="L670" t="s">
        <v>40</v>
      </c>
      <c r="M670" s="16">
        <v>46140</v>
      </c>
      <c r="N670" s="3" t="str">
        <f t="shared" si="31"/>
        <v>1  Year</v>
      </c>
      <c r="O670" t="s">
        <v>1910</v>
      </c>
      <c r="P670" t="str">
        <f t="shared" ref="P670:P680" si="34">TEXT(M670,"mmmm")</f>
        <v>April</v>
      </c>
      <c r="Q670">
        <f t="shared" ref="Q670:Q680" si="35">YEAR(M670)</f>
        <v>2026</v>
      </c>
      <c r="R670" s="29" t="s">
        <v>1981</v>
      </c>
      <c r="S670" s="29" t="s">
        <v>45</v>
      </c>
    </row>
    <row r="671" spans="2:29" ht="52.8">
      <c r="B671" s="17" t="s">
        <v>2407</v>
      </c>
      <c r="C671" s="17" t="s">
        <v>2408</v>
      </c>
      <c r="D671" s="100" t="s">
        <v>2409</v>
      </c>
      <c r="E671" s="26" t="s">
        <v>182</v>
      </c>
      <c r="F671" s="98" t="s">
        <v>217</v>
      </c>
      <c r="G671" s="38" t="s">
        <v>2410</v>
      </c>
      <c r="H671" s="17" t="s">
        <v>219</v>
      </c>
      <c r="I671" s="117" t="s">
        <v>220</v>
      </c>
      <c r="J671" s="29" t="s">
        <v>48</v>
      </c>
      <c r="K671" s="38" t="s">
        <v>2411</v>
      </c>
      <c r="L671" t="s">
        <v>40</v>
      </c>
      <c r="M671" s="16">
        <v>46140</v>
      </c>
      <c r="N671" s="3" t="str">
        <f t="shared" si="31"/>
        <v>1  Year</v>
      </c>
      <c r="O671" t="s">
        <v>1910</v>
      </c>
      <c r="P671" t="str">
        <f t="shared" si="34"/>
        <v>April</v>
      </c>
      <c r="Q671">
        <f t="shared" si="35"/>
        <v>2026</v>
      </c>
      <c r="R671" s="29" t="s">
        <v>1981</v>
      </c>
      <c r="S671" s="29" t="s">
        <v>45</v>
      </c>
    </row>
    <row r="672" spans="2:29" ht="52.8">
      <c r="B672" s="17" t="s">
        <v>2407</v>
      </c>
      <c r="C672" s="17" t="s">
        <v>2408</v>
      </c>
      <c r="D672" s="100" t="s">
        <v>2409</v>
      </c>
      <c r="E672" s="26" t="s">
        <v>182</v>
      </c>
      <c r="F672" s="98" t="s">
        <v>217</v>
      </c>
      <c r="G672" s="38" t="s">
        <v>2410</v>
      </c>
      <c r="H672" s="17" t="s">
        <v>219</v>
      </c>
      <c r="I672" s="117" t="s">
        <v>220</v>
      </c>
      <c r="J672" s="29" t="s">
        <v>145</v>
      </c>
      <c r="K672" s="38" t="s">
        <v>2411</v>
      </c>
      <c r="L672" t="s">
        <v>40</v>
      </c>
      <c r="M672" s="16">
        <v>46140</v>
      </c>
      <c r="N672" s="3" t="str">
        <f t="shared" si="31"/>
        <v>1  Year</v>
      </c>
      <c r="O672" t="s">
        <v>1910</v>
      </c>
      <c r="P672" t="str">
        <f t="shared" si="34"/>
        <v>April</v>
      </c>
      <c r="Q672">
        <f t="shared" si="35"/>
        <v>2026</v>
      </c>
      <c r="R672" s="29" t="s">
        <v>1981</v>
      </c>
      <c r="S672" s="29" t="s">
        <v>45</v>
      </c>
    </row>
    <row r="673" spans="2:29" ht="52.8">
      <c r="B673" s="17" t="s">
        <v>2001</v>
      </c>
      <c r="C673" s="17" t="s">
        <v>2002</v>
      </c>
      <c r="D673" s="100" t="s">
        <v>2412</v>
      </c>
      <c r="E673" s="26" t="s">
        <v>182</v>
      </c>
      <c r="F673" s="98" t="s">
        <v>217</v>
      </c>
      <c r="G673" s="38" t="s">
        <v>2410</v>
      </c>
      <c r="H673" s="17" t="s">
        <v>219</v>
      </c>
      <c r="I673" s="117" t="s">
        <v>220</v>
      </c>
      <c r="J673" s="29" t="s">
        <v>48</v>
      </c>
      <c r="K673" s="38" t="s">
        <v>2411</v>
      </c>
      <c r="L673" t="s">
        <v>40</v>
      </c>
      <c r="M673" s="16">
        <v>46140</v>
      </c>
      <c r="N673" s="3" t="str">
        <f t="shared" si="31"/>
        <v>1  Year</v>
      </c>
      <c r="O673" t="s">
        <v>1910</v>
      </c>
      <c r="P673" t="str">
        <f t="shared" si="34"/>
        <v>April</v>
      </c>
      <c r="Q673">
        <f t="shared" si="35"/>
        <v>2026</v>
      </c>
      <c r="R673" s="29" t="s">
        <v>1981</v>
      </c>
      <c r="S673" s="29" t="s">
        <v>45</v>
      </c>
    </row>
    <row r="674" spans="2:29" ht="52.8">
      <c r="B674" s="17" t="s">
        <v>2001</v>
      </c>
      <c r="C674" s="17" t="s">
        <v>2002</v>
      </c>
      <c r="D674" s="100" t="s">
        <v>2412</v>
      </c>
      <c r="E674" s="26" t="s">
        <v>182</v>
      </c>
      <c r="F674" s="98" t="s">
        <v>217</v>
      </c>
      <c r="G674" s="38" t="s">
        <v>2410</v>
      </c>
      <c r="H674" s="17" t="s">
        <v>219</v>
      </c>
      <c r="I674" s="117" t="s">
        <v>220</v>
      </c>
      <c r="J674" s="29" t="s">
        <v>48</v>
      </c>
      <c r="K674" s="38" t="s">
        <v>2411</v>
      </c>
      <c r="L674" t="s">
        <v>40</v>
      </c>
      <c r="M674" s="16">
        <v>46140</v>
      </c>
      <c r="N674" s="3" t="str">
        <f t="shared" si="31"/>
        <v>1  Year</v>
      </c>
      <c r="O674" t="s">
        <v>1910</v>
      </c>
      <c r="P674" t="str">
        <f t="shared" si="34"/>
        <v>April</v>
      </c>
      <c r="Q674">
        <f t="shared" si="35"/>
        <v>2026</v>
      </c>
      <c r="R674" s="29" t="s">
        <v>1981</v>
      </c>
      <c r="S674" s="29" t="s">
        <v>45</v>
      </c>
    </row>
    <row r="675" spans="2:29" ht="52.8">
      <c r="B675" s="17" t="s">
        <v>2001</v>
      </c>
      <c r="C675" s="17" t="s">
        <v>2002</v>
      </c>
      <c r="D675" s="100" t="s">
        <v>2412</v>
      </c>
      <c r="E675" s="26" t="s">
        <v>182</v>
      </c>
      <c r="F675" s="98" t="s">
        <v>217</v>
      </c>
      <c r="G675" s="38" t="s">
        <v>2410</v>
      </c>
      <c r="H675" s="17" t="s">
        <v>219</v>
      </c>
      <c r="I675" s="117" t="s">
        <v>220</v>
      </c>
      <c r="J675" s="29" t="s">
        <v>48</v>
      </c>
      <c r="K675" s="38" t="s">
        <v>2411</v>
      </c>
      <c r="L675" t="s">
        <v>40</v>
      </c>
      <c r="M675" s="16">
        <v>46140</v>
      </c>
      <c r="N675" s="3" t="str">
        <f t="shared" si="31"/>
        <v>1  Year</v>
      </c>
      <c r="O675" t="s">
        <v>1910</v>
      </c>
      <c r="P675" t="str">
        <f t="shared" si="34"/>
        <v>April</v>
      </c>
      <c r="Q675">
        <f t="shared" si="35"/>
        <v>2026</v>
      </c>
      <c r="R675" s="29" t="s">
        <v>1981</v>
      </c>
      <c r="S675" s="29" t="s">
        <v>45</v>
      </c>
    </row>
    <row r="676" spans="2:29" ht="52.8">
      <c r="B676" s="17" t="s">
        <v>2001</v>
      </c>
      <c r="C676" s="17" t="s">
        <v>2002</v>
      </c>
      <c r="D676" s="100" t="s">
        <v>2412</v>
      </c>
      <c r="E676" s="26" t="s">
        <v>182</v>
      </c>
      <c r="F676" s="98" t="s">
        <v>217</v>
      </c>
      <c r="G676" s="38" t="s">
        <v>2410</v>
      </c>
      <c r="H676" s="17" t="s">
        <v>219</v>
      </c>
      <c r="I676" s="117" t="s">
        <v>220</v>
      </c>
      <c r="J676" s="29" t="s">
        <v>145</v>
      </c>
      <c r="K676" s="38" t="s">
        <v>2411</v>
      </c>
      <c r="L676" t="s">
        <v>40</v>
      </c>
      <c r="M676" s="16">
        <v>46140</v>
      </c>
      <c r="N676" s="3" t="str">
        <f t="shared" si="31"/>
        <v>1  Year</v>
      </c>
      <c r="O676" t="s">
        <v>1910</v>
      </c>
      <c r="P676" t="str">
        <f t="shared" si="34"/>
        <v>April</v>
      </c>
      <c r="Q676">
        <f t="shared" si="35"/>
        <v>2026</v>
      </c>
      <c r="R676" s="29" t="s">
        <v>1981</v>
      </c>
      <c r="S676" s="29" t="s">
        <v>45</v>
      </c>
    </row>
    <row r="677" spans="2:29" ht="52.8">
      <c r="B677" s="17" t="s">
        <v>668</v>
      </c>
      <c r="C677" s="17" t="s">
        <v>1725</v>
      </c>
      <c r="D677" s="17" t="s">
        <v>670</v>
      </c>
      <c r="E677" s="26" t="s">
        <v>182</v>
      </c>
      <c r="F677" s="98" t="s">
        <v>217</v>
      </c>
      <c r="G677" s="38" t="s">
        <v>2410</v>
      </c>
      <c r="H677" s="17" t="s">
        <v>219</v>
      </c>
      <c r="I677" s="117" t="s">
        <v>220</v>
      </c>
      <c r="J677" s="29" t="s">
        <v>48</v>
      </c>
      <c r="K677" s="38" t="s">
        <v>2411</v>
      </c>
      <c r="L677" t="s">
        <v>40</v>
      </c>
      <c r="M677" s="16">
        <v>46140</v>
      </c>
      <c r="N677" s="3" t="str">
        <f t="shared" si="31"/>
        <v>1  Year</v>
      </c>
      <c r="O677" t="s">
        <v>1910</v>
      </c>
      <c r="P677" t="str">
        <f t="shared" si="34"/>
        <v>April</v>
      </c>
      <c r="Q677">
        <f t="shared" si="35"/>
        <v>2026</v>
      </c>
      <c r="R677" s="29" t="s">
        <v>1981</v>
      </c>
      <c r="S677" s="29" t="s">
        <v>45</v>
      </c>
    </row>
    <row r="678" spans="2:29" ht="52.8">
      <c r="B678" s="17" t="s">
        <v>668</v>
      </c>
      <c r="C678" s="17" t="s">
        <v>1725</v>
      </c>
      <c r="D678" s="17" t="s">
        <v>670</v>
      </c>
      <c r="E678" s="26" t="s">
        <v>182</v>
      </c>
      <c r="F678" s="98" t="s">
        <v>217</v>
      </c>
      <c r="G678" s="38" t="s">
        <v>2410</v>
      </c>
      <c r="H678" s="17" t="s">
        <v>219</v>
      </c>
      <c r="I678" s="117" t="s">
        <v>220</v>
      </c>
      <c r="J678" s="29" t="s">
        <v>48</v>
      </c>
      <c r="K678" s="38" t="s">
        <v>2411</v>
      </c>
      <c r="L678" t="s">
        <v>40</v>
      </c>
      <c r="M678" s="16">
        <v>46140</v>
      </c>
      <c r="N678" s="3" t="str">
        <f t="shared" si="31"/>
        <v>1  Year</v>
      </c>
      <c r="O678" t="s">
        <v>1910</v>
      </c>
      <c r="P678" t="str">
        <f t="shared" si="34"/>
        <v>April</v>
      </c>
      <c r="Q678">
        <f t="shared" si="35"/>
        <v>2026</v>
      </c>
      <c r="R678" s="29" t="s">
        <v>1981</v>
      </c>
      <c r="S678" s="29" t="s">
        <v>45</v>
      </c>
    </row>
    <row r="679" spans="2:29" ht="52.8">
      <c r="B679" s="17" t="s">
        <v>668</v>
      </c>
      <c r="C679" s="17" t="s">
        <v>1725</v>
      </c>
      <c r="D679" s="17" t="s">
        <v>670</v>
      </c>
      <c r="E679" s="26" t="s">
        <v>182</v>
      </c>
      <c r="F679" s="98" t="s">
        <v>217</v>
      </c>
      <c r="G679" s="38" t="s">
        <v>2410</v>
      </c>
      <c r="H679" s="17" t="s">
        <v>219</v>
      </c>
      <c r="I679" s="117" t="s">
        <v>220</v>
      </c>
      <c r="J679" s="29" t="s">
        <v>48</v>
      </c>
      <c r="K679" s="38" t="s">
        <v>2411</v>
      </c>
      <c r="L679" t="s">
        <v>40</v>
      </c>
      <c r="M679" s="16">
        <v>46140</v>
      </c>
      <c r="N679" s="3" t="str">
        <f t="shared" si="31"/>
        <v>1  Year</v>
      </c>
      <c r="O679" t="s">
        <v>1910</v>
      </c>
      <c r="P679" t="str">
        <f t="shared" si="34"/>
        <v>April</v>
      </c>
      <c r="Q679">
        <f t="shared" si="35"/>
        <v>2026</v>
      </c>
      <c r="R679" s="29" t="s">
        <v>1981</v>
      </c>
      <c r="S679" s="29" t="s">
        <v>45</v>
      </c>
    </row>
    <row r="680" spans="2:29" ht="52.8">
      <c r="B680" s="17" t="s">
        <v>668</v>
      </c>
      <c r="C680" s="17" t="s">
        <v>1725</v>
      </c>
      <c r="D680" s="17" t="s">
        <v>670</v>
      </c>
      <c r="E680" s="26" t="s">
        <v>182</v>
      </c>
      <c r="F680" s="98" t="s">
        <v>217</v>
      </c>
      <c r="G680" s="38" t="s">
        <v>2410</v>
      </c>
      <c r="H680" s="17" t="s">
        <v>219</v>
      </c>
      <c r="I680" s="117" t="s">
        <v>220</v>
      </c>
      <c r="J680" s="29" t="s">
        <v>145</v>
      </c>
      <c r="K680" s="38" t="s">
        <v>2411</v>
      </c>
      <c r="L680" t="s">
        <v>40</v>
      </c>
      <c r="M680" s="16">
        <v>46140</v>
      </c>
      <c r="N680" s="3" t="str">
        <f t="shared" si="31"/>
        <v>1  Year</v>
      </c>
      <c r="O680" t="s">
        <v>1910</v>
      </c>
      <c r="P680" t="str">
        <f t="shared" si="34"/>
        <v>April</v>
      </c>
      <c r="Q680">
        <f t="shared" si="35"/>
        <v>2026</v>
      </c>
      <c r="R680" s="29" t="s">
        <v>1981</v>
      </c>
      <c r="S680" s="29" t="s">
        <v>45</v>
      </c>
    </row>
    <row r="681" spans="2:29" ht="42">
      <c r="B681" s="26" t="s">
        <v>2413</v>
      </c>
      <c r="C681" s="28" t="s">
        <v>2414</v>
      </c>
      <c r="D681" s="125" t="s">
        <v>2415</v>
      </c>
      <c r="E681" s="26" t="s">
        <v>52</v>
      </c>
      <c r="F681" s="136" t="s">
        <v>120</v>
      </c>
      <c r="G681" s="65" t="s">
        <v>1979</v>
      </c>
      <c r="H681" s="5" t="s">
        <v>122</v>
      </c>
      <c r="I681" s="117" t="s">
        <v>265</v>
      </c>
      <c r="J681" s="29" t="s">
        <v>145</v>
      </c>
      <c r="K681" s="39" t="s">
        <v>2416</v>
      </c>
      <c r="L681" t="s">
        <v>40</v>
      </c>
      <c r="M681" s="16" t="s">
        <v>2417</v>
      </c>
      <c r="N681" s="3" t="str">
        <f t="shared" si="31"/>
        <v>1  Year</v>
      </c>
      <c r="O681" t="s">
        <v>42</v>
      </c>
      <c r="P681" t="s">
        <v>2418</v>
      </c>
      <c r="Q681">
        <v>2026</v>
      </c>
      <c r="R681" s="29" t="s">
        <v>1981</v>
      </c>
      <c r="S681" s="29" t="s">
        <v>45</v>
      </c>
      <c r="T681" s="4" t="s">
        <v>2419</v>
      </c>
      <c r="Y681" t="s">
        <v>47</v>
      </c>
    </row>
    <row r="682" spans="2:29" ht="83.4">
      <c r="B682" s="126" t="s">
        <v>2420</v>
      </c>
      <c r="C682" s="128" t="s">
        <v>2322</v>
      </c>
      <c r="D682" s="55" t="s">
        <v>2421</v>
      </c>
      <c r="E682" t="s">
        <v>104</v>
      </c>
      <c r="F682" s="72" t="s">
        <v>197</v>
      </c>
      <c r="G682" s="65" t="s">
        <v>2422</v>
      </c>
      <c r="H682" s="41" t="s">
        <v>2423</v>
      </c>
      <c r="J682" s="29" t="s">
        <v>145</v>
      </c>
      <c r="K682" s="39" t="s">
        <v>2424</v>
      </c>
      <c r="L682" t="s">
        <v>40</v>
      </c>
      <c r="M682" s="16" t="s">
        <v>2417</v>
      </c>
      <c r="N682" s="3" t="str">
        <f t="shared" si="31"/>
        <v>1  Year</v>
      </c>
      <c r="O682" t="s">
        <v>2425</v>
      </c>
      <c r="P682" t="s">
        <v>2418</v>
      </c>
      <c r="Q682">
        <v>2026</v>
      </c>
      <c r="R682" s="29" t="s">
        <v>1981</v>
      </c>
      <c r="S682" s="29" t="s">
        <v>45</v>
      </c>
      <c r="T682" s="4" t="s">
        <v>2321</v>
      </c>
      <c r="U682" t="s">
        <v>162</v>
      </c>
      <c r="Y682" s="79" t="s">
        <v>103</v>
      </c>
      <c r="AB682" s="29" t="s">
        <v>165</v>
      </c>
      <c r="AC682" s="80">
        <v>46219</v>
      </c>
    </row>
    <row r="683" spans="2:29" ht="97.2">
      <c r="B683" s="126" t="s">
        <v>2324</v>
      </c>
      <c r="C683" s="128" t="s">
        <v>2325</v>
      </c>
      <c r="D683" s="55" t="s">
        <v>2426</v>
      </c>
      <c r="E683" t="s">
        <v>104</v>
      </c>
      <c r="F683" s="72" t="s">
        <v>197</v>
      </c>
      <c r="G683" s="65" t="s">
        <v>2422</v>
      </c>
      <c r="H683" s="41" t="s">
        <v>2423</v>
      </c>
      <c r="J683" s="29" t="s">
        <v>145</v>
      </c>
      <c r="K683" s="39" t="s">
        <v>2424</v>
      </c>
      <c r="L683" t="s">
        <v>40</v>
      </c>
      <c r="M683" s="16" t="s">
        <v>2417</v>
      </c>
      <c r="N683" s="3" t="str">
        <f t="shared" si="31"/>
        <v>1  Year</v>
      </c>
      <c r="O683" t="s">
        <v>2425</v>
      </c>
      <c r="P683" t="s">
        <v>2418</v>
      </c>
      <c r="Q683">
        <v>2026</v>
      </c>
      <c r="R683" s="29" t="s">
        <v>1981</v>
      </c>
      <c r="S683" s="29" t="s">
        <v>45</v>
      </c>
      <c r="T683" s="4" t="s">
        <v>2427</v>
      </c>
      <c r="U683" t="s">
        <v>162</v>
      </c>
      <c r="Y683" s="79" t="s">
        <v>103</v>
      </c>
      <c r="AB683" s="29" t="s">
        <v>165</v>
      </c>
      <c r="AC683" s="80">
        <v>46219</v>
      </c>
    </row>
    <row r="684" spans="2:29" ht="42">
      <c r="B684" s="27" t="s">
        <v>2428</v>
      </c>
      <c r="C684" s="128" t="s">
        <v>2429</v>
      </c>
      <c r="D684" s="52" t="s">
        <v>2430</v>
      </c>
      <c r="E684" t="s">
        <v>52</v>
      </c>
      <c r="F684" s="96" t="s">
        <v>1456</v>
      </c>
      <c r="G684" s="65" t="s">
        <v>2431</v>
      </c>
      <c r="H684" s="33" t="s">
        <v>2432</v>
      </c>
      <c r="J684" s="29" t="s">
        <v>92</v>
      </c>
      <c r="K684" s="137" t="s">
        <v>1459</v>
      </c>
      <c r="L684" t="s">
        <v>40</v>
      </c>
      <c r="M684" s="16" t="s">
        <v>2417</v>
      </c>
      <c r="N684" s="3" t="str">
        <f t="shared" si="31"/>
        <v>1  Year</v>
      </c>
      <c r="O684" t="s">
        <v>42</v>
      </c>
      <c r="P684" t="s">
        <v>2418</v>
      </c>
      <c r="Q684">
        <v>2026</v>
      </c>
      <c r="R684" s="29" t="s">
        <v>1981</v>
      </c>
      <c r="S684" s="29" t="s">
        <v>45</v>
      </c>
      <c r="T684" s="4" t="s">
        <v>2433</v>
      </c>
      <c r="Y684" t="s">
        <v>47</v>
      </c>
    </row>
    <row r="685" spans="2:29" ht="42">
      <c r="B685" t="s">
        <v>2140</v>
      </c>
      <c r="C685" s="128" t="s">
        <v>268</v>
      </c>
      <c r="D685" s="55" t="s">
        <v>2434</v>
      </c>
      <c r="E685" t="s">
        <v>52</v>
      </c>
      <c r="F685" s="138" t="s">
        <v>120</v>
      </c>
      <c r="G685" s="65" t="s">
        <v>2422</v>
      </c>
      <c r="H685" s="5" t="s">
        <v>122</v>
      </c>
      <c r="I685" s="117" t="s">
        <v>265</v>
      </c>
      <c r="J685" s="29" t="s">
        <v>145</v>
      </c>
      <c r="K685" s="39" t="s">
        <v>2435</v>
      </c>
      <c r="L685" t="s">
        <v>40</v>
      </c>
      <c r="M685" s="16" t="s">
        <v>2417</v>
      </c>
      <c r="N685" s="3" t="str">
        <f t="shared" si="31"/>
        <v>1  Year</v>
      </c>
      <c r="O685" t="s">
        <v>42</v>
      </c>
      <c r="P685" t="s">
        <v>2418</v>
      </c>
      <c r="Q685">
        <v>2026</v>
      </c>
      <c r="R685" s="29" t="s">
        <v>1981</v>
      </c>
      <c r="S685" s="29" t="s">
        <v>45</v>
      </c>
      <c r="T685" s="4" t="s">
        <v>273</v>
      </c>
      <c r="Y685" t="s">
        <v>47</v>
      </c>
    </row>
    <row r="686" spans="2:29" ht="42">
      <c r="B686" t="s">
        <v>2436</v>
      </c>
      <c r="C686" s="128" t="s">
        <v>2437</v>
      </c>
      <c r="D686" s="55" t="s">
        <v>2438</v>
      </c>
      <c r="E686" t="s">
        <v>33</v>
      </c>
      <c r="F686" s="96" t="s">
        <v>2439</v>
      </c>
      <c r="G686" s="65" t="s">
        <v>2440</v>
      </c>
      <c r="H686" s="5" t="s">
        <v>2441</v>
      </c>
      <c r="I686" s="120" t="s">
        <v>2442</v>
      </c>
      <c r="J686" s="29" t="s">
        <v>92</v>
      </c>
      <c r="K686" s="29" t="s">
        <v>2443</v>
      </c>
      <c r="L686" t="s">
        <v>40</v>
      </c>
      <c r="M686" s="16">
        <v>46168</v>
      </c>
      <c r="N686" s="3" t="str">
        <f>IF(L686="New","1  Year",IF(L686="Promotional","15 Weeks",IF(L686="Revalidation","2 Years","")))</f>
        <v>1  Year</v>
      </c>
      <c r="O686" t="s">
        <v>42</v>
      </c>
      <c r="P686" t="s">
        <v>2418</v>
      </c>
      <c r="Q686">
        <v>2026</v>
      </c>
      <c r="R686" s="29" t="s">
        <v>1981</v>
      </c>
      <c r="S686" s="29" t="s">
        <v>2444</v>
      </c>
      <c r="T686" s="4" t="s">
        <v>2445</v>
      </c>
      <c r="Y686" t="s">
        <v>47</v>
      </c>
    </row>
    <row r="687" spans="2:29" ht="42">
      <c r="B687" t="s">
        <v>2436</v>
      </c>
      <c r="C687" s="128" t="s">
        <v>2437</v>
      </c>
      <c r="D687" s="55" t="s">
        <v>2438</v>
      </c>
      <c r="E687" t="s">
        <v>33</v>
      </c>
      <c r="F687" s="96" t="s">
        <v>2439</v>
      </c>
      <c r="G687" s="65" t="s">
        <v>2440</v>
      </c>
      <c r="H687" s="5" t="s">
        <v>2441</v>
      </c>
      <c r="I687" s="120" t="s">
        <v>2442</v>
      </c>
      <c r="J687" s="29" t="s">
        <v>48</v>
      </c>
      <c r="K687" s="29" t="s">
        <v>2443</v>
      </c>
      <c r="L687" t="s">
        <v>40</v>
      </c>
      <c r="M687" s="16">
        <v>46168</v>
      </c>
      <c r="N687" s="3" t="s">
        <v>1999</v>
      </c>
      <c r="O687" t="s">
        <v>42</v>
      </c>
      <c r="P687" t="s">
        <v>2418</v>
      </c>
      <c r="Q687">
        <v>2026</v>
      </c>
      <c r="R687" s="29" t="s">
        <v>1981</v>
      </c>
      <c r="S687" s="29" t="s">
        <v>2444</v>
      </c>
      <c r="T687" s="4" t="s">
        <v>2446</v>
      </c>
      <c r="U687" t="s">
        <v>2447</v>
      </c>
      <c r="W687" t="s">
        <v>2448</v>
      </c>
      <c r="X687" t="s">
        <v>163</v>
      </c>
      <c r="Y687" s="79" t="s">
        <v>103</v>
      </c>
      <c r="AA687" s="4" t="s">
        <v>2446</v>
      </c>
      <c r="AB687" t="s">
        <v>165</v>
      </c>
      <c r="AC687" s="80" t="s">
        <v>3719</v>
      </c>
    </row>
    <row r="688" spans="2:29" ht="42">
      <c r="B688" s="126" t="s">
        <v>2449</v>
      </c>
      <c r="C688" s="128" t="s">
        <v>2450</v>
      </c>
      <c r="D688" s="52" t="s">
        <v>114</v>
      </c>
      <c r="E688" t="s">
        <v>33</v>
      </c>
      <c r="F688" s="96" t="s">
        <v>2451</v>
      </c>
      <c r="G688" s="65" t="s">
        <v>2452</v>
      </c>
      <c r="H688" s="5" t="s">
        <v>2453</v>
      </c>
      <c r="I688" s="117" t="s">
        <v>2454</v>
      </c>
      <c r="J688" s="29" t="s">
        <v>92</v>
      </c>
      <c r="K688" s="39" t="s">
        <v>2455</v>
      </c>
      <c r="L688" t="s">
        <v>40</v>
      </c>
      <c r="M688" s="16" t="s">
        <v>2417</v>
      </c>
      <c r="N688" s="3" t="str">
        <f t="shared" si="31"/>
        <v>1  Year</v>
      </c>
      <c r="O688" t="s">
        <v>42</v>
      </c>
      <c r="P688" t="s">
        <v>2418</v>
      </c>
      <c r="Q688">
        <v>2026</v>
      </c>
      <c r="R688" s="29" t="s">
        <v>44</v>
      </c>
      <c r="S688" s="29" t="s">
        <v>45</v>
      </c>
      <c r="T688" s="4" t="s">
        <v>2456</v>
      </c>
      <c r="Y688" t="s">
        <v>47</v>
      </c>
    </row>
    <row r="689" spans="2:29" ht="43.2">
      <c r="B689" s="27" t="s">
        <v>2457</v>
      </c>
      <c r="C689" s="128" t="s">
        <v>2458</v>
      </c>
      <c r="D689" s="55" t="s">
        <v>2459</v>
      </c>
      <c r="E689" t="s">
        <v>52</v>
      </c>
      <c r="F689" s="65" t="s">
        <v>2460</v>
      </c>
      <c r="G689" s="65" t="s">
        <v>2461</v>
      </c>
      <c r="H689" s="5" t="s">
        <v>1824</v>
      </c>
      <c r="I689" s="117" t="s">
        <v>2281</v>
      </c>
      <c r="J689" s="29" t="s">
        <v>159</v>
      </c>
      <c r="K689" s="29" t="s">
        <v>2462</v>
      </c>
      <c r="L689" t="s">
        <v>40</v>
      </c>
      <c r="M689" s="16" t="s">
        <v>2417</v>
      </c>
      <c r="N689" s="3" t="str">
        <f t="shared" si="31"/>
        <v>1  Year</v>
      </c>
      <c r="O689" t="s">
        <v>42</v>
      </c>
      <c r="P689" t="s">
        <v>2418</v>
      </c>
      <c r="Q689">
        <v>2026</v>
      </c>
      <c r="R689" s="29" t="s">
        <v>44</v>
      </c>
      <c r="S689" s="29" t="s">
        <v>45</v>
      </c>
      <c r="T689" s="4" t="s">
        <v>2463</v>
      </c>
      <c r="Y689" t="s">
        <v>47</v>
      </c>
    </row>
    <row r="690" spans="2:29" ht="43.2">
      <c r="B690" s="27" t="s">
        <v>2464</v>
      </c>
      <c r="C690" s="128" t="s">
        <v>2465</v>
      </c>
      <c r="D690" s="55" t="s">
        <v>2459</v>
      </c>
      <c r="E690" t="s">
        <v>52</v>
      </c>
      <c r="F690" s="65" t="s">
        <v>2460</v>
      </c>
      <c r="G690" s="65" t="s">
        <v>2461</v>
      </c>
      <c r="H690" s="5" t="s">
        <v>1824</v>
      </c>
      <c r="I690" s="117" t="s">
        <v>2281</v>
      </c>
      <c r="J690" s="29" t="s">
        <v>159</v>
      </c>
      <c r="K690" s="29" t="s">
        <v>2462</v>
      </c>
      <c r="L690" t="s">
        <v>40</v>
      </c>
      <c r="M690" s="16" t="s">
        <v>2417</v>
      </c>
      <c r="N690" s="3" t="str">
        <f t="shared" si="31"/>
        <v>1  Year</v>
      </c>
      <c r="O690" t="s">
        <v>42</v>
      </c>
      <c r="P690" t="s">
        <v>2418</v>
      </c>
      <c r="Q690">
        <v>2026</v>
      </c>
      <c r="R690" s="29" t="s">
        <v>44</v>
      </c>
      <c r="S690" s="29" t="s">
        <v>45</v>
      </c>
      <c r="T690" s="4" t="s">
        <v>2466</v>
      </c>
      <c r="Y690" t="s">
        <v>47</v>
      </c>
    </row>
    <row r="691" spans="2:29" ht="42">
      <c r="B691" s="30" t="s">
        <v>2467</v>
      </c>
      <c r="C691" s="128" t="s">
        <v>2468</v>
      </c>
      <c r="D691" s="56" t="s">
        <v>2469</v>
      </c>
      <c r="E691" t="s">
        <v>52</v>
      </c>
      <c r="F691" s="65" t="s">
        <v>2460</v>
      </c>
      <c r="G691" s="65" t="s">
        <v>2461</v>
      </c>
      <c r="H691" s="5" t="s">
        <v>1824</v>
      </c>
      <c r="I691" s="117" t="s">
        <v>2281</v>
      </c>
      <c r="J691" s="29" t="s">
        <v>145</v>
      </c>
      <c r="K691" s="31" t="s">
        <v>2470</v>
      </c>
      <c r="L691" t="s">
        <v>40</v>
      </c>
      <c r="M691" s="16" t="s">
        <v>2417</v>
      </c>
      <c r="N691" s="3" t="str">
        <f t="shared" si="31"/>
        <v>1  Year</v>
      </c>
      <c r="O691" t="s">
        <v>42</v>
      </c>
      <c r="P691" t="s">
        <v>2418</v>
      </c>
      <c r="Q691">
        <v>2026</v>
      </c>
      <c r="R691" s="29" t="s">
        <v>44</v>
      </c>
      <c r="S691" s="29" t="s">
        <v>45</v>
      </c>
      <c r="T691" s="4" t="s">
        <v>2471</v>
      </c>
      <c r="U691" t="s">
        <v>813</v>
      </c>
      <c r="W691" t="s">
        <v>2472</v>
      </c>
      <c r="X691" t="s">
        <v>163</v>
      </c>
      <c r="Y691" s="79" t="s">
        <v>103</v>
      </c>
      <c r="AA691" s="4" t="s">
        <v>2473</v>
      </c>
      <c r="AB691" t="s">
        <v>165</v>
      </c>
      <c r="AC691" s="80">
        <v>46220</v>
      </c>
    </row>
    <row r="692" spans="2:29" ht="42">
      <c r="B692" s="30" t="s">
        <v>2474</v>
      </c>
      <c r="C692" s="22" t="s">
        <v>2475</v>
      </c>
      <c r="D692" s="52" t="s">
        <v>2476</v>
      </c>
      <c r="E692" t="s">
        <v>52</v>
      </c>
      <c r="F692" s="65" t="s">
        <v>2477</v>
      </c>
      <c r="G692" s="65" t="s">
        <v>2478</v>
      </c>
      <c r="H692" s="5" t="s">
        <v>2479</v>
      </c>
      <c r="I692" s="117" t="s">
        <v>2480</v>
      </c>
      <c r="J692" s="29" t="s">
        <v>48</v>
      </c>
      <c r="K692" s="29" t="s">
        <v>2481</v>
      </c>
      <c r="L692" t="s">
        <v>40</v>
      </c>
      <c r="M692" s="16" t="s">
        <v>2417</v>
      </c>
      <c r="N692" s="3" t="str">
        <f t="shared" si="31"/>
        <v>1  Year</v>
      </c>
      <c r="O692" t="s">
        <v>42</v>
      </c>
      <c r="P692" t="s">
        <v>2418</v>
      </c>
      <c r="Q692">
        <v>2026</v>
      </c>
      <c r="R692" s="29" t="s">
        <v>44</v>
      </c>
      <c r="S692" s="29" t="s">
        <v>45</v>
      </c>
      <c r="T692" s="4" t="s">
        <v>2482</v>
      </c>
      <c r="Y692" t="s">
        <v>47</v>
      </c>
    </row>
    <row r="693" spans="2:29" ht="42">
      <c r="B693" t="s">
        <v>2483</v>
      </c>
      <c r="C693" s="22" t="s">
        <v>2484</v>
      </c>
      <c r="D693" s="52" t="s">
        <v>548</v>
      </c>
      <c r="E693" t="s">
        <v>52</v>
      </c>
      <c r="F693" s="65" t="s">
        <v>2477</v>
      </c>
      <c r="G693" s="65" t="s">
        <v>2478</v>
      </c>
      <c r="H693" s="29" t="s">
        <v>2479</v>
      </c>
      <c r="I693" s="117" t="s">
        <v>2480</v>
      </c>
      <c r="J693" s="29" t="s">
        <v>48</v>
      </c>
      <c r="K693" s="29" t="s">
        <v>2481</v>
      </c>
      <c r="L693" t="s">
        <v>40</v>
      </c>
      <c r="M693" s="16" t="s">
        <v>2417</v>
      </c>
      <c r="N693" s="3" t="str">
        <f t="shared" si="31"/>
        <v>1  Year</v>
      </c>
      <c r="O693" t="s">
        <v>42</v>
      </c>
      <c r="P693" t="s">
        <v>2418</v>
      </c>
      <c r="Q693">
        <v>2026</v>
      </c>
      <c r="R693" s="29" t="s">
        <v>44</v>
      </c>
      <c r="S693" s="29" t="s">
        <v>45</v>
      </c>
      <c r="T693" s="4" t="s">
        <v>2482</v>
      </c>
      <c r="Y693" t="s">
        <v>47</v>
      </c>
    </row>
    <row r="694" spans="2:29" ht="221.4">
      <c r="B694" s="30" t="s">
        <v>2485</v>
      </c>
      <c r="C694" s="22" t="s">
        <v>2486</v>
      </c>
      <c r="D694" s="56" t="s">
        <v>2487</v>
      </c>
      <c r="E694" t="s">
        <v>52</v>
      </c>
      <c r="F694" s="65" t="s">
        <v>2488</v>
      </c>
      <c r="G694" s="65" t="s">
        <v>2489</v>
      </c>
      <c r="H694" s="5" t="s">
        <v>2490</v>
      </c>
      <c r="I694" s="117" t="s">
        <v>2491</v>
      </c>
      <c r="J694" s="29" t="s">
        <v>92</v>
      </c>
      <c r="K694" s="31" t="s">
        <v>2492</v>
      </c>
      <c r="L694" t="s">
        <v>40</v>
      </c>
      <c r="M694" s="16" t="s">
        <v>2417</v>
      </c>
      <c r="N694" s="3" t="str">
        <f t="shared" si="31"/>
        <v>1  Year</v>
      </c>
      <c r="O694" t="s">
        <v>42</v>
      </c>
      <c r="P694" t="s">
        <v>2418</v>
      </c>
      <c r="Q694">
        <v>2026</v>
      </c>
      <c r="R694" s="29" t="s">
        <v>44</v>
      </c>
      <c r="S694" s="29" t="s">
        <v>45</v>
      </c>
      <c r="T694" s="4" t="s">
        <v>2493</v>
      </c>
      <c r="Y694" t="s">
        <v>47</v>
      </c>
    </row>
    <row r="695" spans="2:29" ht="69.599999999999994">
      <c r="B695" s="24" t="s">
        <v>2494</v>
      </c>
      <c r="C695" s="22" t="s">
        <v>2495</v>
      </c>
      <c r="D695" s="56" t="s">
        <v>2496</v>
      </c>
      <c r="E695" t="s">
        <v>52</v>
      </c>
      <c r="F695" s="65" t="s">
        <v>2108</v>
      </c>
      <c r="G695" s="65" t="s">
        <v>2497</v>
      </c>
      <c r="H695" s="5" t="s">
        <v>2498</v>
      </c>
      <c r="I695" s="117" t="s">
        <v>2499</v>
      </c>
      <c r="J695" s="29" t="s">
        <v>57</v>
      </c>
      <c r="K695" s="31" t="s">
        <v>2500</v>
      </c>
      <c r="L695" t="s">
        <v>90</v>
      </c>
      <c r="M695" s="16" t="s">
        <v>2417</v>
      </c>
      <c r="N695" s="3" t="str">
        <f t="shared" si="31"/>
        <v>2 Years</v>
      </c>
      <c r="O695" t="s">
        <v>42</v>
      </c>
      <c r="P695" t="s">
        <v>2418</v>
      </c>
      <c r="Q695">
        <v>2026</v>
      </c>
      <c r="R695" s="29" t="s">
        <v>44</v>
      </c>
      <c r="S695" s="29" t="s">
        <v>45</v>
      </c>
      <c r="T695" s="4" t="s">
        <v>2501</v>
      </c>
      <c r="Y695" t="s">
        <v>47</v>
      </c>
    </row>
    <row r="696" spans="2:29" ht="69.599999999999994">
      <c r="B696" t="s">
        <v>2502</v>
      </c>
      <c r="C696" s="22" t="s">
        <v>2503</v>
      </c>
      <c r="D696" s="56" t="s">
        <v>2504</v>
      </c>
      <c r="E696" t="s">
        <v>52</v>
      </c>
      <c r="F696" s="65" t="s">
        <v>2108</v>
      </c>
      <c r="G696" s="65" t="s">
        <v>2497</v>
      </c>
      <c r="H696" s="5" t="s">
        <v>2498</v>
      </c>
      <c r="I696" s="117" t="s">
        <v>2499</v>
      </c>
      <c r="J696" s="29" t="s">
        <v>57</v>
      </c>
      <c r="K696" s="31" t="s">
        <v>2505</v>
      </c>
      <c r="L696" t="s">
        <v>90</v>
      </c>
      <c r="M696" s="16" t="s">
        <v>2417</v>
      </c>
      <c r="N696" s="3" t="str">
        <f t="shared" si="31"/>
        <v>2 Years</v>
      </c>
      <c r="O696" t="s">
        <v>42</v>
      </c>
      <c r="P696" t="s">
        <v>2418</v>
      </c>
      <c r="Q696">
        <v>2026</v>
      </c>
      <c r="R696" s="29" t="s">
        <v>44</v>
      </c>
      <c r="S696" s="29" t="s">
        <v>45</v>
      </c>
      <c r="T696" s="4" t="s">
        <v>2506</v>
      </c>
      <c r="Y696" t="s">
        <v>47</v>
      </c>
    </row>
    <row r="697" spans="2:29" ht="69.599999999999994">
      <c r="B697" s="32" t="s">
        <v>2266</v>
      </c>
      <c r="C697" s="22" t="s">
        <v>2507</v>
      </c>
      <c r="D697" s="56" t="s">
        <v>2005</v>
      </c>
      <c r="E697" t="s">
        <v>104</v>
      </c>
      <c r="F697" s="65" t="s">
        <v>908</v>
      </c>
      <c r="G697" s="65" t="s">
        <v>2508</v>
      </c>
      <c r="H697" s="5" t="s">
        <v>1546</v>
      </c>
      <c r="I697" s="117" t="s">
        <v>2270</v>
      </c>
      <c r="J697" s="29" t="s">
        <v>48</v>
      </c>
      <c r="K697" s="31" t="s">
        <v>2509</v>
      </c>
      <c r="L697" t="s">
        <v>40</v>
      </c>
      <c r="M697" s="16" t="s">
        <v>2417</v>
      </c>
      <c r="N697" s="3" t="str">
        <f t="shared" si="31"/>
        <v>1  Year</v>
      </c>
      <c r="O697" t="s">
        <v>1910</v>
      </c>
      <c r="P697" t="s">
        <v>2418</v>
      </c>
      <c r="Q697">
        <v>2026</v>
      </c>
      <c r="R697" s="29" t="s">
        <v>1981</v>
      </c>
      <c r="S697" s="29" t="s">
        <v>45</v>
      </c>
      <c r="T697" s="4" t="s">
        <v>2510</v>
      </c>
      <c r="Y697" t="s">
        <v>47</v>
      </c>
    </row>
    <row r="698" spans="2:29" ht="69.599999999999994">
      <c r="B698" s="30" t="s">
        <v>2511</v>
      </c>
      <c r="C698" s="22" t="s">
        <v>2512</v>
      </c>
      <c r="D698" s="56" t="s">
        <v>2496</v>
      </c>
      <c r="E698" t="s">
        <v>52</v>
      </c>
      <c r="F698" s="65" t="s">
        <v>2108</v>
      </c>
      <c r="G698" s="65" t="s">
        <v>2497</v>
      </c>
      <c r="H698" s="5" t="s">
        <v>2498</v>
      </c>
      <c r="I698" s="117" t="s">
        <v>2499</v>
      </c>
      <c r="J698" s="29" t="s">
        <v>57</v>
      </c>
      <c r="K698" s="31" t="s">
        <v>2513</v>
      </c>
      <c r="L698" t="s">
        <v>90</v>
      </c>
      <c r="M698" s="16" t="s">
        <v>2417</v>
      </c>
      <c r="N698" s="3" t="str">
        <f t="shared" si="31"/>
        <v>2 Years</v>
      </c>
      <c r="O698" t="s">
        <v>42</v>
      </c>
      <c r="P698" t="s">
        <v>2418</v>
      </c>
      <c r="Q698">
        <v>2026</v>
      </c>
      <c r="R698" s="29" t="s">
        <v>44</v>
      </c>
      <c r="S698" s="29" t="s">
        <v>45</v>
      </c>
      <c r="T698" s="4" t="s">
        <v>2514</v>
      </c>
      <c r="Y698" t="s">
        <v>47</v>
      </c>
    </row>
    <row r="699" spans="2:29" ht="69.599999999999994">
      <c r="B699" t="s">
        <v>2515</v>
      </c>
      <c r="C699" s="22" t="s">
        <v>2516</v>
      </c>
      <c r="D699" s="57" t="s">
        <v>2517</v>
      </c>
      <c r="E699" t="s">
        <v>52</v>
      </c>
      <c r="F699" s="65" t="s">
        <v>2108</v>
      </c>
      <c r="G699" s="65" t="s">
        <v>2497</v>
      </c>
      <c r="H699" s="5" t="s">
        <v>2498</v>
      </c>
      <c r="I699" s="117" t="s">
        <v>2499</v>
      </c>
      <c r="J699" s="29" t="s">
        <v>57</v>
      </c>
      <c r="K699" s="29" t="s">
        <v>2518</v>
      </c>
      <c r="L699" t="s">
        <v>90</v>
      </c>
      <c r="M699" s="16" t="s">
        <v>2417</v>
      </c>
      <c r="N699" s="3" t="str">
        <f t="shared" si="31"/>
        <v>2 Years</v>
      </c>
      <c r="O699" t="s">
        <v>42</v>
      </c>
      <c r="P699" t="s">
        <v>2418</v>
      </c>
      <c r="Q699">
        <v>2026</v>
      </c>
      <c r="R699" s="29" t="s">
        <v>44</v>
      </c>
      <c r="S699" s="29" t="s">
        <v>45</v>
      </c>
      <c r="T699" s="4" t="s">
        <v>2519</v>
      </c>
      <c r="Y699" t="s">
        <v>47</v>
      </c>
    </row>
    <row r="700" spans="2:29" ht="42">
      <c r="B700" s="30" t="s">
        <v>2520</v>
      </c>
      <c r="C700" s="22" t="s">
        <v>2521</v>
      </c>
      <c r="D700" s="52" t="s">
        <v>2522</v>
      </c>
      <c r="E700" t="s">
        <v>1867</v>
      </c>
      <c r="F700" s="65" t="s">
        <v>2019</v>
      </c>
      <c r="G700" s="65" t="s">
        <v>2523</v>
      </c>
      <c r="H700" s="5" t="s">
        <v>2021</v>
      </c>
      <c r="J700" s="29" t="s">
        <v>145</v>
      </c>
      <c r="K700" s="29" t="s">
        <v>2524</v>
      </c>
      <c r="L700" t="s">
        <v>40</v>
      </c>
      <c r="M700" s="16" t="s">
        <v>2417</v>
      </c>
      <c r="N700" s="3" t="str">
        <f t="shared" si="31"/>
        <v>1  Year</v>
      </c>
      <c r="O700" t="s">
        <v>1910</v>
      </c>
      <c r="P700" t="s">
        <v>2418</v>
      </c>
      <c r="Q700">
        <v>2026</v>
      </c>
      <c r="R700" s="29" t="s">
        <v>1981</v>
      </c>
      <c r="S700" s="29" t="s">
        <v>45</v>
      </c>
      <c r="T700" s="5" t="s">
        <v>2525</v>
      </c>
      <c r="Y700" t="s">
        <v>47</v>
      </c>
    </row>
    <row r="701" spans="2:29" ht="55.8">
      <c r="B701" s="30" t="s">
        <v>2526</v>
      </c>
      <c r="C701" s="22" t="s">
        <v>2527</v>
      </c>
      <c r="D701" s="58" t="s">
        <v>1614</v>
      </c>
      <c r="E701" t="s">
        <v>2528</v>
      </c>
      <c r="F701" s="65" t="s">
        <v>2095</v>
      </c>
      <c r="G701" s="65" t="s">
        <v>2096</v>
      </c>
      <c r="H701" s="33" t="s">
        <v>1622</v>
      </c>
      <c r="J701" s="29" t="s">
        <v>145</v>
      </c>
      <c r="K701" s="31" t="s">
        <v>2529</v>
      </c>
      <c r="L701" t="s">
        <v>2530</v>
      </c>
      <c r="M701" s="16" t="s">
        <v>2417</v>
      </c>
      <c r="N701" s="3" t="str">
        <f t="shared" si="31"/>
        <v>1  Year</v>
      </c>
      <c r="P701" t="s">
        <v>2418</v>
      </c>
      <c r="Q701">
        <v>2026</v>
      </c>
      <c r="R701" s="29" t="s">
        <v>44</v>
      </c>
      <c r="S701" s="29" t="s">
        <v>45</v>
      </c>
      <c r="T701" s="4" t="s">
        <v>2531</v>
      </c>
      <c r="Y701" t="s">
        <v>47</v>
      </c>
    </row>
    <row r="702" spans="2:29" ht="28.8">
      <c r="B702" s="45" t="s">
        <v>2532</v>
      </c>
      <c r="C702" s="22" t="s">
        <v>2533</v>
      </c>
      <c r="D702" s="58" t="s">
        <v>2534</v>
      </c>
      <c r="E702" t="s">
        <v>1867</v>
      </c>
      <c r="F702" s="65" t="s">
        <v>208</v>
      </c>
      <c r="G702" s="65" t="s">
        <v>1808</v>
      </c>
      <c r="I702" s="117" t="s">
        <v>2535</v>
      </c>
      <c r="J702" s="29" t="s">
        <v>48</v>
      </c>
      <c r="K702" s="31" t="s">
        <v>2536</v>
      </c>
      <c r="L702" t="s">
        <v>2530</v>
      </c>
      <c r="M702" s="16" t="s">
        <v>2417</v>
      </c>
      <c r="N702" s="3" t="str">
        <f t="shared" si="31"/>
        <v>1  Year</v>
      </c>
      <c r="O702" t="s">
        <v>1910</v>
      </c>
      <c r="P702" t="s">
        <v>2418</v>
      </c>
      <c r="Q702">
        <v>2026</v>
      </c>
      <c r="R702" s="29" t="s">
        <v>44</v>
      </c>
      <c r="S702" s="29" t="s">
        <v>45</v>
      </c>
      <c r="T702" s="5" t="s">
        <v>2537</v>
      </c>
      <c r="Y702" t="s">
        <v>47</v>
      </c>
    </row>
    <row r="703" spans="2:29" ht="28.2">
      <c r="B703" s="30" t="s">
        <v>2538</v>
      </c>
      <c r="C703" s="22" t="s">
        <v>2539</v>
      </c>
      <c r="D703" s="56" t="s">
        <v>2540</v>
      </c>
      <c r="E703" t="s">
        <v>2528</v>
      </c>
      <c r="F703" s="65" t="s">
        <v>1599</v>
      </c>
      <c r="G703" s="65" t="s">
        <v>2541</v>
      </c>
      <c r="J703" s="29" t="s">
        <v>145</v>
      </c>
      <c r="K703" s="31" t="s">
        <v>2542</v>
      </c>
      <c r="L703" t="s">
        <v>90</v>
      </c>
      <c r="M703" s="16" t="s">
        <v>2417</v>
      </c>
      <c r="N703" s="3" t="str">
        <f t="shared" si="31"/>
        <v>2 Years</v>
      </c>
      <c r="O703" t="s">
        <v>2543</v>
      </c>
      <c r="P703" t="s">
        <v>2418</v>
      </c>
      <c r="Q703">
        <v>2026</v>
      </c>
      <c r="R703" s="29" t="s">
        <v>44</v>
      </c>
      <c r="S703" s="29" t="s">
        <v>45</v>
      </c>
      <c r="T703" s="4" t="s">
        <v>2544</v>
      </c>
      <c r="Y703" t="s">
        <v>47</v>
      </c>
    </row>
    <row r="704" spans="2:29" ht="42">
      <c r="B704" t="s">
        <v>2545</v>
      </c>
      <c r="C704" s="61" t="s">
        <v>2546</v>
      </c>
      <c r="D704" s="52" t="s">
        <v>114</v>
      </c>
      <c r="E704" t="s">
        <v>2547</v>
      </c>
      <c r="F704" s="65" t="s">
        <v>2548</v>
      </c>
      <c r="G704" s="65" t="s">
        <v>2549</v>
      </c>
      <c r="H704" s="5" t="s">
        <v>2550</v>
      </c>
      <c r="I704" s="117" t="s">
        <v>2551</v>
      </c>
      <c r="J704" s="29" t="s">
        <v>92</v>
      </c>
      <c r="K704" s="62" t="s">
        <v>2552</v>
      </c>
      <c r="L704" t="s">
        <v>2530</v>
      </c>
      <c r="M704" s="16" t="s">
        <v>2417</v>
      </c>
      <c r="N704" s="3" t="str">
        <f t="shared" si="31"/>
        <v>1  Year</v>
      </c>
      <c r="O704" t="s">
        <v>1520</v>
      </c>
      <c r="P704" t="s">
        <v>2418</v>
      </c>
      <c r="Q704">
        <v>2026</v>
      </c>
      <c r="R704" s="29" t="s">
        <v>44</v>
      </c>
      <c r="S704" s="29" t="s">
        <v>973</v>
      </c>
      <c r="T704" s="4" t="s">
        <v>2553</v>
      </c>
      <c r="Y704" t="s">
        <v>47</v>
      </c>
    </row>
    <row r="705" spans="2:29" ht="55.8">
      <c r="B705" s="27" t="s">
        <v>2554</v>
      </c>
      <c r="C705" s="22" t="s">
        <v>2555</v>
      </c>
      <c r="D705" s="27" t="s">
        <v>969</v>
      </c>
      <c r="E705" t="s">
        <v>52</v>
      </c>
      <c r="F705" s="30" t="s">
        <v>2095</v>
      </c>
      <c r="G705" s="65" t="s">
        <v>2096</v>
      </c>
      <c r="H705" s="33" t="s">
        <v>1622</v>
      </c>
      <c r="J705" s="29" t="s">
        <v>145</v>
      </c>
      <c r="K705" s="60" t="s">
        <v>2556</v>
      </c>
      <c r="L705" t="s">
        <v>2530</v>
      </c>
      <c r="M705" s="16" t="s">
        <v>2417</v>
      </c>
      <c r="N705" s="3" t="str">
        <f t="shared" si="31"/>
        <v>1  Year</v>
      </c>
      <c r="O705" t="s">
        <v>1520</v>
      </c>
      <c r="P705" t="s">
        <v>2418</v>
      </c>
      <c r="Q705">
        <v>2026</v>
      </c>
      <c r="R705" s="29" t="s">
        <v>44</v>
      </c>
      <c r="S705" s="29" t="s">
        <v>45</v>
      </c>
      <c r="T705" s="4" t="s">
        <v>2557</v>
      </c>
      <c r="Y705" t="s">
        <v>47</v>
      </c>
    </row>
    <row r="706" spans="2:29" ht="69.599999999999994">
      <c r="B706" s="27" t="s">
        <v>2558</v>
      </c>
      <c r="C706" s="22" t="s">
        <v>2559</v>
      </c>
      <c r="D706" s="61" t="s">
        <v>311</v>
      </c>
      <c r="E706" t="s">
        <v>52</v>
      </c>
      <c r="F706" s="65" t="s">
        <v>2108</v>
      </c>
      <c r="G706" s="65" t="s">
        <v>2497</v>
      </c>
      <c r="H706" s="5" t="s">
        <v>2498</v>
      </c>
      <c r="I706" s="117" t="s">
        <v>2499</v>
      </c>
      <c r="J706" s="29" t="s">
        <v>57</v>
      </c>
      <c r="K706" s="29" t="s">
        <v>2560</v>
      </c>
      <c r="L706" t="s">
        <v>90</v>
      </c>
      <c r="M706" s="16" t="s">
        <v>2417</v>
      </c>
      <c r="N706" s="3" t="str">
        <f t="shared" si="31"/>
        <v>2 Years</v>
      </c>
      <c r="O706" t="s">
        <v>42</v>
      </c>
      <c r="P706" t="s">
        <v>2418</v>
      </c>
      <c r="Q706">
        <v>2026</v>
      </c>
      <c r="R706" s="29" t="s">
        <v>44</v>
      </c>
      <c r="S706" s="29" t="s">
        <v>45</v>
      </c>
      <c r="T706" s="4" t="s">
        <v>2561</v>
      </c>
      <c r="Y706" t="s">
        <v>47</v>
      </c>
    </row>
    <row r="707" spans="2:29" ht="28.2">
      <c r="B707" s="27" t="s">
        <v>1859</v>
      </c>
      <c r="C707" s="22" t="s">
        <v>1860</v>
      </c>
      <c r="D707" s="61" t="s">
        <v>2562</v>
      </c>
      <c r="F707" s="30" t="s">
        <v>1862</v>
      </c>
      <c r="G707" s="65" t="s">
        <v>1863</v>
      </c>
      <c r="J707" s="29" t="s">
        <v>48</v>
      </c>
      <c r="K707" s="62" t="s">
        <v>2563</v>
      </c>
      <c r="L707" t="s">
        <v>90</v>
      </c>
      <c r="M707" s="16" t="s">
        <v>2417</v>
      </c>
      <c r="N707" s="3" t="str">
        <f t="shared" si="31"/>
        <v>2 Years</v>
      </c>
      <c r="O707" t="s">
        <v>1910</v>
      </c>
      <c r="P707" t="s">
        <v>2418</v>
      </c>
      <c r="Q707">
        <v>2026</v>
      </c>
      <c r="R707" s="29" t="s">
        <v>44</v>
      </c>
      <c r="S707" s="29" t="s">
        <v>45</v>
      </c>
      <c r="T707" s="4" t="s">
        <v>2564</v>
      </c>
    </row>
    <row r="708" spans="2:29" ht="28.8">
      <c r="B708" s="64" t="s">
        <v>2565</v>
      </c>
      <c r="C708" s="22" t="s">
        <v>2566</v>
      </c>
      <c r="D708" s="61" t="s">
        <v>288</v>
      </c>
      <c r="E708" t="s">
        <v>52</v>
      </c>
      <c r="F708" s="26" t="s">
        <v>2567</v>
      </c>
      <c r="G708" s="30" t="s">
        <v>2568</v>
      </c>
      <c r="H708" s="5" t="s">
        <v>2569</v>
      </c>
      <c r="I708" s="117" t="s">
        <v>2570</v>
      </c>
      <c r="J708" s="29" t="s">
        <v>145</v>
      </c>
      <c r="K708" s="60" t="s">
        <v>2571</v>
      </c>
      <c r="L708" t="s">
        <v>40</v>
      </c>
      <c r="M708" s="16" t="s">
        <v>2417</v>
      </c>
      <c r="N708" s="3" t="str">
        <f t="shared" si="31"/>
        <v>1  Year</v>
      </c>
      <c r="O708" t="s">
        <v>42</v>
      </c>
      <c r="P708" t="s">
        <v>2418</v>
      </c>
      <c r="Q708">
        <v>2026</v>
      </c>
      <c r="R708" s="29" t="s">
        <v>44</v>
      </c>
      <c r="S708" s="29" t="s">
        <v>45</v>
      </c>
      <c r="T708" s="4" t="s">
        <v>2572</v>
      </c>
      <c r="W708" t="s">
        <v>2573</v>
      </c>
      <c r="X708" t="s">
        <v>102</v>
      </c>
      <c r="Y708" s="79" t="s">
        <v>103</v>
      </c>
      <c r="AB708" t="s">
        <v>105</v>
      </c>
      <c r="AC708" t="s">
        <v>2574</v>
      </c>
    </row>
    <row r="709" spans="2:29" ht="28.8">
      <c r="B709" t="s">
        <v>2575</v>
      </c>
      <c r="C709" s="22" t="s">
        <v>2576</v>
      </c>
      <c r="D709" s="61" t="s">
        <v>2577</v>
      </c>
      <c r="E709" t="s">
        <v>52</v>
      </c>
      <c r="F709" s="30" t="s">
        <v>141</v>
      </c>
      <c r="G709" s="30" t="s">
        <v>2578</v>
      </c>
      <c r="H709" s="5" t="s">
        <v>143</v>
      </c>
      <c r="I709" s="117" t="s">
        <v>144</v>
      </c>
      <c r="J709" s="29" t="s">
        <v>88</v>
      </c>
      <c r="K709" s="60" t="s">
        <v>2579</v>
      </c>
      <c r="L709" t="s">
        <v>90</v>
      </c>
      <c r="M709" s="16" t="s">
        <v>2417</v>
      </c>
      <c r="N709" s="3" t="str">
        <f t="shared" si="31"/>
        <v>2 Years</v>
      </c>
      <c r="O709" t="s">
        <v>42</v>
      </c>
      <c r="P709" t="s">
        <v>2418</v>
      </c>
      <c r="Q709">
        <v>2026</v>
      </c>
      <c r="R709" s="29" t="s">
        <v>44</v>
      </c>
      <c r="S709" s="29" t="s">
        <v>45</v>
      </c>
      <c r="T709" s="4" t="s">
        <v>2580</v>
      </c>
    </row>
    <row r="710" spans="2:29" ht="41.4">
      <c r="B710" t="s">
        <v>2581</v>
      </c>
      <c r="C710" s="22" t="s">
        <v>2582</v>
      </c>
      <c r="D710" s="64" t="s">
        <v>2583</v>
      </c>
      <c r="E710" t="s">
        <v>33</v>
      </c>
      <c r="F710" s="26" t="s">
        <v>825</v>
      </c>
      <c r="G710" s="66" t="s">
        <v>2584</v>
      </c>
      <c r="H710" s="5" t="s">
        <v>2585</v>
      </c>
      <c r="I710" s="117" t="s">
        <v>2243</v>
      </c>
      <c r="J710" s="29" t="s">
        <v>88</v>
      </c>
      <c r="K710" s="29" t="s">
        <v>2586</v>
      </c>
      <c r="L710" t="s">
        <v>90</v>
      </c>
      <c r="M710" s="16" t="s">
        <v>2417</v>
      </c>
      <c r="N710" s="3" t="str">
        <f t="shared" si="31"/>
        <v>2 Years</v>
      </c>
      <c r="O710" t="s">
        <v>42</v>
      </c>
      <c r="P710" t="s">
        <v>2418</v>
      </c>
      <c r="Q710">
        <v>2026</v>
      </c>
      <c r="R710" s="29" t="s">
        <v>44</v>
      </c>
      <c r="S710" s="29" t="s">
        <v>45</v>
      </c>
      <c r="T710" s="4" t="s">
        <v>2587</v>
      </c>
    </row>
    <row r="711" spans="2:29" ht="41.4">
      <c r="B711" s="62" t="s">
        <v>2588</v>
      </c>
      <c r="C711" s="22" t="s">
        <v>2589</v>
      </c>
      <c r="D711" s="61" t="s">
        <v>2590</v>
      </c>
      <c r="E711" t="s">
        <v>52</v>
      </c>
      <c r="F711" s="26" t="s">
        <v>825</v>
      </c>
      <c r="G711" s="66" t="s">
        <v>2584</v>
      </c>
      <c r="H711" s="5" t="s">
        <v>2585</v>
      </c>
      <c r="I711" s="117" t="s">
        <v>2243</v>
      </c>
      <c r="J711" s="29" t="s">
        <v>88</v>
      </c>
      <c r="K711" s="60" t="s">
        <v>2591</v>
      </c>
      <c r="L711" t="s">
        <v>90</v>
      </c>
      <c r="M711" s="16" t="s">
        <v>2417</v>
      </c>
      <c r="N711" s="3" t="str">
        <f t="shared" si="31"/>
        <v>2 Years</v>
      </c>
      <c r="O711" t="s">
        <v>42</v>
      </c>
      <c r="P711" t="s">
        <v>2418</v>
      </c>
      <c r="Q711">
        <v>2026</v>
      </c>
      <c r="R711" s="29" t="s">
        <v>44</v>
      </c>
      <c r="S711" s="29" t="s">
        <v>356</v>
      </c>
      <c r="T711" s="4" t="s">
        <v>2592</v>
      </c>
    </row>
    <row r="712" spans="2:29" ht="41.4">
      <c r="B712" s="61" t="s">
        <v>2593</v>
      </c>
      <c r="C712" s="22" t="s">
        <v>2594</v>
      </c>
      <c r="D712" s="61" t="s">
        <v>262</v>
      </c>
      <c r="E712" t="s">
        <v>33</v>
      </c>
      <c r="F712" s="26" t="s">
        <v>825</v>
      </c>
      <c r="G712" s="66" t="s">
        <v>2584</v>
      </c>
      <c r="H712" s="5" t="s">
        <v>2585</v>
      </c>
      <c r="I712" s="117" t="s">
        <v>2243</v>
      </c>
      <c r="J712" s="29" t="s">
        <v>88</v>
      </c>
      <c r="K712" s="29" t="s">
        <v>2595</v>
      </c>
      <c r="L712" t="s">
        <v>90</v>
      </c>
      <c r="M712" s="16" t="s">
        <v>2417</v>
      </c>
      <c r="N712" s="3" t="str">
        <f t="shared" si="31"/>
        <v>2 Years</v>
      </c>
      <c r="O712" t="s">
        <v>42</v>
      </c>
      <c r="P712" t="s">
        <v>2418</v>
      </c>
      <c r="Q712">
        <v>2026</v>
      </c>
      <c r="R712" s="29" t="s">
        <v>44</v>
      </c>
      <c r="S712" s="29" t="s">
        <v>45</v>
      </c>
      <c r="T712" s="4" t="s">
        <v>2596</v>
      </c>
    </row>
    <row r="713" spans="2:29" ht="41.4">
      <c r="B713" s="61" t="s">
        <v>2597</v>
      </c>
      <c r="C713" s="22" t="s">
        <v>2598</v>
      </c>
      <c r="D713" s="61" t="s">
        <v>262</v>
      </c>
      <c r="E713" t="s">
        <v>33</v>
      </c>
      <c r="F713" s="26" t="s">
        <v>825</v>
      </c>
      <c r="G713" s="66" t="s">
        <v>2584</v>
      </c>
      <c r="H713" s="5" t="s">
        <v>2585</v>
      </c>
      <c r="I713" s="117" t="s">
        <v>2243</v>
      </c>
      <c r="J713" s="29" t="s">
        <v>88</v>
      </c>
      <c r="K713" s="29" t="s">
        <v>2595</v>
      </c>
      <c r="L713" t="s">
        <v>90</v>
      </c>
      <c r="M713" s="16" t="s">
        <v>2417</v>
      </c>
      <c r="N713" s="3" t="str">
        <f t="shared" si="31"/>
        <v>2 Years</v>
      </c>
      <c r="O713" t="s">
        <v>42</v>
      </c>
      <c r="P713" t="s">
        <v>2418</v>
      </c>
      <c r="Q713">
        <v>2026</v>
      </c>
      <c r="R713" s="29" t="s">
        <v>44</v>
      </c>
      <c r="S713" s="29" t="s">
        <v>45</v>
      </c>
      <c r="T713" s="4" t="s">
        <v>2596</v>
      </c>
    </row>
    <row r="714" spans="2:29" ht="28.8">
      <c r="B714" s="61" t="s">
        <v>2599</v>
      </c>
      <c r="C714" s="22" t="s">
        <v>2600</v>
      </c>
      <c r="D714" s="61" t="s">
        <v>2601</v>
      </c>
      <c r="E714" t="s">
        <v>33</v>
      </c>
      <c r="F714" s="30" t="s">
        <v>2602</v>
      </c>
      <c r="G714" s="30" t="s">
        <v>2603</v>
      </c>
      <c r="H714" s="5" t="s">
        <v>2604</v>
      </c>
      <c r="I714" s="117" t="s">
        <v>2605</v>
      </c>
      <c r="J714" s="29" t="s">
        <v>48</v>
      </c>
      <c r="K714" s="29" t="s">
        <v>2606</v>
      </c>
      <c r="L714" t="s">
        <v>90</v>
      </c>
      <c r="M714" s="16" t="s">
        <v>2417</v>
      </c>
      <c r="N714" s="3" t="str">
        <f t="shared" si="31"/>
        <v>2 Years</v>
      </c>
      <c r="O714" t="s">
        <v>42</v>
      </c>
      <c r="P714" t="s">
        <v>2418</v>
      </c>
      <c r="Q714">
        <v>2026</v>
      </c>
      <c r="R714" s="29" t="s">
        <v>1981</v>
      </c>
      <c r="S714" s="29" t="s">
        <v>45</v>
      </c>
      <c r="T714" s="4" t="s">
        <v>2607</v>
      </c>
    </row>
    <row r="715" spans="2:29" ht="28.8">
      <c r="B715" s="61" t="s">
        <v>2608</v>
      </c>
      <c r="C715" s="22" t="s">
        <v>2609</v>
      </c>
      <c r="D715" s="61" t="s">
        <v>341</v>
      </c>
      <c r="E715" t="s">
        <v>33</v>
      </c>
      <c r="F715" s="30" t="s">
        <v>2602</v>
      </c>
      <c r="G715" s="30" t="s">
        <v>2603</v>
      </c>
      <c r="H715" s="5" t="s">
        <v>2604</v>
      </c>
      <c r="I715" s="117" t="s">
        <v>2605</v>
      </c>
      <c r="J715" s="29" t="s">
        <v>48</v>
      </c>
      <c r="K715" s="29" t="s">
        <v>2606</v>
      </c>
      <c r="L715" t="s">
        <v>90</v>
      </c>
      <c r="M715" s="16" t="s">
        <v>2417</v>
      </c>
      <c r="N715" s="3" t="str">
        <f t="shared" si="31"/>
        <v>2 Years</v>
      </c>
      <c r="O715" t="s">
        <v>42</v>
      </c>
      <c r="P715" t="s">
        <v>2418</v>
      </c>
      <c r="Q715">
        <v>2026</v>
      </c>
      <c r="R715" s="29" t="s">
        <v>1981</v>
      </c>
      <c r="S715" s="29" t="s">
        <v>45</v>
      </c>
      <c r="T715" s="4" t="s">
        <v>2607</v>
      </c>
    </row>
    <row r="716" spans="2:29" ht="28.8">
      <c r="B716" s="61" t="s">
        <v>2610</v>
      </c>
      <c r="C716" s="75" t="s">
        <v>2611</v>
      </c>
      <c r="D716" s="61" t="s">
        <v>2612</v>
      </c>
      <c r="E716" t="s">
        <v>33</v>
      </c>
      <c r="F716" s="30" t="s">
        <v>2602</v>
      </c>
      <c r="G716" s="30" t="s">
        <v>2603</v>
      </c>
      <c r="H716" s="5" t="s">
        <v>2604</v>
      </c>
      <c r="I716" s="117" t="s">
        <v>2605</v>
      </c>
      <c r="J716" s="29" t="s">
        <v>48</v>
      </c>
      <c r="K716" s="29" t="s">
        <v>2606</v>
      </c>
      <c r="L716" t="s">
        <v>90</v>
      </c>
      <c r="M716" s="16" t="s">
        <v>2417</v>
      </c>
      <c r="N716" s="3" t="str">
        <f t="shared" si="31"/>
        <v>2 Years</v>
      </c>
      <c r="O716" t="s">
        <v>42</v>
      </c>
      <c r="P716" t="s">
        <v>2418</v>
      </c>
      <c r="Q716">
        <v>2026</v>
      </c>
      <c r="R716" s="29" t="s">
        <v>1981</v>
      </c>
      <c r="S716" s="29" t="s">
        <v>45</v>
      </c>
      <c r="T716" s="4" t="s">
        <v>2607</v>
      </c>
    </row>
    <row r="717" spans="2:29" ht="28.8">
      <c r="B717" s="61" t="s">
        <v>2613</v>
      </c>
      <c r="C717" s="30" t="s">
        <v>2614</v>
      </c>
      <c r="D717" s="52" t="s">
        <v>114</v>
      </c>
      <c r="E717" t="s">
        <v>33</v>
      </c>
      <c r="F717" s="30" t="s">
        <v>2602</v>
      </c>
      <c r="G717" s="30" t="s">
        <v>2603</v>
      </c>
      <c r="H717" s="5" t="s">
        <v>2604</v>
      </c>
      <c r="I717" s="117" t="s">
        <v>2605</v>
      </c>
      <c r="J717" s="29" t="s">
        <v>48</v>
      </c>
      <c r="K717" s="29" t="s">
        <v>2606</v>
      </c>
      <c r="L717" t="s">
        <v>90</v>
      </c>
      <c r="M717" s="16" t="s">
        <v>2417</v>
      </c>
      <c r="N717" s="3" t="str">
        <f t="shared" si="31"/>
        <v>2 Years</v>
      </c>
      <c r="O717" t="s">
        <v>42</v>
      </c>
      <c r="P717" t="s">
        <v>2418</v>
      </c>
      <c r="Q717">
        <v>2026</v>
      </c>
      <c r="R717" s="29" t="s">
        <v>1981</v>
      </c>
      <c r="S717" s="29" t="s">
        <v>45</v>
      </c>
      <c r="T717" s="4" t="s">
        <v>2607</v>
      </c>
    </row>
    <row r="718" spans="2:29" ht="28.8">
      <c r="B718" s="61" t="s">
        <v>2615</v>
      </c>
      <c r="C718" s="30" t="s">
        <v>2616</v>
      </c>
      <c r="D718" s="61" t="s">
        <v>2612</v>
      </c>
      <c r="E718" t="s">
        <v>33</v>
      </c>
      <c r="F718" s="30" t="s">
        <v>2602</v>
      </c>
      <c r="G718" s="30" t="s">
        <v>2603</v>
      </c>
      <c r="H718" s="5" t="s">
        <v>2604</v>
      </c>
      <c r="I718" s="117" t="s">
        <v>2605</v>
      </c>
      <c r="J718" s="29" t="s">
        <v>48</v>
      </c>
      <c r="K718" s="29" t="s">
        <v>2606</v>
      </c>
      <c r="L718" t="s">
        <v>90</v>
      </c>
      <c r="M718" s="16" t="s">
        <v>2417</v>
      </c>
      <c r="N718" s="3" t="str">
        <f t="shared" si="31"/>
        <v>2 Years</v>
      </c>
      <c r="O718" t="s">
        <v>42</v>
      </c>
      <c r="P718" t="s">
        <v>2418</v>
      </c>
      <c r="Q718">
        <v>2026</v>
      </c>
      <c r="R718" s="29" t="s">
        <v>1981</v>
      </c>
      <c r="S718" s="29" t="s">
        <v>45</v>
      </c>
      <c r="T718" s="4" t="s">
        <v>2607</v>
      </c>
    </row>
    <row r="719" spans="2:29" ht="28.8">
      <c r="B719" s="61" t="s">
        <v>2617</v>
      </c>
      <c r="C719" s="30" t="s">
        <v>2618</v>
      </c>
      <c r="D719" s="52" t="s">
        <v>114</v>
      </c>
      <c r="E719" t="s">
        <v>33</v>
      </c>
      <c r="F719" s="30" t="s">
        <v>2602</v>
      </c>
      <c r="G719" s="30" t="s">
        <v>2603</v>
      </c>
      <c r="H719" s="5" t="s">
        <v>2604</v>
      </c>
      <c r="I719" s="117" t="s">
        <v>2605</v>
      </c>
      <c r="J719" s="29" t="s">
        <v>48</v>
      </c>
      <c r="K719" s="29" t="s">
        <v>2606</v>
      </c>
      <c r="L719" t="s">
        <v>90</v>
      </c>
      <c r="M719" s="16" t="s">
        <v>2417</v>
      </c>
      <c r="N719" s="3" t="str">
        <f t="shared" si="31"/>
        <v>2 Years</v>
      </c>
      <c r="O719" t="s">
        <v>42</v>
      </c>
      <c r="P719" t="s">
        <v>2418</v>
      </c>
      <c r="Q719">
        <v>2026</v>
      </c>
      <c r="R719" s="29" t="s">
        <v>1981</v>
      </c>
      <c r="S719" s="29" t="s">
        <v>45</v>
      </c>
      <c r="T719" s="4" t="s">
        <v>2607</v>
      </c>
    </row>
    <row r="720" spans="2:29" ht="43.2">
      <c r="B720" s="61" t="s">
        <v>2619</v>
      </c>
      <c r="C720" s="22" t="s">
        <v>2620</v>
      </c>
      <c r="D720" s="61" t="s">
        <v>2621</v>
      </c>
      <c r="E720" t="s">
        <v>52</v>
      </c>
      <c r="F720" s="30" t="s">
        <v>2622</v>
      </c>
      <c r="G720" s="30" t="s">
        <v>2623</v>
      </c>
      <c r="H720" s="5" t="s">
        <v>2624</v>
      </c>
      <c r="I720" s="117" t="s">
        <v>2625</v>
      </c>
      <c r="J720" s="29" t="s">
        <v>57</v>
      </c>
      <c r="K720" s="29" t="s">
        <v>2626</v>
      </c>
      <c r="L720" t="s">
        <v>40</v>
      </c>
      <c r="M720" s="16" t="s">
        <v>2417</v>
      </c>
      <c r="N720" s="3" t="str">
        <f t="shared" si="31"/>
        <v>1  Year</v>
      </c>
      <c r="O720" t="s">
        <v>42</v>
      </c>
      <c r="P720" t="s">
        <v>2418</v>
      </c>
      <c r="Q720">
        <v>2026</v>
      </c>
      <c r="R720" s="29" t="s">
        <v>44</v>
      </c>
      <c r="S720" s="29" t="s">
        <v>45</v>
      </c>
      <c r="T720" s="4" t="s">
        <v>2627</v>
      </c>
    </row>
    <row r="721" spans="2:29" ht="43.2">
      <c r="B721" s="30" t="s">
        <v>2628</v>
      </c>
      <c r="C721" s="30" t="s">
        <v>2629</v>
      </c>
      <c r="D721" s="61" t="s">
        <v>2630</v>
      </c>
      <c r="E721" t="s">
        <v>52</v>
      </c>
      <c r="F721" s="26" t="s">
        <v>825</v>
      </c>
      <c r="G721" s="66" t="s">
        <v>2584</v>
      </c>
      <c r="H721" s="5" t="s">
        <v>2585</v>
      </c>
      <c r="I721" s="117" t="s">
        <v>2243</v>
      </c>
      <c r="J721" s="29" t="s">
        <v>92</v>
      </c>
      <c r="K721" s="29" t="s">
        <v>2631</v>
      </c>
      <c r="L721" t="s">
        <v>90</v>
      </c>
      <c r="M721" s="16" t="s">
        <v>2417</v>
      </c>
      <c r="N721" s="3" t="str">
        <f t="shared" si="31"/>
        <v>2 Years</v>
      </c>
      <c r="O721" t="s">
        <v>42</v>
      </c>
      <c r="P721" t="s">
        <v>2418</v>
      </c>
      <c r="Q721">
        <v>2026</v>
      </c>
      <c r="R721" s="29" t="s">
        <v>44</v>
      </c>
      <c r="S721" s="29" t="s">
        <v>2632</v>
      </c>
      <c r="T721" s="4" t="s">
        <v>2633</v>
      </c>
    </row>
    <row r="722" spans="2:29" ht="72">
      <c r="B722" s="30" t="s">
        <v>2634</v>
      </c>
      <c r="C722" s="30" t="s">
        <v>2635</v>
      </c>
      <c r="D722" s="61" t="s">
        <v>2636</v>
      </c>
      <c r="E722" t="s">
        <v>33</v>
      </c>
      <c r="F722" s="26" t="s">
        <v>825</v>
      </c>
      <c r="G722" s="66" t="s">
        <v>2584</v>
      </c>
      <c r="H722" s="5" t="s">
        <v>2585</v>
      </c>
      <c r="I722" s="117" t="s">
        <v>2243</v>
      </c>
      <c r="J722" s="29" t="s">
        <v>92</v>
      </c>
      <c r="K722" s="29" t="s">
        <v>2637</v>
      </c>
      <c r="L722" t="s">
        <v>90</v>
      </c>
      <c r="M722" s="16" t="s">
        <v>2417</v>
      </c>
      <c r="N722" s="3" t="str">
        <f t="shared" si="31"/>
        <v>2 Years</v>
      </c>
      <c r="O722" t="s">
        <v>42</v>
      </c>
      <c r="P722" t="s">
        <v>2418</v>
      </c>
      <c r="Q722">
        <v>2026</v>
      </c>
      <c r="R722" s="29" t="s">
        <v>44</v>
      </c>
      <c r="S722" s="29" t="s">
        <v>356</v>
      </c>
      <c r="T722" s="4" t="s">
        <v>2638</v>
      </c>
    </row>
    <row r="723" spans="2:29" ht="41.4">
      <c r="B723" s="30" t="s">
        <v>2639</v>
      </c>
      <c r="C723" s="30" t="s">
        <v>2640</v>
      </c>
      <c r="D723" s="52" t="s">
        <v>2641</v>
      </c>
      <c r="E723" t="s">
        <v>52</v>
      </c>
      <c r="F723" s="26" t="s">
        <v>825</v>
      </c>
      <c r="G723" s="66" t="s">
        <v>2584</v>
      </c>
      <c r="H723" s="5" t="s">
        <v>2585</v>
      </c>
      <c r="I723" s="117" t="s">
        <v>2243</v>
      </c>
      <c r="J723" s="29" t="s">
        <v>88</v>
      </c>
      <c r="K723" s="29" t="s">
        <v>2642</v>
      </c>
      <c r="L723" t="s">
        <v>90</v>
      </c>
      <c r="M723" s="16" t="s">
        <v>2417</v>
      </c>
      <c r="N723" s="3" t="str">
        <f t="shared" si="31"/>
        <v>2 Years</v>
      </c>
      <c r="O723" t="s">
        <v>42</v>
      </c>
      <c r="P723" t="s">
        <v>2418</v>
      </c>
      <c r="Q723">
        <v>2026</v>
      </c>
      <c r="R723" s="29" t="s">
        <v>44</v>
      </c>
      <c r="S723" s="29" t="s">
        <v>2250</v>
      </c>
      <c r="T723" s="4" t="s">
        <v>2643</v>
      </c>
    </row>
    <row r="724" spans="2:29" ht="69.599999999999994">
      <c r="B724" s="30" t="s">
        <v>2644</v>
      </c>
      <c r="C724" s="30" t="s">
        <v>2645</v>
      </c>
      <c r="D724" s="52" t="s">
        <v>2646</v>
      </c>
      <c r="E724" t="s">
        <v>52</v>
      </c>
      <c r="F724" s="65" t="s">
        <v>2647</v>
      </c>
      <c r="G724" s="65" t="s">
        <v>2648</v>
      </c>
      <c r="H724" s="5" t="s">
        <v>1939</v>
      </c>
      <c r="I724" s="117" t="s">
        <v>2649</v>
      </c>
      <c r="J724" s="29" t="s">
        <v>38</v>
      </c>
      <c r="K724" s="29" t="s">
        <v>2650</v>
      </c>
      <c r="L724" t="s">
        <v>40</v>
      </c>
      <c r="M724" s="16" t="s">
        <v>2417</v>
      </c>
      <c r="N724" s="3" t="str">
        <f t="shared" si="31"/>
        <v>1  Year</v>
      </c>
      <c r="O724" t="s">
        <v>42</v>
      </c>
      <c r="P724" t="s">
        <v>2418</v>
      </c>
      <c r="Q724">
        <v>2026</v>
      </c>
      <c r="R724" s="29" t="s">
        <v>44</v>
      </c>
      <c r="S724" s="29" t="s">
        <v>45</v>
      </c>
      <c r="T724" s="4" t="s">
        <v>2651</v>
      </c>
    </row>
    <row r="725" spans="2:29" ht="69.599999999999994">
      <c r="B725" t="s">
        <v>2652</v>
      </c>
      <c r="C725" s="30" t="s">
        <v>2653</v>
      </c>
      <c r="D725" s="52" t="s">
        <v>341</v>
      </c>
      <c r="E725" t="s">
        <v>52</v>
      </c>
      <c r="F725" s="65" t="s">
        <v>2647</v>
      </c>
      <c r="G725" s="65" t="s">
        <v>2648</v>
      </c>
      <c r="H725" s="5" t="s">
        <v>1939</v>
      </c>
      <c r="I725" s="117" t="s">
        <v>2649</v>
      </c>
      <c r="J725" s="29" t="s">
        <v>48</v>
      </c>
      <c r="K725" s="29" t="s">
        <v>2654</v>
      </c>
      <c r="L725" t="s">
        <v>40</v>
      </c>
      <c r="M725" s="16" t="s">
        <v>2417</v>
      </c>
      <c r="N725" s="3" t="str">
        <f t="shared" ref="N725:N788" si="36">IF(L725="New","1  Year",IF(L725="Promotional","15 Weeks",IF(L725="Revalidation","2 Years","")))</f>
        <v>1  Year</v>
      </c>
      <c r="O725" t="s">
        <v>42</v>
      </c>
      <c r="P725" t="s">
        <v>2418</v>
      </c>
      <c r="Q725">
        <v>2026</v>
      </c>
      <c r="R725" s="29" t="s">
        <v>44</v>
      </c>
      <c r="S725" s="29" t="s">
        <v>45</v>
      </c>
      <c r="T725" s="4" t="s">
        <v>2655</v>
      </c>
    </row>
    <row r="726" spans="2:29" ht="69.599999999999994">
      <c r="B726" s="30" t="s">
        <v>2656</v>
      </c>
      <c r="C726" s="22" t="s">
        <v>2657</v>
      </c>
      <c r="D726" s="30" t="s">
        <v>2658</v>
      </c>
      <c r="E726" t="s">
        <v>52</v>
      </c>
      <c r="F726" s="65" t="s">
        <v>2647</v>
      </c>
      <c r="G726" s="65" t="s">
        <v>2648</v>
      </c>
      <c r="H726" s="5" t="s">
        <v>1939</v>
      </c>
      <c r="I726" s="117" t="s">
        <v>2649</v>
      </c>
      <c r="J726" s="29" t="s">
        <v>48</v>
      </c>
      <c r="K726" s="29" t="s">
        <v>2659</v>
      </c>
      <c r="L726" t="s">
        <v>40</v>
      </c>
      <c r="M726" s="16" t="s">
        <v>2417</v>
      </c>
      <c r="N726" s="3" t="str">
        <f t="shared" si="36"/>
        <v>1  Year</v>
      </c>
      <c r="O726" t="s">
        <v>42</v>
      </c>
      <c r="P726" t="s">
        <v>2418</v>
      </c>
      <c r="Q726">
        <v>2026</v>
      </c>
      <c r="R726" s="29" t="s">
        <v>44</v>
      </c>
      <c r="S726" s="29" t="s">
        <v>45</v>
      </c>
      <c r="T726" s="4" t="s">
        <v>2660</v>
      </c>
    </row>
    <row r="727" spans="2:29" ht="28.2">
      <c r="B727" t="s">
        <v>2661</v>
      </c>
      <c r="C727" s="30" t="s">
        <v>2662</v>
      </c>
      <c r="D727" s="30" t="s">
        <v>2663</v>
      </c>
      <c r="E727" t="s">
        <v>52</v>
      </c>
      <c r="F727" s="65" t="s">
        <v>170</v>
      </c>
      <c r="G727" s="65" t="s">
        <v>2064</v>
      </c>
      <c r="H727" s="5" t="s">
        <v>2664</v>
      </c>
      <c r="I727" s="117" t="s">
        <v>2665</v>
      </c>
      <c r="J727" s="29" t="s">
        <v>48</v>
      </c>
      <c r="K727" s="65" t="s">
        <v>2666</v>
      </c>
      <c r="L727" t="s">
        <v>90</v>
      </c>
      <c r="M727" s="16" t="s">
        <v>2417</v>
      </c>
      <c r="N727" s="3" t="str">
        <f t="shared" si="36"/>
        <v>2 Years</v>
      </c>
      <c r="O727" t="s">
        <v>42</v>
      </c>
      <c r="P727" t="s">
        <v>2418</v>
      </c>
      <c r="Q727">
        <v>2026</v>
      </c>
      <c r="R727" s="29" t="s">
        <v>44</v>
      </c>
      <c r="S727" s="29" t="s">
        <v>45</v>
      </c>
      <c r="T727" s="4" t="s">
        <v>2667</v>
      </c>
    </row>
    <row r="728" spans="2:29" ht="69.599999999999994">
      <c r="B728" s="30" t="s">
        <v>2668</v>
      </c>
      <c r="C728" s="22" t="s">
        <v>2669</v>
      </c>
      <c r="D728" s="30" t="s">
        <v>621</v>
      </c>
      <c r="E728" t="s">
        <v>33</v>
      </c>
      <c r="F728" s="65" t="s">
        <v>2647</v>
      </c>
      <c r="G728" s="65" t="s">
        <v>2648</v>
      </c>
      <c r="H728" s="5" t="s">
        <v>1939</v>
      </c>
      <c r="I728" s="117" t="s">
        <v>2649</v>
      </c>
      <c r="J728" s="29" t="s">
        <v>48</v>
      </c>
      <c r="K728" s="29" t="s">
        <v>2670</v>
      </c>
      <c r="L728" t="s">
        <v>40</v>
      </c>
      <c r="M728" s="16" t="s">
        <v>2417</v>
      </c>
      <c r="N728" s="3" t="str">
        <f t="shared" si="36"/>
        <v>1  Year</v>
      </c>
      <c r="O728" t="s">
        <v>42</v>
      </c>
      <c r="P728" t="s">
        <v>2418</v>
      </c>
      <c r="Q728">
        <v>2026</v>
      </c>
      <c r="R728" s="29" t="s">
        <v>44</v>
      </c>
      <c r="S728" s="29" t="s">
        <v>45</v>
      </c>
      <c r="T728" s="4" t="s">
        <v>2671</v>
      </c>
    </row>
    <row r="729" spans="2:29" ht="69.599999999999994">
      <c r="B729" t="s">
        <v>2672</v>
      </c>
      <c r="C729" s="22" t="s">
        <v>2673</v>
      </c>
      <c r="D729" s="30" t="s">
        <v>548</v>
      </c>
      <c r="E729" t="s">
        <v>33</v>
      </c>
      <c r="F729" s="65" t="s">
        <v>2647</v>
      </c>
      <c r="G729" s="65" t="s">
        <v>2648</v>
      </c>
      <c r="H729" s="5" t="s">
        <v>1939</v>
      </c>
      <c r="I729" s="117" t="s">
        <v>2649</v>
      </c>
      <c r="J729" s="29" t="s">
        <v>48</v>
      </c>
      <c r="K729" s="29" t="s">
        <v>2670</v>
      </c>
      <c r="L729" t="s">
        <v>40</v>
      </c>
      <c r="M729" s="16" t="s">
        <v>2417</v>
      </c>
      <c r="N729" s="3" t="str">
        <f t="shared" si="36"/>
        <v>1  Year</v>
      </c>
      <c r="O729" t="s">
        <v>42</v>
      </c>
      <c r="P729" t="s">
        <v>2418</v>
      </c>
      <c r="Q729">
        <v>2026</v>
      </c>
      <c r="R729" s="29" t="s">
        <v>44</v>
      </c>
      <c r="S729" s="29" t="s">
        <v>45</v>
      </c>
      <c r="T729" s="4" t="s">
        <v>2671</v>
      </c>
    </row>
    <row r="730" spans="2:29" ht="42">
      <c r="B730" s="30" t="s">
        <v>2150</v>
      </c>
      <c r="C730" s="22" t="s">
        <v>2151</v>
      </c>
      <c r="D730" s="65" t="s">
        <v>2674</v>
      </c>
      <c r="E730" t="s">
        <v>52</v>
      </c>
      <c r="F730" s="65" t="s">
        <v>2153</v>
      </c>
      <c r="G730" s="65" t="s">
        <v>2675</v>
      </c>
      <c r="I730" s="117" t="s">
        <v>2156</v>
      </c>
      <c r="J730" s="29" t="s">
        <v>88</v>
      </c>
      <c r="K730" s="29" t="s">
        <v>2676</v>
      </c>
      <c r="L730" t="s">
        <v>40</v>
      </c>
      <c r="M730" s="16" t="s">
        <v>2417</v>
      </c>
      <c r="N730" s="3" t="str">
        <f t="shared" si="36"/>
        <v>1  Year</v>
      </c>
      <c r="O730" t="s">
        <v>42</v>
      </c>
      <c r="P730" t="s">
        <v>2418</v>
      </c>
      <c r="Q730">
        <v>2026</v>
      </c>
      <c r="R730" s="29" t="s">
        <v>44</v>
      </c>
      <c r="S730" s="29" t="s">
        <v>45</v>
      </c>
      <c r="T730" s="4" t="s">
        <v>2677</v>
      </c>
    </row>
    <row r="731" spans="2:29" ht="42">
      <c r="B731" s="30" t="s">
        <v>2159</v>
      </c>
      <c r="C731" s="22" t="s">
        <v>2160</v>
      </c>
      <c r="D731" s="65" t="s">
        <v>2674</v>
      </c>
      <c r="E731" t="s">
        <v>52</v>
      </c>
      <c r="F731" s="65" t="s">
        <v>2153</v>
      </c>
      <c r="G731" s="65" t="s">
        <v>2675</v>
      </c>
      <c r="I731" s="117" t="s">
        <v>2156</v>
      </c>
      <c r="J731" s="29" t="s">
        <v>145</v>
      </c>
      <c r="K731" s="29" t="s">
        <v>2676</v>
      </c>
      <c r="L731" t="s">
        <v>40</v>
      </c>
      <c r="M731" s="16" t="s">
        <v>2417</v>
      </c>
      <c r="N731" s="3" t="str">
        <f t="shared" si="36"/>
        <v>1  Year</v>
      </c>
      <c r="O731" t="s">
        <v>42</v>
      </c>
      <c r="P731" t="s">
        <v>2418</v>
      </c>
      <c r="Q731">
        <v>2026</v>
      </c>
      <c r="R731" s="29" t="s">
        <v>44</v>
      </c>
      <c r="S731" s="29" t="s">
        <v>45</v>
      </c>
      <c r="T731" s="4" t="s">
        <v>2677</v>
      </c>
      <c r="U731" t="s">
        <v>2161</v>
      </c>
      <c r="W731" t="s">
        <v>2678</v>
      </c>
      <c r="X731" t="s">
        <v>2679</v>
      </c>
      <c r="Y731" t="s">
        <v>103</v>
      </c>
      <c r="AB731" t="s">
        <v>105</v>
      </c>
      <c r="AC731" t="s">
        <v>815</v>
      </c>
    </row>
    <row r="732" spans="2:29" ht="42">
      <c r="B732" t="s">
        <v>2680</v>
      </c>
      <c r="C732" s="22" t="s">
        <v>2681</v>
      </c>
      <c r="D732" s="30" t="s">
        <v>2469</v>
      </c>
      <c r="E732" t="s">
        <v>33</v>
      </c>
      <c r="F732" s="65" t="s">
        <v>2682</v>
      </c>
      <c r="G732" s="65" t="s">
        <v>2683</v>
      </c>
      <c r="H732" s="5" t="s">
        <v>2684</v>
      </c>
      <c r="I732" s="117" t="s">
        <v>2685</v>
      </c>
      <c r="J732" s="29" t="s">
        <v>88</v>
      </c>
      <c r="K732" s="30" t="s">
        <v>2686</v>
      </c>
      <c r="L732" t="s">
        <v>40</v>
      </c>
      <c r="M732" s="16" t="s">
        <v>2417</v>
      </c>
      <c r="N732" s="3" t="str">
        <f t="shared" si="36"/>
        <v>1  Year</v>
      </c>
      <c r="O732" t="s">
        <v>42</v>
      </c>
      <c r="P732" t="s">
        <v>2418</v>
      </c>
      <c r="Q732">
        <v>2026</v>
      </c>
      <c r="R732" s="29" t="s">
        <v>1981</v>
      </c>
      <c r="S732" s="29" t="s">
        <v>45</v>
      </c>
      <c r="T732" s="4" t="s">
        <v>2687</v>
      </c>
    </row>
    <row r="733" spans="2:29" ht="42">
      <c r="B733" t="s">
        <v>2680</v>
      </c>
      <c r="C733" s="22" t="s">
        <v>2681</v>
      </c>
      <c r="D733" s="30" t="s">
        <v>2469</v>
      </c>
      <c r="E733" t="s">
        <v>52</v>
      </c>
      <c r="F733" s="65" t="s">
        <v>2682</v>
      </c>
      <c r="G733" s="65" t="s">
        <v>2683</v>
      </c>
      <c r="H733" s="5" t="s">
        <v>2684</v>
      </c>
      <c r="I733" s="117" t="s">
        <v>2685</v>
      </c>
      <c r="J733" s="29" t="s">
        <v>88</v>
      </c>
      <c r="K733" s="29" t="s">
        <v>2688</v>
      </c>
      <c r="L733" t="s">
        <v>90</v>
      </c>
      <c r="M733" s="16" t="s">
        <v>2417</v>
      </c>
      <c r="N733" s="3" t="str">
        <f t="shared" si="36"/>
        <v>2 Years</v>
      </c>
      <c r="O733" t="s">
        <v>42</v>
      </c>
      <c r="P733" t="s">
        <v>2418</v>
      </c>
      <c r="Q733">
        <v>2026</v>
      </c>
      <c r="R733" s="29" t="s">
        <v>1981</v>
      </c>
      <c r="S733" s="29" t="s">
        <v>45</v>
      </c>
      <c r="T733" s="4" t="s">
        <v>2689</v>
      </c>
    </row>
    <row r="734" spans="2:29" ht="42">
      <c r="B734" t="s">
        <v>2690</v>
      </c>
      <c r="C734" s="22" t="s">
        <v>2691</v>
      </c>
      <c r="D734" s="52">
        <v>50</v>
      </c>
      <c r="F734" s="30" t="s">
        <v>908</v>
      </c>
      <c r="G734" s="65" t="s">
        <v>1986</v>
      </c>
      <c r="I734" s="117" t="s">
        <v>2270</v>
      </c>
      <c r="J734" s="29" t="s">
        <v>92</v>
      </c>
      <c r="K734" s="30" t="s">
        <v>2692</v>
      </c>
      <c r="L734" t="s">
        <v>40</v>
      </c>
      <c r="M734" s="16" t="s">
        <v>2417</v>
      </c>
      <c r="N734" s="3" t="str">
        <f t="shared" si="36"/>
        <v>1  Year</v>
      </c>
      <c r="O734" t="s">
        <v>1910</v>
      </c>
      <c r="P734" t="s">
        <v>2418</v>
      </c>
      <c r="Q734">
        <v>2026</v>
      </c>
      <c r="R734" s="29" t="s">
        <v>1981</v>
      </c>
      <c r="S734" s="29" t="s">
        <v>45</v>
      </c>
      <c r="T734" s="4" t="s">
        <v>2693</v>
      </c>
    </row>
    <row r="735" spans="2:29" ht="55.8">
      <c r="B735" s="26" t="s">
        <v>1884</v>
      </c>
      <c r="C735" s="22" t="s">
        <v>1885</v>
      </c>
      <c r="D735" s="65" t="s">
        <v>1886</v>
      </c>
      <c r="E735" t="s">
        <v>33</v>
      </c>
      <c r="F735" s="65" t="s">
        <v>1887</v>
      </c>
      <c r="G735" s="65" t="s">
        <v>2694</v>
      </c>
      <c r="J735" s="29" t="s">
        <v>159</v>
      </c>
      <c r="K735" s="29" t="s">
        <v>2695</v>
      </c>
      <c r="L735" t="s">
        <v>40</v>
      </c>
      <c r="M735" s="16" t="s">
        <v>2417</v>
      </c>
      <c r="N735" s="3" t="str">
        <f t="shared" si="36"/>
        <v>1  Year</v>
      </c>
      <c r="O735" t="s">
        <v>811</v>
      </c>
      <c r="P735" t="s">
        <v>2418</v>
      </c>
      <c r="Q735">
        <v>2026</v>
      </c>
      <c r="R735" s="29" t="s">
        <v>1981</v>
      </c>
      <c r="S735" s="29" t="s">
        <v>45</v>
      </c>
      <c r="T735" s="4" t="s">
        <v>2696</v>
      </c>
    </row>
    <row r="736" spans="2:29" ht="55.8">
      <c r="B736" s="26" t="s">
        <v>2697</v>
      </c>
      <c r="C736" s="22" t="s">
        <v>2698</v>
      </c>
      <c r="D736" s="65" t="s">
        <v>1886</v>
      </c>
      <c r="E736" t="s">
        <v>33</v>
      </c>
      <c r="F736" s="65" t="s">
        <v>1887</v>
      </c>
      <c r="G736" s="65" t="s">
        <v>2694</v>
      </c>
      <c r="J736" s="29" t="s">
        <v>159</v>
      </c>
      <c r="K736" s="29" t="s">
        <v>2699</v>
      </c>
      <c r="L736" t="s">
        <v>40</v>
      </c>
      <c r="M736" s="16" t="s">
        <v>2417</v>
      </c>
      <c r="N736" s="3" t="str">
        <f t="shared" si="36"/>
        <v>1  Year</v>
      </c>
      <c r="O736" t="s">
        <v>811</v>
      </c>
      <c r="P736" t="s">
        <v>2418</v>
      </c>
      <c r="Q736">
        <v>2026</v>
      </c>
      <c r="R736" s="29" t="s">
        <v>1981</v>
      </c>
      <c r="S736" s="29" t="s">
        <v>45</v>
      </c>
      <c r="T736" s="4" t="s">
        <v>2696</v>
      </c>
    </row>
    <row r="737" spans="1:20" ht="55.8">
      <c r="B737" s="26" t="s">
        <v>1884</v>
      </c>
      <c r="C737" s="22" t="s">
        <v>1885</v>
      </c>
      <c r="D737" s="65" t="s">
        <v>1886</v>
      </c>
      <c r="E737" t="s">
        <v>33</v>
      </c>
      <c r="F737" s="65" t="s">
        <v>1887</v>
      </c>
      <c r="G737" s="65" t="s">
        <v>2694</v>
      </c>
      <c r="J737" s="29" t="s">
        <v>159</v>
      </c>
      <c r="K737" s="29" t="s">
        <v>2700</v>
      </c>
      <c r="L737" t="s">
        <v>40</v>
      </c>
      <c r="M737" s="16" t="s">
        <v>2417</v>
      </c>
      <c r="N737" s="3" t="str">
        <f t="shared" si="36"/>
        <v>1  Year</v>
      </c>
      <c r="O737" t="s">
        <v>811</v>
      </c>
      <c r="P737" t="s">
        <v>2418</v>
      </c>
      <c r="Q737">
        <v>2026</v>
      </c>
      <c r="R737" s="29" t="s">
        <v>1981</v>
      </c>
      <c r="S737" s="29" t="s">
        <v>45</v>
      </c>
      <c r="T737" s="5" t="s">
        <v>2701</v>
      </c>
    </row>
    <row r="738" spans="1:20">
      <c r="A738">
        <v>126</v>
      </c>
      <c r="B738" s="32" t="s">
        <v>2702</v>
      </c>
      <c r="F738" s="34" t="s">
        <v>208</v>
      </c>
      <c r="N738" s="3" t="str">
        <f t="shared" si="36"/>
        <v/>
      </c>
    </row>
    <row r="739" spans="1:20">
      <c r="B739" s="61" t="s">
        <v>2703</v>
      </c>
      <c r="C739" s="61" t="s">
        <v>2704</v>
      </c>
      <c r="D739" s="61" t="s">
        <v>2705</v>
      </c>
      <c r="E739" t="s">
        <v>33</v>
      </c>
      <c r="F739" s="60" t="s">
        <v>1678</v>
      </c>
      <c r="G739" s="60" t="s">
        <v>2706</v>
      </c>
      <c r="H739" s="5" t="s">
        <v>1680</v>
      </c>
      <c r="I739" s="116" t="s">
        <v>2707</v>
      </c>
      <c r="J739" s="29" t="s">
        <v>145</v>
      </c>
      <c r="K739" s="60" t="s">
        <v>2708</v>
      </c>
      <c r="L739" t="s">
        <v>40</v>
      </c>
      <c r="M739" s="16" t="s">
        <v>2709</v>
      </c>
      <c r="N739" s="3" t="str">
        <f t="shared" si="36"/>
        <v>1  Year</v>
      </c>
      <c r="O739" t="s">
        <v>811</v>
      </c>
      <c r="P739" t="s">
        <v>2710</v>
      </c>
      <c r="Q739">
        <v>2026</v>
      </c>
      <c r="R739" s="29" t="s">
        <v>44</v>
      </c>
      <c r="S739" s="29" t="s">
        <v>45</v>
      </c>
      <c r="T739" s="4" t="s">
        <v>2711</v>
      </c>
    </row>
    <row r="740" spans="1:20">
      <c r="B740" s="61" t="s">
        <v>2703</v>
      </c>
      <c r="C740" s="61" t="s">
        <v>2704</v>
      </c>
      <c r="D740" s="61" t="s">
        <v>2705</v>
      </c>
      <c r="E740" t="s">
        <v>33</v>
      </c>
      <c r="F740" s="60" t="s">
        <v>1678</v>
      </c>
      <c r="G740" s="60" t="s">
        <v>2706</v>
      </c>
      <c r="H740" s="5" t="s">
        <v>1680</v>
      </c>
      <c r="I740" s="116" t="s">
        <v>2707</v>
      </c>
      <c r="J740" s="29" t="s">
        <v>48</v>
      </c>
      <c r="K740" s="60" t="s">
        <v>2708</v>
      </c>
      <c r="L740" t="s">
        <v>40</v>
      </c>
      <c r="M740" s="16" t="s">
        <v>2709</v>
      </c>
      <c r="N740" s="3" t="str">
        <f t="shared" si="36"/>
        <v>1  Year</v>
      </c>
      <c r="O740" t="s">
        <v>811</v>
      </c>
      <c r="P740" t="s">
        <v>2710</v>
      </c>
      <c r="Q740">
        <v>2026</v>
      </c>
      <c r="R740" s="29" t="s">
        <v>44</v>
      </c>
      <c r="S740" s="29" t="s">
        <v>45</v>
      </c>
      <c r="T740" s="4" t="s">
        <v>2711</v>
      </c>
    </row>
    <row r="741" spans="1:20" ht="28.8">
      <c r="B741" s="61" t="s">
        <v>2712</v>
      </c>
      <c r="C741" s="22" t="s">
        <v>2713</v>
      </c>
      <c r="D741" s="61" t="s">
        <v>2714</v>
      </c>
      <c r="E741" t="s">
        <v>33</v>
      </c>
      <c r="F741" s="60" t="s">
        <v>1172</v>
      </c>
      <c r="G741" s="60" t="s">
        <v>2715</v>
      </c>
      <c r="H741" s="29" t="s">
        <v>2716</v>
      </c>
      <c r="I741" s="116" t="s">
        <v>2717</v>
      </c>
      <c r="J741" s="29" t="s">
        <v>48</v>
      </c>
      <c r="K741" s="60" t="s">
        <v>2718</v>
      </c>
      <c r="L741" t="s">
        <v>40</v>
      </c>
      <c r="M741" s="16" t="s">
        <v>2709</v>
      </c>
      <c r="N741" s="3" t="str">
        <f t="shared" si="36"/>
        <v>1  Year</v>
      </c>
      <c r="O741" t="s">
        <v>42</v>
      </c>
      <c r="P741" t="s">
        <v>2710</v>
      </c>
      <c r="Q741">
        <v>2026</v>
      </c>
      <c r="R741" s="29" t="s">
        <v>1981</v>
      </c>
      <c r="S741" s="29" t="s">
        <v>45</v>
      </c>
      <c r="T741" s="4" t="s">
        <v>2719</v>
      </c>
    </row>
    <row r="742" spans="1:20" ht="28.8">
      <c r="B742" s="61" t="s">
        <v>2712</v>
      </c>
      <c r="C742" s="22" t="s">
        <v>2713</v>
      </c>
      <c r="D742" s="61" t="s">
        <v>2714</v>
      </c>
      <c r="E742" t="s">
        <v>33</v>
      </c>
      <c r="F742" s="60" t="s">
        <v>1172</v>
      </c>
      <c r="G742" s="60" t="s">
        <v>2715</v>
      </c>
      <c r="H742" s="29" t="s">
        <v>2716</v>
      </c>
      <c r="I742" s="116" t="s">
        <v>2717</v>
      </c>
      <c r="J742" s="29" t="s">
        <v>88</v>
      </c>
      <c r="K742" s="60" t="s">
        <v>2718</v>
      </c>
      <c r="L742" t="s">
        <v>40</v>
      </c>
      <c r="M742" s="16" t="s">
        <v>2709</v>
      </c>
      <c r="N742" s="3" t="str">
        <f t="shared" si="36"/>
        <v>1  Year</v>
      </c>
      <c r="O742" t="s">
        <v>42</v>
      </c>
      <c r="P742" t="s">
        <v>2710</v>
      </c>
      <c r="Q742">
        <v>2026</v>
      </c>
      <c r="R742" s="29" t="s">
        <v>1981</v>
      </c>
      <c r="S742" s="29" t="s">
        <v>45</v>
      </c>
      <c r="T742" s="4" t="s">
        <v>2719</v>
      </c>
    </row>
    <row r="743" spans="1:20" ht="28.8">
      <c r="B743" s="61" t="s">
        <v>2712</v>
      </c>
      <c r="C743" s="22" t="s">
        <v>2713</v>
      </c>
      <c r="D743" s="61" t="s">
        <v>2714</v>
      </c>
      <c r="E743" t="s">
        <v>33</v>
      </c>
      <c r="F743" s="60" t="s">
        <v>1172</v>
      </c>
      <c r="G743" s="60" t="s">
        <v>2715</v>
      </c>
      <c r="H743" s="29" t="s">
        <v>2716</v>
      </c>
      <c r="I743" s="116" t="s">
        <v>2717</v>
      </c>
      <c r="J743" s="29" t="s">
        <v>92</v>
      </c>
      <c r="K743" s="60" t="s">
        <v>2718</v>
      </c>
      <c r="L743" t="s">
        <v>40</v>
      </c>
      <c r="M743" s="16" t="s">
        <v>2709</v>
      </c>
      <c r="N743" s="3" t="str">
        <f t="shared" si="36"/>
        <v>1  Year</v>
      </c>
      <c r="O743" t="s">
        <v>42</v>
      </c>
      <c r="P743" t="s">
        <v>2710</v>
      </c>
      <c r="Q743">
        <v>2026</v>
      </c>
      <c r="R743" s="29" t="s">
        <v>1981</v>
      </c>
      <c r="S743" s="29" t="s">
        <v>45</v>
      </c>
      <c r="T743" s="4" t="s">
        <v>2719</v>
      </c>
    </row>
    <row r="744" spans="1:20" ht="28.8">
      <c r="B744" s="61" t="s">
        <v>2712</v>
      </c>
      <c r="C744" s="22" t="s">
        <v>2713</v>
      </c>
      <c r="D744" s="61" t="s">
        <v>2714</v>
      </c>
      <c r="E744" t="s">
        <v>33</v>
      </c>
      <c r="F744" s="60" t="s">
        <v>1172</v>
      </c>
      <c r="G744" s="60" t="s">
        <v>2715</v>
      </c>
      <c r="H744" s="29" t="s">
        <v>2716</v>
      </c>
      <c r="I744" s="116" t="s">
        <v>2717</v>
      </c>
      <c r="J744" s="29" t="s">
        <v>145</v>
      </c>
      <c r="K744" s="60" t="s">
        <v>2718</v>
      </c>
      <c r="L744" t="s">
        <v>40</v>
      </c>
      <c r="M744" s="16" t="s">
        <v>2709</v>
      </c>
      <c r="N744" s="3" t="str">
        <f t="shared" si="36"/>
        <v>1  Year</v>
      </c>
      <c r="O744" t="s">
        <v>42</v>
      </c>
      <c r="P744" t="s">
        <v>2710</v>
      </c>
      <c r="Q744">
        <v>2026</v>
      </c>
      <c r="R744" s="29" t="s">
        <v>1981</v>
      </c>
      <c r="S744" s="29" t="s">
        <v>45</v>
      </c>
      <c r="T744" s="4" t="s">
        <v>2719</v>
      </c>
    </row>
    <row r="745" spans="1:20" ht="28.8">
      <c r="B745" s="61" t="s">
        <v>2712</v>
      </c>
      <c r="C745" s="22" t="s">
        <v>2713</v>
      </c>
      <c r="D745" s="61" t="s">
        <v>2714</v>
      </c>
      <c r="E745" t="s">
        <v>33</v>
      </c>
      <c r="F745" s="60" t="s">
        <v>1172</v>
      </c>
      <c r="G745" s="60" t="s">
        <v>2715</v>
      </c>
      <c r="H745" s="29" t="s">
        <v>2716</v>
      </c>
      <c r="I745" s="116" t="s">
        <v>2717</v>
      </c>
      <c r="J745" s="29" t="s">
        <v>159</v>
      </c>
      <c r="K745" s="60" t="s">
        <v>2718</v>
      </c>
      <c r="L745" t="s">
        <v>40</v>
      </c>
      <c r="M745" s="16" t="s">
        <v>2709</v>
      </c>
      <c r="N745" s="3" t="str">
        <f t="shared" si="36"/>
        <v>1  Year</v>
      </c>
      <c r="O745" t="s">
        <v>42</v>
      </c>
      <c r="P745" t="s">
        <v>2710</v>
      </c>
      <c r="Q745">
        <v>2026</v>
      </c>
      <c r="R745" s="29" t="s">
        <v>1981</v>
      </c>
      <c r="S745" s="29" t="s">
        <v>45</v>
      </c>
      <c r="T745" s="4" t="s">
        <v>2719</v>
      </c>
    </row>
    <row r="746" spans="1:20" ht="28.8">
      <c r="B746" s="61" t="s">
        <v>2712</v>
      </c>
      <c r="C746" s="22" t="s">
        <v>2713</v>
      </c>
      <c r="D746" s="61" t="s">
        <v>2714</v>
      </c>
      <c r="E746" t="s">
        <v>33</v>
      </c>
      <c r="F746" s="60" t="s">
        <v>1172</v>
      </c>
      <c r="G746" s="60" t="s">
        <v>2715</v>
      </c>
      <c r="H746" s="29" t="s">
        <v>2716</v>
      </c>
      <c r="I746" s="116" t="s">
        <v>2717</v>
      </c>
      <c r="J746" s="29" t="s">
        <v>800</v>
      </c>
      <c r="K746" s="60" t="s">
        <v>2718</v>
      </c>
      <c r="L746" t="s">
        <v>40</v>
      </c>
      <c r="M746" s="16" t="s">
        <v>2709</v>
      </c>
      <c r="N746" s="3" t="str">
        <f t="shared" si="36"/>
        <v>1  Year</v>
      </c>
      <c r="O746" t="s">
        <v>42</v>
      </c>
      <c r="P746" t="s">
        <v>2710</v>
      </c>
      <c r="Q746">
        <v>2026</v>
      </c>
      <c r="R746" s="29" t="s">
        <v>1981</v>
      </c>
      <c r="S746" s="29" t="s">
        <v>45</v>
      </c>
      <c r="T746" s="4" t="s">
        <v>2719</v>
      </c>
    </row>
    <row r="747" spans="1:20" ht="28.8">
      <c r="B747" t="s">
        <v>2720</v>
      </c>
      <c r="C747" s="22" t="s">
        <v>2721</v>
      </c>
      <c r="D747" s="61" t="s">
        <v>2714</v>
      </c>
      <c r="E747" t="s">
        <v>33</v>
      </c>
      <c r="F747" s="60" t="s">
        <v>1172</v>
      </c>
      <c r="G747" s="60" t="s">
        <v>2715</v>
      </c>
      <c r="H747" s="29" t="s">
        <v>2716</v>
      </c>
      <c r="I747" s="116" t="s">
        <v>2717</v>
      </c>
      <c r="J747" s="29" t="s">
        <v>48</v>
      </c>
      <c r="K747" s="60" t="s">
        <v>2722</v>
      </c>
      <c r="L747" t="s">
        <v>40</v>
      </c>
      <c r="M747" s="16" t="s">
        <v>2709</v>
      </c>
      <c r="N747" s="3" t="str">
        <f t="shared" si="36"/>
        <v>1  Year</v>
      </c>
      <c r="O747" t="s">
        <v>42</v>
      </c>
      <c r="P747" t="s">
        <v>2710</v>
      </c>
      <c r="Q747">
        <v>2026</v>
      </c>
      <c r="R747" s="29" t="s">
        <v>1981</v>
      </c>
      <c r="S747" s="29" t="s">
        <v>45</v>
      </c>
      <c r="T747" s="4" t="s">
        <v>2723</v>
      </c>
    </row>
    <row r="748" spans="1:20" ht="28.8">
      <c r="B748" t="s">
        <v>2720</v>
      </c>
      <c r="C748" s="22" t="s">
        <v>2721</v>
      </c>
      <c r="D748" s="61" t="s">
        <v>2714</v>
      </c>
      <c r="E748" t="s">
        <v>33</v>
      </c>
      <c r="F748" s="60" t="s">
        <v>1172</v>
      </c>
      <c r="G748" s="60" t="s">
        <v>2715</v>
      </c>
      <c r="H748" s="29" t="s">
        <v>2716</v>
      </c>
      <c r="I748" s="116" t="s">
        <v>2717</v>
      </c>
      <c r="J748" s="29" t="s">
        <v>88</v>
      </c>
      <c r="K748" s="60" t="s">
        <v>2722</v>
      </c>
      <c r="L748" t="s">
        <v>40</v>
      </c>
      <c r="M748" s="16" t="s">
        <v>2709</v>
      </c>
      <c r="N748" s="3" t="str">
        <f t="shared" si="36"/>
        <v>1  Year</v>
      </c>
      <c r="O748" t="s">
        <v>42</v>
      </c>
      <c r="P748" t="s">
        <v>2710</v>
      </c>
      <c r="Q748">
        <v>2026</v>
      </c>
      <c r="R748" s="29" t="s">
        <v>1981</v>
      </c>
      <c r="S748" s="29" t="s">
        <v>45</v>
      </c>
      <c r="T748" s="4" t="s">
        <v>2723</v>
      </c>
    </row>
    <row r="749" spans="1:20" ht="28.8">
      <c r="B749" t="s">
        <v>2720</v>
      </c>
      <c r="C749" s="22" t="s">
        <v>2721</v>
      </c>
      <c r="D749" s="61" t="s">
        <v>2714</v>
      </c>
      <c r="E749" t="s">
        <v>33</v>
      </c>
      <c r="F749" s="60" t="s">
        <v>1172</v>
      </c>
      <c r="G749" s="60" t="s">
        <v>2715</v>
      </c>
      <c r="H749" s="29" t="s">
        <v>2716</v>
      </c>
      <c r="I749" s="116" t="s">
        <v>2717</v>
      </c>
      <c r="J749" s="29" t="s">
        <v>92</v>
      </c>
      <c r="K749" s="60" t="s">
        <v>2722</v>
      </c>
      <c r="L749" t="s">
        <v>40</v>
      </c>
      <c r="M749" s="16" t="s">
        <v>2709</v>
      </c>
      <c r="N749" s="3" t="str">
        <f t="shared" si="36"/>
        <v>1  Year</v>
      </c>
      <c r="O749" t="s">
        <v>42</v>
      </c>
      <c r="P749" t="s">
        <v>2710</v>
      </c>
      <c r="Q749">
        <v>2026</v>
      </c>
      <c r="R749" s="29" t="s">
        <v>1981</v>
      </c>
      <c r="S749" s="29" t="s">
        <v>45</v>
      </c>
      <c r="T749" s="4" t="s">
        <v>2723</v>
      </c>
    </row>
    <row r="750" spans="1:20" ht="28.8">
      <c r="B750" t="s">
        <v>2720</v>
      </c>
      <c r="C750" s="22" t="s">
        <v>2721</v>
      </c>
      <c r="D750" s="61" t="s">
        <v>2714</v>
      </c>
      <c r="E750" t="s">
        <v>33</v>
      </c>
      <c r="F750" s="60" t="s">
        <v>1172</v>
      </c>
      <c r="G750" s="60" t="s">
        <v>2715</v>
      </c>
      <c r="H750" s="29" t="s">
        <v>2716</v>
      </c>
      <c r="I750" s="116" t="s">
        <v>2717</v>
      </c>
      <c r="J750" s="29" t="s">
        <v>145</v>
      </c>
      <c r="K750" s="60" t="s">
        <v>2722</v>
      </c>
      <c r="L750" t="s">
        <v>40</v>
      </c>
      <c r="M750" s="16" t="s">
        <v>2709</v>
      </c>
      <c r="N750" s="3" t="str">
        <f t="shared" si="36"/>
        <v>1  Year</v>
      </c>
      <c r="O750" t="s">
        <v>42</v>
      </c>
      <c r="P750" t="s">
        <v>2710</v>
      </c>
      <c r="Q750">
        <v>2026</v>
      </c>
      <c r="R750" s="29" t="s">
        <v>1981</v>
      </c>
      <c r="S750" s="29" t="s">
        <v>45</v>
      </c>
      <c r="T750" s="4" t="s">
        <v>2723</v>
      </c>
    </row>
    <row r="751" spans="1:20" ht="28.8">
      <c r="B751" t="s">
        <v>2720</v>
      </c>
      <c r="C751" s="22" t="s">
        <v>2721</v>
      </c>
      <c r="D751" s="61" t="s">
        <v>2714</v>
      </c>
      <c r="E751" t="s">
        <v>33</v>
      </c>
      <c r="F751" s="60" t="s">
        <v>1172</v>
      </c>
      <c r="G751" s="60" t="s">
        <v>2715</v>
      </c>
      <c r="H751" s="29" t="s">
        <v>2716</v>
      </c>
      <c r="I751" s="116" t="s">
        <v>2717</v>
      </c>
      <c r="J751" s="29" t="s">
        <v>159</v>
      </c>
      <c r="K751" s="60" t="s">
        <v>2722</v>
      </c>
      <c r="L751" t="s">
        <v>40</v>
      </c>
      <c r="M751" s="16" t="s">
        <v>2709</v>
      </c>
      <c r="N751" s="3" t="str">
        <f t="shared" si="36"/>
        <v>1  Year</v>
      </c>
      <c r="O751" t="s">
        <v>42</v>
      </c>
      <c r="P751" t="s">
        <v>2710</v>
      </c>
      <c r="Q751">
        <v>2026</v>
      </c>
      <c r="R751" s="29" t="s">
        <v>1981</v>
      </c>
      <c r="S751" s="29" t="s">
        <v>45</v>
      </c>
      <c r="T751" s="4" t="s">
        <v>2723</v>
      </c>
    </row>
    <row r="752" spans="1:20" ht="28.8">
      <c r="B752" t="s">
        <v>2720</v>
      </c>
      <c r="C752" s="22" t="s">
        <v>2721</v>
      </c>
      <c r="D752" s="61" t="s">
        <v>2714</v>
      </c>
      <c r="E752" t="s">
        <v>33</v>
      </c>
      <c r="F752" s="60" t="s">
        <v>1172</v>
      </c>
      <c r="G752" s="60" t="s">
        <v>2715</v>
      </c>
      <c r="H752" s="29" t="s">
        <v>2716</v>
      </c>
      <c r="I752" s="116" t="s">
        <v>2717</v>
      </c>
      <c r="J752" s="29" t="s">
        <v>800</v>
      </c>
      <c r="K752" s="60" t="s">
        <v>2722</v>
      </c>
      <c r="L752" t="s">
        <v>40</v>
      </c>
      <c r="M752" s="16" t="s">
        <v>2709</v>
      </c>
      <c r="N752" s="3" t="str">
        <f t="shared" si="36"/>
        <v>1  Year</v>
      </c>
      <c r="O752" t="s">
        <v>42</v>
      </c>
      <c r="P752" t="s">
        <v>2710</v>
      </c>
      <c r="Q752">
        <v>2026</v>
      </c>
      <c r="R752" s="29" t="s">
        <v>1981</v>
      </c>
      <c r="S752" s="29" t="s">
        <v>45</v>
      </c>
      <c r="T752" s="4" t="s">
        <v>2723</v>
      </c>
    </row>
    <row r="753" spans="1:20" ht="55.8">
      <c r="B753" s="61" t="s">
        <v>2724</v>
      </c>
      <c r="D753" s="61" t="s">
        <v>2725</v>
      </c>
      <c r="E753" t="s">
        <v>182</v>
      </c>
      <c r="F753" s="60" t="s">
        <v>2726</v>
      </c>
      <c r="G753" s="34" t="s">
        <v>2727</v>
      </c>
      <c r="H753" s="5" t="s">
        <v>2728</v>
      </c>
      <c r="I753" s="117" t="s">
        <v>2729</v>
      </c>
      <c r="J753" s="29" t="s">
        <v>48</v>
      </c>
      <c r="K753" s="60" t="s">
        <v>2730</v>
      </c>
      <c r="L753" t="s">
        <v>40</v>
      </c>
      <c r="M753" s="16" t="s">
        <v>2709</v>
      </c>
      <c r="N753" s="3" t="str">
        <f t="shared" si="36"/>
        <v>1  Year</v>
      </c>
      <c r="O753" t="s">
        <v>1910</v>
      </c>
      <c r="P753" t="s">
        <v>2710</v>
      </c>
      <c r="Q753">
        <v>2026</v>
      </c>
      <c r="R753" s="29" t="s">
        <v>1981</v>
      </c>
      <c r="S753" s="29" t="s">
        <v>45</v>
      </c>
      <c r="T753" s="4" t="s">
        <v>2731</v>
      </c>
    </row>
    <row r="754" spans="1:20" ht="55.8">
      <c r="B754" s="61" t="s">
        <v>2724</v>
      </c>
      <c r="D754" s="61" t="s">
        <v>2725</v>
      </c>
      <c r="E754" t="s">
        <v>182</v>
      </c>
      <c r="F754" s="60" t="s">
        <v>2726</v>
      </c>
      <c r="G754" s="34" t="s">
        <v>2727</v>
      </c>
      <c r="H754" s="5" t="s">
        <v>2728</v>
      </c>
      <c r="I754" s="117" t="s">
        <v>2729</v>
      </c>
      <c r="J754" s="29" t="s">
        <v>159</v>
      </c>
      <c r="K754" s="60" t="s">
        <v>2730</v>
      </c>
      <c r="L754" t="s">
        <v>40</v>
      </c>
      <c r="M754" s="16" t="s">
        <v>2709</v>
      </c>
      <c r="N754" s="3" t="str">
        <f t="shared" si="36"/>
        <v>1  Year</v>
      </c>
      <c r="O754" t="s">
        <v>1910</v>
      </c>
      <c r="P754" t="s">
        <v>2710</v>
      </c>
      <c r="Q754">
        <v>2026</v>
      </c>
      <c r="R754" s="29" t="s">
        <v>1981</v>
      </c>
      <c r="S754" s="29" t="s">
        <v>45</v>
      </c>
      <c r="T754" s="4" t="s">
        <v>2731</v>
      </c>
    </row>
    <row r="755" spans="1:20" ht="55.8">
      <c r="B755" s="61" t="s">
        <v>2732</v>
      </c>
      <c r="C755" s="22" t="s">
        <v>2733</v>
      </c>
      <c r="D755" s="61" t="s">
        <v>2725</v>
      </c>
      <c r="E755" t="s">
        <v>182</v>
      </c>
      <c r="F755" s="60" t="s">
        <v>2726</v>
      </c>
      <c r="G755" s="34" t="s">
        <v>2727</v>
      </c>
      <c r="H755" s="5" t="s">
        <v>2728</v>
      </c>
      <c r="I755" s="117" t="s">
        <v>2729</v>
      </c>
      <c r="J755" s="29" t="s">
        <v>48</v>
      </c>
      <c r="K755" s="60" t="s">
        <v>2730</v>
      </c>
      <c r="L755" t="s">
        <v>40</v>
      </c>
      <c r="M755" s="16" t="s">
        <v>2709</v>
      </c>
      <c r="N755" s="3" t="str">
        <f t="shared" si="36"/>
        <v>1  Year</v>
      </c>
      <c r="O755" t="s">
        <v>1910</v>
      </c>
      <c r="P755" t="s">
        <v>2710</v>
      </c>
      <c r="Q755">
        <v>2026</v>
      </c>
      <c r="R755" s="29" t="s">
        <v>1981</v>
      </c>
      <c r="S755" s="29" t="s">
        <v>45</v>
      </c>
      <c r="T755" s="4" t="s">
        <v>2731</v>
      </c>
    </row>
    <row r="756" spans="1:20" ht="55.8">
      <c r="B756" s="61" t="s">
        <v>2732</v>
      </c>
      <c r="C756" s="22" t="s">
        <v>2733</v>
      </c>
      <c r="D756" s="61" t="s">
        <v>2725</v>
      </c>
      <c r="E756" t="s">
        <v>182</v>
      </c>
      <c r="F756" s="60" t="s">
        <v>2726</v>
      </c>
      <c r="G756" s="34" t="s">
        <v>2727</v>
      </c>
      <c r="H756" s="5" t="s">
        <v>2728</v>
      </c>
      <c r="I756" s="117" t="s">
        <v>2729</v>
      </c>
      <c r="J756" s="29" t="s">
        <v>159</v>
      </c>
      <c r="K756" s="60" t="s">
        <v>2730</v>
      </c>
      <c r="L756" t="s">
        <v>40</v>
      </c>
      <c r="M756" s="16" t="s">
        <v>2709</v>
      </c>
      <c r="N756" s="3" t="str">
        <f t="shared" si="36"/>
        <v>1  Year</v>
      </c>
      <c r="O756" t="s">
        <v>1910</v>
      </c>
      <c r="P756" t="s">
        <v>2710</v>
      </c>
      <c r="Q756">
        <v>2026</v>
      </c>
      <c r="R756" s="29" t="s">
        <v>1981</v>
      </c>
      <c r="S756" s="29" t="s">
        <v>45</v>
      </c>
      <c r="T756" s="4" t="s">
        <v>2731</v>
      </c>
    </row>
    <row r="757" spans="1:20">
      <c r="B757" s="61" t="s">
        <v>2734</v>
      </c>
      <c r="C757" s="61" t="s">
        <v>2735</v>
      </c>
      <c r="D757" s="61" t="s">
        <v>2736</v>
      </c>
      <c r="E757" t="s">
        <v>182</v>
      </c>
      <c r="F757" s="60" t="s">
        <v>226</v>
      </c>
      <c r="G757" s="60" t="s">
        <v>1906</v>
      </c>
      <c r="H757" s="5" t="s">
        <v>2737</v>
      </c>
      <c r="I757" s="117" t="s">
        <v>2738</v>
      </c>
      <c r="J757" s="29" t="s">
        <v>48</v>
      </c>
      <c r="K757" s="60" t="s">
        <v>2739</v>
      </c>
      <c r="L757" t="s">
        <v>40</v>
      </c>
      <c r="M757" s="16" t="s">
        <v>2709</v>
      </c>
      <c r="N757" s="3" t="str">
        <f t="shared" si="36"/>
        <v>1  Year</v>
      </c>
      <c r="O757" t="s">
        <v>1910</v>
      </c>
      <c r="P757" t="s">
        <v>2710</v>
      </c>
      <c r="Q757">
        <v>2026</v>
      </c>
      <c r="R757" s="29" t="s">
        <v>44</v>
      </c>
      <c r="S757" s="29" t="s">
        <v>45</v>
      </c>
      <c r="T757" s="4" t="s">
        <v>2740</v>
      </c>
    </row>
    <row r="758" spans="1:20">
      <c r="B758" s="61" t="s">
        <v>2734</v>
      </c>
      <c r="C758" s="61" t="s">
        <v>2735</v>
      </c>
      <c r="D758" s="61" t="s">
        <v>2736</v>
      </c>
      <c r="E758" t="s">
        <v>182</v>
      </c>
      <c r="F758" s="60" t="s">
        <v>226</v>
      </c>
      <c r="G758" s="60" t="s">
        <v>1906</v>
      </c>
      <c r="H758" s="5" t="s">
        <v>2737</v>
      </c>
      <c r="I758" s="117" t="s">
        <v>2738</v>
      </c>
      <c r="J758" s="29" t="s">
        <v>145</v>
      </c>
      <c r="K758" s="60" t="s">
        <v>2739</v>
      </c>
      <c r="L758" t="s">
        <v>40</v>
      </c>
      <c r="M758" s="16" t="s">
        <v>2709</v>
      </c>
      <c r="N758" s="3" t="str">
        <f t="shared" si="36"/>
        <v>1  Year</v>
      </c>
      <c r="O758" t="s">
        <v>1910</v>
      </c>
      <c r="P758" t="s">
        <v>2710</v>
      </c>
      <c r="Q758">
        <v>2026</v>
      </c>
      <c r="R758" s="29" t="s">
        <v>44</v>
      </c>
      <c r="S758" s="29" t="s">
        <v>45</v>
      </c>
      <c r="T758" s="4" t="s">
        <v>2740</v>
      </c>
    </row>
    <row r="759" spans="1:20" ht="55.8">
      <c r="B759" s="61" t="s">
        <v>2741</v>
      </c>
      <c r="C759" s="22" t="s">
        <v>2742</v>
      </c>
      <c r="D759" s="61" t="s">
        <v>2725</v>
      </c>
      <c r="E759" t="s">
        <v>182</v>
      </c>
      <c r="F759" s="60" t="s">
        <v>2726</v>
      </c>
      <c r="G759" s="34" t="s">
        <v>2727</v>
      </c>
      <c r="H759" s="5" t="s">
        <v>2728</v>
      </c>
      <c r="I759" s="117" t="s">
        <v>2729</v>
      </c>
      <c r="J759" s="29" t="s">
        <v>159</v>
      </c>
      <c r="K759" s="60" t="s">
        <v>2730</v>
      </c>
      <c r="L759" t="s">
        <v>40</v>
      </c>
      <c r="M759" s="16" t="s">
        <v>2709</v>
      </c>
      <c r="N759" s="3" t="str">
        <f t="shared" si="36"/>
        <v>1  Year</v>
      </c>
      <c r="O759" t="s">
        <v>1910</v>
      </c>
      <c r="P759" t="s">
        <v>2710</v>
      </c>
      <c r="Q759">
        <v>2026</v>
      </c>
      <c r="R759" s="29" t="s">
        <v>1981</v>
      </c>
      <c r="S759" s="29" t="s">
        <v>45</v>
      </c>
      <c r="T759" s="4" t="s">
        <v>2731</v>
      </c>
    </row>
    <row r="760" spans="1:20" ht="55.8">
      <c r="B760" s="61" t="s">
        <v>2741</v>
      </c>
      <c r="C760" s="22" t="s">
        <v>2742</v>
      </c>
      <c r="D760" s="61" t="s">
        <v>2725</v>
      </c>
      <c r="E760" t="s">
        <v>182</v>
      </c>
      <c r="F760" s="60" t="s">
        <v>2726</v>
      </c>
      <c r="G760" s="34" t="s">
        <v>2727</v>
      </c>
      <c r="H760" s="5" t="s">
        <v>2728</v>
      </c>
      <c r="I760" s="117" t="s">
        <v>2729</v>
      </c>
      <c r="J760" s="29" t="s">
        <v>48</v>
      </c>
      <c r="K760" s="60" t="s">
        <v>2730</v>
      </c>
      <c r="L760" t="s">
        <v>40</v>
      </c>
      <c r="M760" s="16" t="s">
        <v>2709</v>
      </c>
      <c r="N760" s="3" t="str">
        <f t="shared" si="36"/>
        <v>1  Year</v>
      </c>
      <c r="O760" t="s">
        <v>1910</v>
      </c>
      <c r="P760" t="s">
        <v>2710</v>
      </c>
      <c r="Q760">
        <v>2026</v>
      </c>
      <c r="R760" s="29" t="s">
        <v>1981</v>
      </c>
      <c r="S760" s="29" t="s">
        <v>45</v>
      </c>
      <c r="T760" s="4" t="s">
        <v>2731</v>
      </c>
    </row>
    <row r="761" spans="1:20" ht="28.8">
      <c r="A761">
        <v>381</v>
      </c>
      <c r="B761" s="61" t="s">
        <v>2593</v>
      </c>
      <c r="C761" s="22" t="s">
        <v>2594</v>
      </c>
      <c r="D761" s="61" t="s">
        <v>2658</v>
      </c>
      <c r="E761" t="s">
        <v>33</v>
      </c>
      <c r="F761" s="60" t="s">
        <v>825</v>
      </c>
      <c r="G761" s="48" t="s">
        <v>2743</v>
      </c>
      <c r="H761" s="5" t="s">
        <v>2744</v>
      </c>
      <c r="I761" s="117" t="s">
        <v>2243</v>
      </c>
      <c r="J761" s="29" t="s">
        <v>92</v>
      </c>
      <c r="K761" s="29" t="s">
        <v>2745</v>
      </c>
      <c r="L761" t="s">
        <v>40</v>
      </c>
      <c r="M761" s="16" t="s">
        <v>2709</v>
      </c>
      <c r="N761" s="3" t="str">
        <f t="shared" si="36"/>
        <v>1  Year</v>
      </c>
      <c r="O761" t="s">
        <v>42</v>
      </c>
      <c r="P761" t="s">
        <v>2710</v>
      </c>
      <c r="Q761">
        <v>2026</v>
      </c>
      <c r="R761" s="29" t="s">
        <v>44</v>
      </c>
      <c r="S761" s="29" t="s">
        <v>2746</v>
      </c>
      <c r="T761" s="4" t="s">
        <v>2747</v>
      </c>
    </row>
    <row r="762" spans="1:20" ht="28.8">
      <c r="A762">
        <v>382</v>
      </c>
      <c r="B762" s="61" t="s">
        <v>2593</v>
      </c>
      <c r="C762" s="22" t="s">
        <v>2594</v>
      </c>
      <c r="D762" s="61" t="s">
        <v>2658</v>
      </c>
      <c r="E762" t="s">
        <v>33</v>
      </c>
      <c r="F762" s="60" t="s">
        <v>825</v>
      </c>
      <c r="G762" s="48" t="s">
        <v>2743</v>
      </c>
      <c r="H762" s="5" t="s">
        <v>2744</v>
      </c>
      <c r="I762" s="117" t="s">
        <v>2243</v>
      </c>
      <c r="J762" s="29" t="s">
        <v>48</v>
      </c>
      <c r="K762" s="29" t="s">
        <v>2745</v>
      </c>
      <c r="L762" t="s">
        <v>40</v>
      </c>
      <c r="M762" s="16" t="s">
        <v>2709</v>
      </c>
      <c r="N762" s="3" t="str">
        <f t="shared" si="36"/>
        <v>1  Year</v>
      </c>
      <c r="O762" t="s">
        <v>42</v>
      </c>
      <c r="P762" t="s">
        <v>2710</v>
      </c>
      <c r="Q762">
        <v>2026</v>
      </c>
      <c r="R762" s="29" t="s">
        <v>44</v>
      </c>
      <c r="S762" s="29" t="s">
        <v>45</v>
      </c>
      <c r="T762" s="4" t="s">
        <v>2747</v>
      </c>
    </row>
    <row r="763" spans="1:20" ht="28.8">
      <c r="A763">
        <v>383</v>
      </c>
      <c r="B763" s="61" t="s">
        <v>2748</v>
      </c>
      <c r="C763" s="22" t="s">
        <v>2749</v>
      </c>
      <c r="D763" s="61" t="s">
        <v>2658</v>
      </c>
      <c r="E763" t="s">
        <v>52</v>
      </c>
      <c r="F763" s="60" t="s">
        <v>2647</v>
      </c>
      <c r="G763" s="60" t="s">
        <v>1938</v>
      </c>
      <c r="H763" s="5" t="s">
        <v>1939</v>
      </c>
      <c r="I763" s="117" t="s">
        <v>2649</v>
      </c>
      <c r="J763" s="29" t="s">
        <v>48</v>
      </c>
      <c r="K763" s="29" t="s">
        <v>2750</v>
      </c>
      <c r="L763" t="s">
        <v>2751</v>
      </c>
      <c r="M763" s="16" t="s">
        <v>2709</v>
      </c>
      <c r="N763" s="3" t="str">
        <f t="shared" si="36"/>
        <v>2 Years</v>
      </c>
      <c r="O763" t="s">
        <v>42</v>
      </c>
      <c r="P763" t="s">
        <v>2710</v>
      </c>
      <c r="Q763">
        <v>2026</v>
      </c>
      <c r="R763" s="29" t="s">
        <v>44</v>
      </c>
      <c r="S763" s="29" t="s">
        <v>45</v>
      </c>
      <c r="T763" s="4" t="s">
        <v>2752</v>
      </c>
    </row>
    <row r="764" spans="1:20" ht="28.8">
      <c r="A764">
        <v>384</v>
      </c>
      <c r="B764" s="61" t="s">
        <v>2748</v>
      </c>
      <c r="C764" s="22" t="s">
        <v>2749</v>
      </c>
      <c r="D764" s="61" t="s">
        <v>2658</v>
      </c>
      <c r="E764" t="s">
        <v>52</v>
      </c>
      <c r="F764" s="60" t="s">
        <v>2647</v>
      </c>
      <c r="G764" s="60" t="s">
        <v>1938</v>
      </c>
      <c r="H764" s="5" t="s">
        <v>1939</v>
      </c>
      <c r="I764" s="117" t="s">
        <v>2649</v>
      </c>
      <c r="J764" s="29" t="s">
        <v>159</v>
      </c>
      <c r="K764" s="29" t="s">
        <v>2750</v>
      </c>
      <c r="L764" t="s">
        <v>2751</v>
      </c>
      <c r="M764" s="16" t="s">
        <v>2709</v>
      </c>
      <c r="N764" s="3" t="str">
        <f t="shared" si="36"/>
        <v>2 Years</v>
      </c>
      <c r="O764" t="s">
        <v>42</v>
      </c>
      <c r="P764" t="s">
        <v>2710</v>
      </c>
      <c r="Q764">
        <v>2026</v>
      </c>
      <c r="R764" s="29" t="s">
        <v>44</v>
      </c>
      <c r="S764" s="29" t="s">
        <v>45</v>
      </c>
      <c r="T764" s="4" t="s">
        <v>2752</v>
      </c>
    </row>
    <row r="765" spans="1:20" ht="28.8">
      <c r="A765">
        <v>385</v>
      </c>
      <c r="B765" s="61" t="s">
        <v>2321</v>
      </c>
      <c r="C765" s="22" t="s">
        <v>2322</v>
      </c>
      <c r="D765" s="61" t="s">
        <v>2421</v>
      </c>
      <c r="E765" t="s">
        <v>182</v>
      </c>
      <c r="F765" s="60" t="s">
        <v>197</v>
      </c>
      <c r="G765" s="60" t="s">
        <v>2753</v>
      </c>
      <c r="J765" s="29" t="s">
        <v>48</v>
      </c>
      <c r="K765" s="60" t="s">
        <v>2754</v>
      </c>
      <c r="L765" t="s">
        <v>2751</v>
      </c>
      <c r="M765" s="16" t="s">
        <v>2709</v>
      </c>
      <c r="N765" s="3" t="str">
        <f t="shared" si="36"/>
        <v>2 Years</v>
      </c>
      <c r="O765" t="s">
        <v>1910</v>
      </c>
      <c r="P765" t="s">
        <v>2710</v>
      </c>
      <c r="Q765">
        <v>2026</v>
      </c>
      <c r="R765" s="29" t="s">
        <v>1981</v>
      </c>
      <c r="S765" s="29" t="s">
        <v>45</v>
      </c>
      <c r="T765" s="4" t="s">
        <v>2755</v>
      </c>
    </row>
    <row r="766" spans="1:20" ht="28.8">
      <c r="A766">
        <v>386</v>
      </c>
      <c r="B766" s="61" t="s">
        <v>2324</v>
      </c>
      <c r="C766" s="22" t="s">
        <v>2325</v>
      </c>
      <c r="D766" s="61" t="s">
        <v>2426</v>
      </c>
      <c r="E766" t="s">
        <v>182</v>
      </c>
      <c r="F766" s="60" t="s">
        <v>197</v>
      </c>
      <c r="G766" s="60" t="s">
        <v>2753</v>
      </c>
      <c r="J766" s="29" t="s">
        <v>48</v>
      </c>
      <c r="K766" s="60" t="s">
        <v>2754</v>
      </c>
      <c r="L766" t="s">
        <v>2751</v>
      </c>
      <c r="M766" s="16" t="s">
        <v>2709</v>
      </c>
      <c r="N766" s="3" t="str">
        <f t="shared" si="36"/>
        <v>2 Years</v>
      </c>
      <c r="O766" t="s">
        <v>1910</v>
      </c>
      <c r="P766" t="s">
        <v>2710</v>
      </c>
      <c r="Q766">
        <v>2026</v>
      </c>
      <c r="R766" s="29" t="s">
        <v>1981</v>
      </c>
      <c r="S766" s="29" t="s">
        <v>45</v>
      </c>
      <c r="T766" s="4" t="s">
        <v>2755</v>
      </c>
    </row>
    <row r="767" spans="1:20" ht="28.8">
      <c r="A767">
        <v>387</v>
      </c>
      <c r="B767" s="61" t="s">
        <v>2321</v>
      </c>
      <c r="C767" s="22" t="s">
        <v>2322</v>
      </c>
      <c r="D767" s="61" t="s">
        <v>2421</v>
      </c>
      <c r="E767" t="s">
        <v>182</v>
      </c>
      <c r="F767" s="60" t="s">
        <v>197</v>
      </c>
      <c r="G767" s="60" t="s">
        <v>2753</v>
      </c>
      <c r="J767" s="29" t="s">
        <v>88</v>
      </c>
      <c r="K767" s="60" t="s">
        <v>2754</v>
      </c>
      <c r="L767" t="s">
        <v>2751</v>
      </c>
      <c r="M767" s="16" t="s">
        <v>2709</v>
      </c>
      <c r="N767" s="3" t="str">
        <f t="shared" si="36"/>
        <v>2 Years</v>
      </c>
      <c r="O767" t="s">
        <v>1910</v>
      </c>
      <c r="P767" t="s">
        <v>2710</v>
      </c>
      <c r="Q767">
        <v>2026</v>
      </c>
      <c r="R767" s="29" t="s">
        <v>1981</v>
      </c>
      <c r="S767" s="29" t="s">
        <v>45</v>
      </c>
      <c r="T767" s="4" t="s">
        <v>2755</v>
      </c>
    </row>
    <row r="768" spans="1:20" ht="28.8">
      <c r="A768">
        <v>388</v>
      </c>
      <c r="B768" s="61" t="s">
        <v>2324</v>
      </c>
      <c r="C768" s="22" t="s">
        <v>2325</v>
      </c>
      <c r="D768" s="61" t="s">
        <v>2426</v>
      </c>
      <c r="E768" t="s">
        <v>182</v>
      </c>
      <c r="F768" s="60" t="s">
        <v>197</v>
      </c>
      <c r="G768" s="60" t="s">
        <v>2753</v>
      </c>
      <c r="J768" s="29" t="s">
        <v>88</v>
      </c>
      <c r="K768" s="60" t="s">
        <v>2754</v>
      </c>
      <c r="L768" t="s">
        <v>2751</v>
      </c>
      <c r="M768" s="16" t="s">
        <v>2709</v>
      </c>
      <c r="N768" s="3" t="str">
        <f t="shared" si="36"/>
        <v>2 Years</v>
      </c>
      <c r="O768" t="s">
        <v>1910</v>
      </c>
      <c r="P768" t="s">
        <v>2710</v>
      </c>
      <c r="Q768">
        <v>2026</v>
      </c>
      <c r="R768" s="29" t="s">
        <v>1981</v>
      </c>
      <c r="S768" s="29" t="s">
        <v>45</v>
      </c>
      <c r="T768" s="4" t="s">
        <v>2755</v>
      </c>
    </row>
    <row r="769" spans="1:29">
      <c r="A769">
        <v>389</v>
      </c>
      <c r="B769" s="61" t="s">
        <v>2756</v>
      </c>
      <c r="C769" s="22" t="s">
        <v>1595</v>
      </c>
      <c r="D769" s="61" t="s">
        <v>288</v>
      </c>
      <c r="E769" t="s">
        <v>52</v>
      </c>
      <c r="F769" s="60" t="s">
        <v>1581</v>
      </c>
      <c r="G769" s="60" t="s">
        <v>1900</v>
      </c>
      <c r="H769" s="5" t="s">
        <v>2757</v>
      </c>
      <c r="I769" s="117" t="s">
        <v>2758</v>
      </c>
      <c r="J769" s="29" t="s">
        <v>48</v>
      </c>
      <c r="K769" s="60" t="s">
        <v>2759</v>
      </c>
      <c r="L769" t="s">
        <v>2530</v>
      </c>
      <c r="M769" s="16" t="s">
        <v>2709</v>
      </c>
      <c r="N769" s="3" t="str">
        <f t="shared" si="36"/>
        <v>1  Year</v>
      </c>
      <c r="O769" t="s">
        <v>42</v>
      </c>
      <c r="P769" t="s">
        <v>2710</v>
      </c>
      <c r="Q769">
        <v>2026</v>
      </c>
      <c r="R769" s="29" t="s">
        <v>44</v>
      </c>
      <c r="S769" s="29" t="s">
        <v>45</v>
      </c>
      <c r="T769" s="4" t="s">
        <v>2760</v>
      </c>
    </row>
    <row r="770" spans="1:29">
      <c r="A770">
        <v>390</v>
      </c>
      <c r="B770" s="61" t="s">
        <v>2756</v>
      </c>
      <c r="C770" s="22" t="s">
        <v>1595</v>
      </c>
      <c r="D770" s="61" t="s">
        <v>288</v>
      </c>
      <c r="E770" t="s">
        <v>52</v>
      </c>
      <c r="F770" s="60" t="s">
        <v>1581</v>
      </c>
      <c r="G770" s="60" t="s">
        <v>1900</v>
      </c>
      <c r="H770" s="5" t="s">
        <v>2757</v>
      </c>
      <c r="I770" s="117" t="s">
        <v>2758</v>
      </c>
      <c r="J770" s="29" t="s">
        <v>145</v>
      </c>
      <c r="K770" s="60" t="s">
        <v>2759</v>
      </c>
      <c r="L770" t="s">
        <v>2530</v>
      </c>
      <c r="M770" s="16" t="s">
        <v>2709</v>
      </c>
      <c r="N770" s="3" t="str">
        <f t="shared" si="36"/>
        <v>1  Year</v>
      </c>
      <c r="O770" t="s">
        <v>42</v>
      </c>
      <c r="P770" t="s">
        <v>2710</v>
      </c>
      <c r="Q770">
        <v>2026</v>
      </c>
      <c r="R770" s="29" t="s">
        <v>44</v>
      </c>
      <c r="S770" s="29" t="s">
        <v>45</v>
      </c>
      <c r="T770" s="4" t="s">
        <v>2760</v>
      </c>
    </row>
    <row r="771" spans="1:29">
      <c r="A771">
        <v>391</v>
      </c>
      <c r="B771" s="61" t="s">
        <v>2756</v>
      </c>
      <c r="C771" s="22" t="s">
        <v>1595</v>
      </c>
      <c r="D771" s="61" t="s">
        <v>288</v>
      </c>
      <c r="E771" t="s">
        <v>52</v>
      </c>
      <c r="F771" s="60" t="s">
        <v>1581</v>
      </c>
      <c r="G771" s="60" t="s">
        <v>1900</v>
      </c>
      <c r="H771" s="5" t="s">
        <v>2757</v>
      </c>
      <c r="I771" s="117" t="s">
        <v>2758</v>
      </c>
      <c r="J771" s="29" t="s">
        <v>159</v>
      </c>
      <c r="K771" s="60" t="s">
        <v>2759</v>
      </c>
      <c r="L771" t="s">
        <v>2530</v>
      </c>
      <c r="M771" s="16" t="s">
        <v>2709</v>
      </c>
      <c r="N771" s="3" t="str">
        <f t="shared" si="36"/>
        <v>1  Year</v>
      </c>
      <c r="O771" t="s">
        <v>42</v>
      </c>
      <c r="P771" t="s">
        <v>2710</v>
      </c>
      <c r="Q771">
        <v>2026</v>
      </c>
      <c r="R771" s="29" t="s">
        <v>44</v>
      </c>
      <c r="S771" s="29" t="s">
        <v>45</v>
      </c>
      <c r="T771" s="4" t="s">
        <v>2760</v>
      </c>
    </row>
    <row r="772" spans="1:29">
      <c r="A772">
        <v>392</v>
      </c>
      <c r="B772" s="61" t="s">
        <v>2756</v>
      </c>
      <c r="C772" s="22" t="s">
        <v>1595</v>
      </c>
      <c r="D772" s="61" t="s">
        <v>288</v>
      </c>
      <c r="E772" t="s">
        <v>52</v>
      </c>
      <c r="F772" s="60" t="s">
        <v>1581</v>
      </c>
      <c r="G772" s="60" t="s">
        <v>1900</v>
      </c>
      <c r="H772" s="5" t="s">
        <v>2757</v>
      </c>
      <c r="I772" s="117" t="s">
        <v>2758</v>
      </c>
      <c r="J772" s="29" t="s">
        <v>800</v>
      </c>
      <c r="K772" s="60" t="s">
        <v>2759</v>
      </c>
      <c r="L772" t="s">
        <v>2530</v>
      </c>
      <c r="M772" s="16" t="s">
        <v>2709</v>
      </c>
      <c r="N772" s="3" t="str">
        <f t="shared" si="36"/>
        <v>1  Year</v>
      </c>
      <c r="O772" t="s">
        <v>42</v>
      </c>
      <c r="P772" t="s">
        <v>2710</v>
      </c>
      <c r="Q772">
        <v>2026</v>
      </c>
      <c r="R772" s="29" t="s">
        <v>44</v>
      </c>
      <c r="S772" s="29" t="s">
        <v>45</v>
      </c>
      <c r="T772" s="4" t="s">
        <v>2760</v>
      </c>
    </row>
    <row r="773" spans="1:29" ht="21.6">
      <c r="A773">
        <v>393</v>
      </c>
      <c r="B773" s="61" t="s">
        <v>2761</v>
      </c>
      <c r="C773" s="22" t="s">
        <v>2762</v>
      </c>
      <c r="D773" s="52" t="s">
        <v>2763</v>
      </c>
      <c r="E773" t="s">
        <v>52</v>
      </c>
      <c r="F773" s="68" t="s">
        <v>2764</v>
      </c>
      <c r="G773" s="68" t="s">
        <v>2765</v>
      </c>
      <c r="J773" s="29" t="s">
        <v>92</v>
      </c>
      <c r="K773" s="60" t="s">
        <v>2766</v>
      </c>
      <c r="L773" t="s">
        <v>2530</v>
      </c>
      <c r="M773" s="16" t="s">
        <v>2709</v>
      </c>
      <c r="N773" s="3" t="str">
        <f t="shared" si="36"/>
        <v>1  Year</v>
      </c>
      <c r="O773" t="s">
        <v>1910</v>
      </c>
      <c r="P773" t="s">
        <v>2710</v>
      </c>
      <c r="Q773">
        <v>2026</v>
      </c>
      <c r="R773" s="29" t="s">
        <v>44</v>
      </c>
      <c r="S773" s="29" t="s">
        <v>45</v>
      </c>
      <c r="T773" s="4" t="s">
        <v>2767</v>
      </c>
    </row>
    <row r="774" spans="1:29" s="106" customFormat="1" ht="21.6">
      <c r="A774" s="106">
        <v>394</v>
      </c>
      <c r="B774" s="107" t="s">
        <v>2768</v>
      </c>
      <c r="C774" s="109" t="s">
        <v>2769</v>
      </c>
      <c r="D774" s="113" t="s">
        <v>2763</v>
      </c>
      <c r="E774" s="106" t="s">
        <v>52</v>
      </c>
      <c r="F774" s="108" t="s">
        <v>2764</v>
      </c>
      <c r="G774" s="108" t="s">
        <v>2765</v>
      </c>
      <c r="H774" s="110"/>
      <c r="I774" s="122"/>
      <c r="J774" s="110" t="s">
        <v>92</v>
      </c>
      <c r="K774" s="111" t="s">
        <v>2766</v>
      </c>
      <c r="L774" s="106" t="s">
        <v>2530</v>
      </c>
      <c r="M774" s="112" t="s">
        <v>2709</v>
      </c>
      <c r="N774" s="3" t="str">
        <f t="shared" si="36"/>
        <v>1  Year</v>
      </c>
      <c r="O774" s="106" t="s">
        <v>1910</v>
      </c>
      <c r="P774" s="106" t="s">
        <v>2710</v>
      </c>
      <c r="Q774" s="106">
        <v>2026</v>
      </c>
      <c r="R774" s="110" t="s">
        <v>44</v>
      </c>
      <c r="S774" s="110" t="s">
        <v>45</v>
      </c>
      <c r="T774" s="114" t="s">
        <v>2767</v>
      </c>
    </row>
    <row r="775" spans="1:29" ht="43.2">
      <c r="B775" s="61" t="s">
        <v>2770</v>
      </c>
      <c r="C775" s="22" t="s">
        <v>2771</v>
      </c>
      <c r="D775" s="52" t="s">
        <v>2763</v>
      </c>
      <c r="E775" t="s">
        <v>182</v>
      </c>
      <c r="F775" s="60" t="s">
        <v>208</v>
      </c>
      <c r="G775" s="34" t="s">
        <v>1808</v>
      </c>
      <c r="J775" s="29" t="s">
        <v>48</v>
      </c>
      <c r="K775" s="29" t="s">
        <v>2772</v>
      </c>
      <c r="L775" t="s">
        <v>2530</v>
      </c>
      <c r="M775" s="16" t="s">
        <v>2709</v>
      </c>
      <c r="N775" s="3" t="str">
        <f t="shared" si="36"/>
        <v>1  Year</v>
      </c>
      <c r="O775" t="s">
        <v>1910</v>
      </c>
      <c r="P775" t="s">
        <v>2710</v>
      </c>
      <c r="Q775">
        <v>2026</v>
      </c>
      <c r="R775" s="29" t="s">
        <v>1981</v>
      </c>
      <c r="S775" s="29" t="s">
        <v>45</v>
      </c>
    </row>
    <row r="776" spans="1:29" ht="43.2">
      <c r="A776">
        <v>395</v>
      </c>
      <c r="B776" s="61" t="s">
        <v>2770</v>
      </c>
      <c r="C776" s="22" t="s">
        <v>2771</v>
      </c>
      <c r="D776" s="52">
        <v>10</v>
      </c>
      <c r="E776" t="s">
        <v>182</v>
      </c>
      <c r="F776" s="34" t="s">
        <v>208</v>
      </c>
      <c r="G776" s="34" t="s">
        <v>1808</v>
      </c>
      <c r="J776" s="29" t="s">
        <v>88</v>
      </c>
      <c r="K776" s="29" t="s">
        <v>2772</v>
      </c>
      <c r="L776" t="s">
        <v>2530</v>
      </c>
      <c r="M776" s="16" t="s">
        <v>2709</v>
      </c>
      <c r="N776" s="3" t="str">
        <f t="shared" si="36"/>
        <v>1  Year</v>
      </c>
      <c r="O776" t="s">
        <v>1910</v>
      </c>
      <c r="P776" t="s">
        <v>2710</v>
      </c>
      <c r="Q776">
        <v>2026</v>
      </c>
      <c r="R776" s="29" t="s">
        <v>1981</v>
      </c>
      <c r="S776" s="29" t="s">
        <v>45</v>
      </c>
    </row>
    <row r="777" spans="1:29" ht="187.2">
      <c r="A777">
        <v>396</v>
      </c>
      <c r="B777" s="61" t="s">
        <v>2773</v>
      </c>
      <c r="C777" s="37" t="s">
        <v>2774</v>
      </c>
      <c r="D777" s="52" t="s">
        <v>2775</v>
      </c>
      <c r="E777" t="s">
        <v>52</v>
      </c>
      <c r="F777" s="68" t="s">
        <v>542</v>
      </c>
      <c r="G777" s="48" t="s">
        <v>2776</v>
      </c>
      <c r="H777" s="5" t="s">
        <v>122</v>
      </c>
      <c r="I777" s="117" t="s">
        <v>123</v>
      </c>
      <c r="J777" s="29" t="s">
        <v>57</v>
      </c>
      <c r="K777" s="29" t="s">
        <v>2777</v>
      </c>
      <c r="L777" t="s">
        <v>2530</v>
      </c>
      <c r="M777" s="16">
        <v>46203</v>
      </c>
      <c r="N777" s="3" t="str">
        <f t="shared" si="36"/>
        <v>1  Year</v>
      </c>
      <c r="O777" t="s">
        <v>42</v>
      </c>
      <c r="P777" t="s">
        <v>2778</v>
      </c>
      <c r="Q777">
        <v>2026</v>
      </c>
      <c r="R777" s="29" t="s">
        <v>1981</v>
      </c>
      <c r="S777" s="29" t="s">
        <v>45</v>
      </c>
      <c r="T777" s="4" t="s">
        <v>2779</v>
      </c>
    </row>
    <row r="778" spans="1:29" ht="187.2">
      <c r="B778" t="s">
        <v>2773</v>
      </c>
      <c r="C778" s="22" t="s">
        <v>2774</v>
      </c>
      <c r="D778" s="52" t="s">
        <v>2775</v>
      </c>
      <c r="E778" t="s">
        <v>52</v>
      </c>
      <c r="F778" s="68" t="s">
        <v>542</v>
      </c>
      <c r="G778" s="48" t="s">
        <v>2776</v>
      </c>
      <c r="H778" s="5" t="s">
        <v>122</v>
      </c>
      <c r="I778" s="117" t="s">
        <v>123</v>
      </c>
      <c r="J778" s="29" t="s">
        <v>57</v>
      </c>
      <c r="K778" s="34" t="s">
        <v>2780</v>
      </c>
      <c r="L778" t="s">
        <v>2530</v>
      </c>
      <c r="M778" s="16">
        <v>46203</v>
      </c>
      <c r="N778" s="3" t="str">
        <f t="shared" si="36"/>
        <v>1  Year</v>
      </c>
      <c r="O778" t="s">
        <v>42</v>
      </c>
      <c r="P778" t="s">
        <v>2778</v>
      </c>
      <c r="Q778" s="37">
        <v>2026</v>
      </c>
      <c r="R778" s="29" t="s">
        <v>1981</v>
      </c>
      <c r="S778" s="29" t="s">
        <v>45</v>
      </c>
      <c r="T778" s="4" t="s">
        <v>2781</v>
      </c>
    </row>
    <row r="779" spans="1:29">
      <c r="H779" s="5"/>
      <c r="N779" s="3"/>
      <c r="Q779" s="37"/>
      <c r="T779" s="4"/>
    </row>
    <row r="780" spans="1:29">
      <c r="B780" t="s">
        <v>2773</v>
      </c>
      <c r="C780" s="22" t="s">
        <v>2782</v>
      </c>
      <c r="D780" s="52" t="s">
        <v>2577</v>
      </c>
      <c r="E780" t="s">
        <v>52</v>
      </c>
      <c r="H780" s="5"/>
      <c r="J780" s="29" t="s">
        <v>145</v>
      </c>
      <c r="K780" s="29" t="s">
        <v>2783</v>
      </c>
      <c r="L780" t="s">
        <v>2530</v>
      </c>
      <c r="M780" s="16">
        <v>46203</v>
      </c>
      <c r="N780" s="3" t="str">
        <f t="shared" si="36"/>
        <v>1  Year</v>
      </c>
      <c r="O780" t="s">
        <v>1520</v>
      </c>
      <c r="P780" t="s">
        <v>2778</v>
      </c>
      <c r="Q780" s="37">
        <v>2026</v>
      </c>
      <c r="R780" s="29" t="s">
        <v>44</v>
      </c>
      <c r="S780" s="29" t="s">
        <v>45</v>
      </c>
      <c r="T780" s="4" t="s">
        <v>2784</v>
      </c>
    </row>
    <row r="781" spans="1:29">
      <c r="B781" t="s">
        <v>2785</v>
      </c>
      <c r="C781" s="22" t="s">
        <v>2782</v>
      </c>
      <c r="D781" s="52" t="s">
        <v>2577</v>
      </c>
      <c r="E781" t="s">
        <v>182</v>
      </c>
      <c r="F781" s="68" t="s">
        <v>2786</v>
      </c>
      <c r="G781" s="48" t="s">
        <v>2578</v>
      </c>
      <c r="H781" s="5" t="s">
        <v>143</v>
      </c>
      <c r="I781" s="117" t="s">
        <v>144</v>
      </c>
      <c r="J781" s="29" t="s">
        <v>159</v>
      </c>
      <c r="K781" s="29" t="s">
        <v>2783</v>
      </c>
      <c r="L781" t="s">
        <v>2530</v>
      </c>
      <c r="M781" s="16">
        <v>46203</v>
      </c>
      <c r="N781" s="3" t="str">
        <f t="shared" si="36"/>
        <v>1  Year</v>
      </c>
      <c r="O781" t="s">
        <v>1520</v>
      </c>
      <c r="P781" t="s">
        <v>2778</v>
      </c>
      <c r="Q781" s="37">
        <v>2026</v>
      </c>
      <c r="R781" s="29" t="s">
        <v>44</v>
      </c>
      <c r="S781" s="29" t="s">
        <v>45</v>
      </c>
      <c r="T781" s="4" t="s">
        <v>2784</v>
      </c>
    </row>
    <row r="782" spans="1:29">
      <c r="B782" t="s">
        <v>2785</v>
      </c>
      <c r="C782" s="22" t="s">
        <v>2787</v>
      </c>
      <c r="D782" s="52" t="s">
        <v>2577</v>
      </c>
      <c r="E782" t="s">
        <v>182</v>
      </c>
      <c r="F782" s="68" t="s">
        <v>2786</v>
      </c>
      <c r="G782" s="48" t="s">
        <v>2578</v>
      </c>
      <c r="H782" s="5" t="s">
        <v>143</v>
      </c>
      <c r="I782" s="117" t="s">
        <v>144</v>
      </c>
      <c r="J782" s="29" t="s">
        <v>48</v>
      </c>
      <c r="K782" s="29" t="s">
        <v>2783</v>
      </c>
      <c r="L782" t="s">
        <v>2530</v>
      </c>
      <c r="M782" s="16">
        <v>46203</v>
      </c>
      <c r="N782" s="3" t="str">
        <f t="shared" si="36"/>
        <v>1  Year</v>
      </c>
      <c r="O782" t="s">
        <v>1520</v>
      </c>
      <c r="P782" t="s">
        <v>2778</v>
      </c>
      <c r="Q782" s="37">
        <v>2026</v>
      </c>
      <c r="R782" s="29" t="s">
        <v>44</v>
      </c>
      <c r="S782" s="29" t="s">
        <v>45</v>
      </c>
      <c r="T782" s="4" t="s">
        <v>2784</v>
      </c>
    </row>
    <row r="783" spans="1:29">
      <c r="B783" t="s">
        <v>2785</v>
      </c>
      <c r="C783" s="22" t="s">
        <v>2787</v>
      </c>
      <c r="D783" s="52" t="s">
        <v>2577</v>
      </c>
      <c r="E783" t="s">
        <v>182</v>
      </c>
      <c r="F783" s="68" t="s">
        <v>2786</v>
      </c>
      <c r="G783" s="48" t="s">
        <v>2578</v>
      </c>
      <c r="H783" s="5" t="s">
        <v>143</v>
      </c>
      <c r="I783" s="117" t="s">
        <v>144</v>
      </c>
      <c r="J783" s="29" t="s">
        <v>145</v>
      </c>
      <c r="K783" s="29" t="s">
        <v>2783</v>
      </c>
      <c r="L783" t="s">
        <v>2530</v>
      </c>
      <c r="M783" s="16">
        <v>46203</v>
      </c>
      <c r="N783" s="3" t="str">
        <f t="shared" si="36"/>
        <v>1  Year</v>
      </c>
      <c r="O783" t="s">
        <v>1520</v>
      </c>
      <c r="P783" s="37" t="s">
        <v>2778</v>
      </c>
      <c r="Q783" s="37">
        <v>2026</v>
      </c>
      <c r="R783" s="29" t="s">
        <v>44</v>
      </c>
      <c r="S783" s="29" t="s">
        <v>45</v>
      </c>
      <c r="T783" s="4" t="s">
        <v>2784</v>
      </c>
      <c r="U783" t="s">
        <v>2788</v>
      </c>
      <c r="V783" t="s">
        <v>182</v>
      </c>
      <c r="W783" t="s">
        <v>2789</v>
      </c>
      <c r="X783" t="s">
        <v>163</v>
      </c>
      <c r="Y783" t="s">
        <v>103</v>
      </c>
      <c r="AB783" t="s">
        <v>149</v>
      </c>
      <c r="AC783" s="80">
        <v>46241</v>
      </c>
    </row>
    <row r="784" spans="1:29">
      <c r="B784" t="s">
        <v>2790</v>
      </c>
      <c r="C784" s="22" t="s">
        <v>2787</v>
      </c>
      <c r="D784" s="52" t="s">
        <v>2577</v>
      </c>
      <c r="E784" t="s">
        <v>182</v>
      </c>
      <c r="F784" s="68" t="s">
        <v>2786</v>
      </c>
      <c r="G784" s="48" t="s">
        <v>2578</v>
      </c>
      <c r="H784" s="5" t="s">
        <v>143</v>
      </c>
      <c r="I784" s="117" t="s">
        <v>144</v>
      </c>
      <c r="J784" s="29" t="s">
        <v>159</v>
      </c>
      <c r="K784" s="29" t="s">
        <v>2783</v>
      </c>
      <c r="L784" t="s">
        <v>2530</v>
      </c>
      <c r="M784" s="16">
        <v>46203</v>
      </c>
      <c r="N784" s="3" t="str">
        <f t="shared" si="36"/>
        <v>1  Year</v>
      </c>
      <c r="O784" t="s">
        <v>1520</v>
      </c>
      <c r="P784" s="37" t="s">
        <v>2778</v>
      </c>
      <c r="Q784" s="37">
        <v>2026</v>
      </c>
      <c r="R784" s="29" t="s">
        <v>44</v>
      </c>
      <c r="S784" s="29" t="s">
        <v>45</v>
      </c>
      <c r="T784" s="4" t="s">
        <v>2784</v>
      </c>
    </row>
    <row r="785" spans="2:29">
      <c r="B785" t="s">
        <v>2790</v>
      </c>
      <c r="C785" s="22" t="s">
        <v>2791</v>
      </c>
      <c r="D785" s="52" t="s">
        <v>2577</v>
      </c>
      <c r="E785" t="s">
        <v>182</v>
      </c>
      <c r="F785" s="68" t="s">
        <v>2786</v>
      </c>
      <c r="G785" s="48" t="s">
        <v>2578</v>
      </c>
      <c r="H785" s="5" t="s">
        <v>143</v>
      </c>
      <c r="I785" s="117" t="s">
        <v>144</v>
      </c>
      <c r="J785" s="29" t="s">
        <v>48</v>
      </c>
      <c r="K785" s="29" t="s">
        <v>2783</v>
      </c>
      <c r="L785" t="s">
        <v>2530</v>
      </c>
      <c r="M785" s="16">
        <v>46203</v>
      </c>
      <c r="N785" s="3" t="str">
        <f t="shared" si="36"/>
        <v>1  Year</v>
      </c>
      <c r="O785" t="s">
        <v>1520</v>
      </c>
      <c r="P785" s="37" t="s">
        <v>2778</v>
      </c>
      <c r="Q785" s="37">
        <v>2026</v>
      </c>
      <c r="R785" s="29" t="s">
        <v>44</v>
      </c>
      <c r="S785" s="29" t="s">
        <v>45</v>
      </c>
      <c r="T785" s="4" t="s">
        <v>2784</v>
      </c>
    </row>
    <row r="786" spans="2:29">
      <c r="B786" t="s">
        <v>2790</v>
      </c>
      <c r="C786" s="22" t="s">
        <v>2791</v>
      </c>
      <c r="D786" s="52" t="s">
        <v>2577</v>
      </c>
      <c r="E786" t="s">
        <v>182</v>
      </c>
      <c r="F786" s="68" t="s">
        <v>2786</v>
      </c>
      <c r="G786" s="48" t="s">
        <v>2578</v>
      </c>
      <c r="H786" s="5" t="s">
        <v>143</v>
      </c>
      <c r="I786" s="117" t="s">
        <v>144</v>
      </c>
      <c r="J786" s="29" t="s">
        <v>145</v>
      </c>
      <c r="K786" s="29" t="s">
        <v>2783</v>
      </c>
      <c r="L786" t="s">
        <v>2530</v>
      </c>
      <c r="M786" s="16">
        <v>46203</v>
      </c>
      <c r="N786" s="3" t="str">
        <f t="shared" si="36"/>
        <v>1  Year</v>
      </c>
      <c r="O786" t="s">
        <v>1520</v>
      </c>
      <c r="P786" s="37" t="s">
        <v>2778</v>
      </c>
      <c r="Q786" s="37">
        <v>2026</v>
      </c>
      <c r="R786" s="29" t="s">
        <v>44</v>
      </c>
      <c r="S786" s="29" t="s">
        <v>45</v>
      </c>
      <c r="T786" s="4" t="s">
        <v>2784</v>
      </c>
      <c r="U786" t="s">
        <v>2788</v>
      </c>
      <c r="V786" t="s">
        <v>182</v>
      </c>
      <c r="W786" t="s">
        <v>2792</v>
      </c>
      <c r="X786" t="s">
        <v>163</v>
      </c>
      <c r="Y786" t="s">
        <v>103</v>
      </c>
      <c r="AB786" t="s">
        <v>149</v>
      </c>
      <c r="AC786" s="80">
        <v>46241</v>
      </c>
    </row>
    <row r="787" spans="2:29">
      <c r="B787" t="s">
        <v>2793</v>
      </c>
      <c r="C787" s="22" t="s">
        <v>2791</v>
      </c>
      <c r="D787" s="52" t="s">
        <v>2577</v>
      </c>
      <c r="E787" t="s">
        <v>182</v>
      </c>
      <c r="F787" s="68" t="s">
        <v>2786</v>
      </c>
      <c r="G787" s="48" t="s">
        <v>2578</v>
      </c>
      <c r="H787" s="5" t="s">
        <v>143</v>
      </c>
      <c r="I787" s="123" t="s">
        <v>144</v>
      </c>
      <c r="J787" s="29" t="s">
        <v>159</v>
      </c>
      <c r="K787" s="29" t="s">
        <v>2783</v>
      </c>
      <c r="L787" t="s">
        <v>2530</v>
      </c>
      <c r="M787" s="16">
        <v>46203</v>
      </c>
      <c r="N787" s="3" t="str">
        <f t="shared" si="36"/>
        <v>1  Year</v>
      </c>
      <c r="O787" t="s">
        <v>1520</v>
      </c>
      <c r="P787" s="37" t="s">
        <v>2778</v>
      </c>
      <c r="Q787" s="37">
        <v>2026</v>
      </c>
      <c r="R787" s="29" t="s">
        <v>44</v>
      </c>
      <c r="S787" s="29" t="s">
        <v>45</v>
      </c>
      <c r="T787" s="4" t="s">
        <v>2794</v>
      </c>
    </row>
    <row r="788" spans="2:29">
      <c r="B788" t="s">
        <v>2793</v>
      </c>
      <c r="C788" s="22" t="s">
        <v>2795</v>
      </c>
      <c r="D788" s="52" t="s">
        <v>2796</v>
      </c>
      <c r="E788" t="s">
        <v>182</v>
      </c>
      <c r="F788" s="68" t="s">
        <v>2786</v>
      </c>
      <c r="G788" s="48" t="s">
        <v>2578</v>
      </c>
      <c r="H788" s="5" t="s">
        <v>143</v>
      </c>
      <c r="I788" s="117" t="s">
        <v>144</v>
      </c>
      <c r="J788" s="29" t="s">
        <v>48</v>
      </c>
      <c r="K788" s="29" t="s">
        <v>2783</v>
      </c>
      <c r="L788" t="s">
        <v>2530</v>
      </c>
      <c r="M788" s="16">
        <v>46203</v>
      </c>
      <c r="N788" s="3" t="str">
        <f t="shared" si="36"/>
        <v>1  Year</v>
      </c>
      <c r="O788" t="s">
        <v>1520</v>
      </c>
      <c r="P788" s="37" t="s">
        <v>2778</v>
      </c>
      <c r="Q788" s="37">
        <v>2026</v>
      </c>
      <c r="R788" s="29" t="s">
        <v>44</v>
      </c>
      <c r="S788" s="29" t="s">
        <v>45</v>
      </c>
      <c r="T788" s="4" t="s">
        <v>2794</v>
      </c>
    </row>
    <row r="789" spans="2:29">
      <c r="B789" t="s">
        <v>2793</v>
      </c>
      <c r="C789" s="22" t="s">
        <v>2795</v>
      </c>
      <c r="D789" s="52" t="s">
        <v>2796</v>
      </c>
      <c r="E789" t="s">
        <v>182</v>
      </c>
      <c r="F789" s="68" t="s">
        <v>2786</v>
      </c>
      <c r="G789" s="48" t="s">
        <v>2578</v>
      </c>
      <c r="H789" s="5" t="s">
        <v>143</v>
      </c>
      <c r="I789" s="117" t="s">
        <v>144</v>
      </c>
      <c r="J789" s="29" t="s">
        <v>145</v>
      </c>
      <c r="K789" s="29" t="s">
        <v>2783</v>
      </c>
      <c r="L789" t="s">
        <v>2530</v>
      </c>
      <c r="M789" s="16">
        <v>46203</v>
      </c>
      <c r="N789" s="3" t="str">
        <f t="shared" ref="N789:N883" si="37">IF(L789="New","1  Year",IF(L789="Promotional","15 Weeks",IF(L789="Revalidation","2 Years","")))</f>
        <v>1  Year</v>
      </c>
      <c r="O789" t="s">
        <v>1520</v>
      </c>
      <c r="P789" s="37" t="s">
        <v>2778</v>
      </c>
      <c r="Q789" s="37">
        <v>2026</v>
      </c>
      <c r="R789" s="29" t="s">
        <v>44</v>
      </c>
      <c r="S789" s="29" t="s">
        <v>45</v>
      </c>
      <c r="T789" s="4" t="s">
        <v>2794</v>
      </c>
      <c r="U789" t="s">
        <v>2788</v>
      </c>
      <c r="V789" t="s">
        <v>182</v>
      </c>
      <c r="W789" s="81">
        <v>0.48541666666666666</v>
      </c>
      <c r="X789" t="s">
        <v>163</v>
      </c>
      <c r="Y789" t="s">
        <v>103</v>
      </c>
      <c r="AB789" t="s">
        <v>149</v>
      </c>
      <c r="AC789" s="80">
        <v>46241</v>
      </c>
    </row>
    <row r="790" spans="2:29">
      <c r="B790" t="s">
        <v>2797</v>
      </c>
      <c r="C790" s="22" t="s">
        <v>2795</v>
      </c>
      <c r="D790" s="52" t="s">
        <v>2796</v>
      </c>
      <c r="E790" t="s">
        <v>182</v>
      </c>
      <c r="F790" s="127" t="s">
        <v>2786</v>
      </c>
      <c r="G790" s="48" t="s">
        <v>2578</v>
      </c>
      <c r="H790" s="5" t="s">
        <v>143</v>
      </c>
      <c r="I790" s="117" t="s">
        <v>144</v>
      </c>
      <c r="J790" s="29" t="s">
        <v>159</v>
      </c>
      <c r="K790" s="29" t="s">
        <v>2783</v>
      </c>
      <c r="L790" t="s">
        <v>2530</v>
      </c>
      <c r="M790" s="16">
        <v>46203</v>
      </c>
      <c r="N790" s="3" t="str">
        <f t="shared" si="37"/>
        <v>1  Year</v>
      </c>
      <c r="O790" t="s">
        <v>1520</v>
      </c>
      <c r="P790" s="37" t="s">
        <v>2778</v>
      </c>
      <c r="Q790" s="37">
        <v>2026</v>
      </c>
      <c r="R790" s="29" t="s">
        <v>44</v>
      </c>
      <c r="S790" s="29" t="s">
        <v>45</v>
      </c>
      <c r="T790" s="4" t="s">
        <v>2794</v>
      </c>
    </row>
    <row r="791" spans="2:29" ht="28.8">
      <c r="B791" t="s">
        <v>2797</v>
      </c>
      <c r="C791" s="22" t="s">
        <v>2798</v>
      </c>
      <c r="D791" s="52" t="s">
        <v>2799</v>
      </c>
      <c r="E791" t="s">
        <v>182</v>
      </c>
      <c r="F791" s="68" t="s">
        <v>2786</v>
      </c>
      <c r="G791" s="48" t="s">
        <v>2578</v>
      </c>
      <c r="H791" s="5" t="s">
        <v>143</v>
      </c>
      <c r="I791" s="117" t="s">
        <v>144</v>
      </c>
      <c r="J791" s="29" t="s">
        <v>48</v>
      </c>
      <c r="K791" s="29" t="s">
        <v>2783</v>
      </c>
      <c r="L791" t="s">
        <v>2530</v>
      </c>
      <c r="M791" s="16">
        <v>46203</v>
      </c>
      <c r="N791" s="3" t="str">
        <f t="shared" si="37"/>
        <v>1  Year</v>
      </c>
      <c r="O791" t="s">
        <v>1520</v>
      </c>
      <c r="P791" s="37" t="s">
        <v>2778</v>
      </c>
      <c r="Q791" s="37">
        <v>2026</v>
      </c>
      <c r="R791" s="29" t="s">
        <v>44</v>
      </c>
      <c r="S791" s="29" t="s">
        <v>45</v>
      </c>
      <c r="T791" s="4" t="s">
        <v>2784</v>
      </c>
    </row>
    <row r="792" spans="2:29" ht="28.8">
      <c r="B792" t="s">
        <v>2797</v>
      </c>
      <c r="C792" s="22" t="s">
        <v>2798</v>
      </c>
      <c r="D792" s="52" t="s">
        <v>2799</v>
      </c>
      <c r="E792" t="s">
        <v>182</v>
      </c>
      <c r="F792" s="68" t="s">
        <v>2786</v>
      </c>
      <c r="G792" s="48" t="s">
        <v>2578</v>
      </c>
      <c r="H792" s="5" t="s">
        <v>143</v>
      </c>
      <c r="I792" s="117" t="s">
        <v>144</v>
      </c>
      <c r="J792" s="29" t="s">
        <v>145</v>
      </c>
      <c r="K792" s="29" t="s">
        <v>2783</v>
      </c>
      <c r="L792" t="s">
        <v>2530</v>
      </c>
      <c r="M792" s="16">
        <v>46203</v>
      </c>
      <c r="N792" s="3" t="str">
        <f t="shared" si="37"/>
        <v>1  Year</v>
      </c>
      <c r="O792" t="s">
        <v>1520</v>
      </c>
      <c r="P792" s="37" t="s">
        <v>2778</v>
      </c>
      <c r="Q792" s="37">
        <v>2026</v>
      </c>
      <c r="R792" s="29" t="s">
        <v>44</v>
      </c>
      <c r="S792" s="29" t="s">
        <v>45</v>
      </c>
      <c r="T792" s="4" t="s">
        <v>2784</v>
      </c>
      <c r="U792" t="s">
        <v>2788</v>
      </c>
      <c r="V792" t="s">
        <v>182</v>
      </c>
      <c r="W792" s="81">
        <v>0.47847222222222224</v>
      </c>
      <c r="X792" t="s">
        <v>163</v>
      </c>
      <c r="Y792" t="s">
        <v>103</v>
      </c>
      <c r="AB792" t="s">
        <v>149</v>
      </c>
      <c r="AC792" s="80">
        <v>46241</v>
      </c>
    </row>
    <row r="793" spans="2:29" ht="28.8">
      <c r="B793" t="s">
        <v>2800</v>
      </c>
      <c r="C793" s="22" t="s">
        <v>2798</v>
      </c>
      <c r="D793" s="52" t="s">
        <v>2799</v>
      </c>
      <c r="E793" t="s">
        <v>182</v>
      </c>
      <c r="F793" s="68" t="s">
        <v>2786</v>
      </c>
      <c r="G793" s="48" t="s">
        <v>2578</v>
      </c>
      <c r="H793" s="5" t="s">
        <v>143</v>
      </c>
      <c r="I793" s="117" t="s">
        <v>144</v>
      </c>
      <c r="J793" s="29" t="s">
        <v>48</v>
      </c>
      <c r="K793" s="29" t="s">
        <v>2783</v>
      </c>
      <c r="L793" t="s">
        <v>2530</v>
      </c>
      <c r="M793" s="16">
        <v>46203</v>
      </c>
      <c r="N793" s="3" t="str">
        <f t="shared" si="37"/>
        <v>1  Year</v>
      </c>
      <c r="O793" t="s">
        <v>1520</v>
      </c>
      <c r="P793" s="37" t="s">
        <v>2778</v>
      </c>
      <c r="Q793" s="37">
        <v>2026</v>
      </c>
      <c r="R793" s="29" t="s">
        <v>44</v>
      </c>
      <c r="S793" s="29" t="s">
        <v>45</v>
      </c>
      <c r="T793" s="4" t="s">
        <v>2784</v>
      </c>
    </row>
    <row r="794" spans="2:29">
      <c r="B794" t="s">
        <v>2800</v>
      </c>
      <c r="C794" s="22" t="s">
        <v>2801</v>
      </c>
      <c r="D794" s="52" t="s">
        <v>548</v>
      </c>
      <c r="E794" t="s">
        <v>182</v>
      </c>
      <c r="F794" s="68" t="s">
        <v>2786</v>
      </c>
      <c r="G794" s="48" t="s">
        <v>2578</v>
      </c>
      <c r="H794" s="5" t="s">
        <v>143</v>
      </c>
      <c r="I794" s="117" t="s">
        <v>144</v>
      </c>
      <c r="J794" s="29" t="s">
        <v>159</v>
      </c>
      <c r="K794" s="29" t="s">
        <v>2783</v>
      </c>
      <c r="L794" t="s">
        <v>2530</v>
      </c>
      <c r="M794" s="16">
        <v>46203</v>
      </c>
      <c r="N794" s="3" t="str">
        <f t="shared" si="37"/>
        <v>1  Year</v>
      </c>
      <c r="O794" t="s">
        <v>1520</v>
      </c>
      <c r="P794" s="37" t="s">
        <v>2778</v>
      </c>
      <c r="Q794" s="37">
        <v>2026</v>
      </c>
      <c r="R794" s="29" t="s">
        <v>44</v>
      </c>
      <c r="S794" s="29" t="s">
        <v>45</v>
      </c>
      <c r="T794" s="4" t="s">
        <v>2784</v>
      </c>
    </row>
    <row r="795" spans="2:29">
      <c r="B795" t="s">
        <v>2800</v>
      </c>
      <c r="C795" s="22" t="s">
        <v>2801</v>
      </c>
      <c r="D795" s="52" t="s">
        <v>548</v>
      </c>
      <c r="E795" t="s">
        <v>182</v>
      </c>
      <c r="F795" s="68" t="s">
        <v>2786</v>
      </c>
      <c r="G795" s="48" t="s">
        <v>2578</v>
      </c>
      <c r="H795" s="5" t="s">
        <v>143</v>
      </c>
      <c r="I795" s="117" t="s">
        <v>144</v>
      </c>
      <c r="J795" s="29" t="s">
        <v>145</v>
      </c>
      <c r="K795" s="29" t="s">
        <v>2783</v>
      </c>
      <c r="L795" t="s">
        <v>2530</v>
      </c>
      <c r="M795" s="16">
        <v>46203</v>
      </c>
      <c r="N795" s="3" t="str">
        <f t="shared" si="37"/>
        <v>1  Year</v>
      </c>
      <c r="O795" t="s">
        <v>1520</v>
      </c>
      <c r="P795" s="37" t="s">
        <v>2778</v>
      </c>
      <c r="Q795" s="37">
        <v>2026</v>
      </c>
      <c r="R795" s="29" t="s">
        <v>44</v>
      </c>
      <c r="S795" s="29" t="s">
        <v>45</v>
      </c>
      <c r="T795" s="4" t="s">
        <v>2784</v>
      </c>
      <c r="U795" t="s">
        <v>2788</v>
      </c>
      <c r="V795" t="s">
        <v>182</v>
      </c>
      <c r="W795" t="s">
        <v>2802</v>
      </c>
      <c r="X795" t="s">
        <v>163</v>
      </c>
      <c r="Y795" t="s">
        <v>103</v>
      </c>
      <c r="AB795" t="s">
        <v>149</v>
      </c>
      <c r="AC795" s="80">
        <v>46241</v>
      </c>
    </row>
    <row r="796" spans="2:29">
      <c r="B796" t="s">
        <v>2803</v>
      </c>
      <c r="C796" s="22" t="s">
        <v>2801</v>
      </c>
      <c r="D796" s="52" t="s">
        <v>548</v>
      </c>
      <c r="E796" t="s">
        <v>182</v>
      </c>
      <c r="F796" s="68" t="s">
        <v>2786</v>
      </c>
      <c r="G796" s="48" t="s">
        <v>2578</v>
      </c>
      <c r="H796" s="5" t="s">
        <v>143</v>
      </c>
      <c r="I796" s="117" t="s">
        <v>144</v>
      </c>
      <c r="J796" s="29" t="s">
        <v>48</v>
      </c>
      <c r="K796" s="29" t="s">
        <v>2783</v>
      </c>
      <c r="L796" t="s">
        <v>2530</v>
      </c>
      <c r="M796" s="16">
        <v>46203</v>
      </c>
      <c r="N796" s="3" t="str">
        <f t="shared" si="37"/>
        <v>1  Year</v>
      </c>
      <c r="O796" t="s">
        <v>1520</v>
      </c>
      <c r="P796" s="37" t="s">
        <v>2778</v>
      </c>
      <c r="Q796" s="37">
        <v>2026</v>
      </c>
      <c r="R796" s="29" t="s">
        <v>44</v>
      </c>
      <c r="S796" s="29" t="s">
        <v>45</v>
      </c>
      <c r="T796" s="4" t="s">
        <v>2784</v>
      </c>
    </row>
    <row r="797" spans="2:29">
      <c r="B797" t="s">
        <v>2803</v>
      </c>
      <c r="C797" s="22" t="s">
        <v>2804</v>
      </c>
      <c r="D797" s="52" t="s">
        <v>2577</v>
      </c>
      <c r="E797" t="s">
        <v>182</v>
      </c>
      <c r="F797" s="68" t="s">
        <v>2786</v>
      </c>
      <c r="G797" s="48" t="s">
        <v>2578</v>
      </c>
      <c r="H797" s="5" t="s">
        <v>143</v>
      </c>
      <c r="I797" s="117" t="s">
        <v>144</v>
      </c>
      <c r="J797" s="29" t="s">
        <v>159</v>
      </c>
      <c r="K797" s="29" t="s">
        <v>2783</v>
      </c>
      <c r="L797" t="s">
        <v>2530</v>
      </c>
      <c r="M797" s="16">
        <v>46203</v>
      </c>
      <c r="N797" s="3" t="str">
        <f t="shared" si="37"/>
        <v>1  Year</v>
      </c>
      <c r="O797" t="s">
        <v>1520</v>
      </c>
      <c r="P797" s="37" t="s">
        <v>2778</v>
      </c>
      <c r="Q797" s="37">
        <v>2026</v>
      </c>
      <c r="R797" s="29" t="s">
        <v>44</v>
      </c>
      <c r="S797" s="29" t="s">
        <v>45</v>
      </c>
      <c r="T797" s="4" t="s">
        <v>2784</v>
      </c>
    </row>
    <row r="798" spans="2:29">
      <c r="B798" t="s">
        <v>2803</v>
      </c>
      <c r="C798" s="22" t="s">
        <v>2804</v>
      </c>
      <c r="D798" s="52" t="s">
        <v>2577</v>
      </c>
      <c r="E798" t="s">
        <v>182</v>
      </c>
      <c r="F798" s="68" t="s">
        <v>2786</v>
      </c>
      <c r="G798" s="48" t="s">
        <v>2578</v>
      </c>
      <c r="H798" s="5" t="s">
        <v>143</v>
      </c>
      <c r="I798" s="117" t="s">
        <v>144</v>
      </c>
      <c r="J798" s="29" t="s">
        <v>145</v>
      </c>
      <c r="K798" s="29" t="s">
        <v>2783</v>
      </c>
      <c r="L798" t="s">
        <v>2530</v>
      </c>
      <c r="M798" s="16">
        <v>46203</v>
      </c>
      <c r="N798" s="3" t="str">
        <f t="shared" si="37"/>
        <v>1  Year</v>
      </c>
      <c r="O798" t="s">
        <v>1520</v>
      </c>
      <c r="P798" s="37" t="s">
        <v>2778</v>
      </c>
      <c r="Q798" s="37">
        <v>2026</v>
      </c>
      <c r="R798" s="29" t="s">
        <v>44</v>
      </c>
      <c r="S798" s="29" t="s">
        <v>45</v>
      </c>
      <c r="T798" s="4" t="s">
        <v>2784</v>
      </c>
      <c r="U798" t="s">
        <v>2788</v>
      </c>
      <c r="V798" t="s">
        <v>182</v>
      </c>
      <c r="W798" t="s">
        <v>2802</v>
      </c>
      <c r="X798" t="s">
        <v>163</v>
      </c>
      <c r="Y798" t="s">
        <v>103</v>
      </c>
      <c r="AB798" t="s">
        <v>149</v>
      </c>
      <c r="AC798" s="80">
        <v>46241</v>
      </c>
    </row>
    <row r="799" spans="2:29">
      <c r="B799" t="s">
        <v>2805</v>
      </c>
      <c r="C799" s="22" t="s">
        <v>2804</v>
      </c>
      <c r="D799" s="52" t="s">
        <v>2577</v>
      </c>
      <c r="E799" t="s">
        <v>182</v>
      </c>
      <c r="F799" s="68" t="s">
        <v>2786</v>
      </c>
      <c r="G799" s="48" t="s">
        <v>2578</v>
      </c>
      <c r="H799" s="5" t="s">
        <v>143</v>
      </c>
      <c r="I799" s="117" t="s">
        <v>144</v>
      </c>
      <c r="J799" s="29" t="s">
        <v>48</v>
      </c>
      <c r="K799" s="29" t="s">
        <v>2783</v>
      </c>
      <c r="L799" t="s">
        <v>2530</v>
      </c>
      <c r="M799" s="16">
        <v>46203</v>
      </c>
      <c r="N799" s="3" t="str">
        <f t="shared" si="37"/>
        <v>1  Year</v>
      </c>
      <c r="O799" t="s">
        <v>1520</v>
      </c>
      <c r="P799" s="37" t="s">
        <v>2778</v>
      </c>
      <c r="Q799" s="37">
        <v>2026</v>
      </c>
      <c r="R799" s="29" t="s">
        <v>44</v>
      </c>
      <c r="S799" s="29" t="s">
        <v>45</v>
      </c>
      <c r="T799" s="4" t="s">
        <v>2784</v>
      </c>
    </row>
    <row r="800" spans="2:29">
      <c r="B800" t="s">
        <v>2805</v>
      </c>
      <c r="E800" t="s">
        <v>182</v>
      </c>
      <c r="F800" s="68" t="s">
        <v>2786</v>
      </c>
      <c r="G800" s="48" t="s">
        <v>2578</v>
      </c>
      <c r="H800" s="139" t="s">
        <v>143</v>
      </c>
      <c r="I800" s="117" t="s">
        <v>144</v>
      </c>
      <c r="J800" s="29" t="s">
        <v>159</v>
      </c>
      <c r="K800" s="29" t="s">
        <v>2783</v>
      </c>
      <c r="L800" t="s">
        <v>2530</v>
      </c>
      <c r="M800" s="16" t="s">
        <v>2806</v>
      </c>
      <c r="N800" s="3" t="str">
        <f t="shared" si="37"/>
        <v>1  Year</v>
      </c>
      <c r="O800" t="s">
        <v>1520</v>
      </c>
      <c r="P800" t="s">
        <v>2778</v>
      </c>
      <c r="Q800">
        <v>2026</v>
      </c>
      <c r="R800" s="29" t="s">
        <v>44</v>
      </c>
      <c r="S800" s="29" t="s">
        <v>45</v>
      </c>
      <c r="T800" s="4" t="s">
        <v>2784</v>
      </c>
    </row>
    <row r="801" spans="2:29">
      <c r="B801" t="s">
        <v>2805</v>
      </c>
      <c r="E801" t="s">
        <v>182</v>
      </c>
      <c r="F801" s="68" t="s">
        <v>2786</v>
      </c>
      <c r="G801" s="48" t="s">
        <v>2578</v>
      </c>
      <c r="H801" s="5" t="s">
        <v>143</v>
      </c>
      <c r="I801" s="117" t="s">
        <v>144</v>
      </c>
      <c r="J801" s="29" t="s">
        <v>145</v>
      </c>
      <c r="K801" s="29" t="s">
        <v>2783</v>
      </c>
      <c r="L801" t="s">
        <v>2530</v>
      </c>
      <c r="M801" s="16" t="s">
        <v>2806</v>
      </c>
      <c r="N801" s="3" t="str">
        <f t="shared" si="37"/>
        <v>1  Year</v>
      </c>
      <c r="O801" t="s">
        <v>1520</v>
      </c>
      <c r="P801" t="s">
        <v>2778</v>
      </c>
      <c r="Q801">
        <v>2026</v>
      </c>
      <c r="R801" s="29" t="s">
        <v>44</v>
      </c>
      <c r="S801" s="29" t="s">
        <v>45</v>
      </c>
      <c r="T801" s="4" t="s">
        <v>2784</v>
      </c>
    </row>
    <row r="802" spans="2:29">
      <c r="B802" t="s">
        <v>2807</v>
      </c>
      <c r="E802" t="s">
        <v>182</v>
      </c>
      <c r="F802" s="68" t="s">
        <v>2786</v>
      </c>
      <c r="G802" s="48" t="s">
        <v>2578</v>
      </c>
      <c r="H802" s="5" t="s">
        <v>143</v>
      </c>
      <c r="I802" s="117" t="s">
        <v>144</v>
      </c>
      <c r="J802" s="29" t="s">
        <v>48</v>
      </c>
      <c r="K802" s="29" t="s">
        <v>2783</v>
      </c>
      <c r="L802" t="s">
        <v>2530</v>
      </c>
      <c r="M802" s="16" t="s">
        <v>2806</v>
      </c>
      <c r="N802" s="3" t="str">
        <f t="shared" si="37"/>
        <v>1  Year</v>
      </c>
      <c r="O802" t="s">
        <v>1520</v>
      </c>
      <c r="P802" t="s">
        <v>2778</v>
      </c>
      <c r="Q802">
        <v>2026</v>
      </c>
      <c r="R802" s="29" t="s">
        <v>44</v>
      </c>
      <c r="S802" s="29" t="s">
        <v>45</v>
      </c>
      <c r="T802" s="4" t="s">
        <v>2784</v>
      </c>
    </row>
    <row r="803" spans="2:29">
      <c r="B803" t="s">
        <v>2807</v>
      </c>
      <c r="E803" t="s">
        <v>182</v>
      </c>
      <c r="F803" s="68" t="s">
        <v>2786</v>
      </c>
      <c r="G803" s="48" t="s">
        <v>2578</v>
      </c>
      <c r="H803" s="5" t="s">
        <v>143</v>
      </c>
      <c r="I803" s="117" t="s">
        <v>144</v>
      </c>
      <c r="J803" s="29" t="s">
        <v>159</v>
      </c>
      <c r="K803" s="29" t="s">
        <v>2783</v>
      </c>
      <c r="L803" t="s">
        <v>2530</v>
      </c>
      <c r="M803" s="16" t="s">
        <v>2806</v>
      </c>
      <c r="N803" s="3" t="str">
        <f t="shared" si="37"/>
        <v>1  Year</v>
      </c>
      <c r="O803" t="s">
        <v>1520</v>
      </c>
      <c r="P803" t="s">
        <v>2778</v>
      </c>
      <c r="Q803">
        <v>2026</v>
      </c>
      <c r="R803" s="29" t="s">
        <v>44</v>
      </c>
      <c r="S803" s="29" t="s">
        <v>45</v>
      </c>
      <c r="T803" s="4" t="s">
        <v>2784</v>
      </c>
    </row>
    <row r="804" spans="2:29">
      <c r="B804" t="s">
        <v>2807</v>
      </c>
      <c r="E804" t="s">
        <v>182</v>
      </c>
      <c r="F804" s="68" t="s">
        <v>2786</v>
      </c>
      <c r="G804" s="48" t="s">
        <v>2578</v>
      </c>
      <c r="H804" s="5" t="s">
        <v>143</v>
      </c>
      <c r="I804" s="117" t="s">
        <v>144</v>
      </c>
      <c r="J804" s="29" t="s">
        <v>145</v>
      </c>
      <c r="K804" s="29" t="s">
        <v>2783</v>
      </c>
      <c r="L804" t="s">
        <v>2530</v>
      </c>
      <c r="M804" s="16" t="s">
        <v>2806</v>
      </c>
      <c r="N804" s="3" t="str">
        <f t="shared" si="37"/>
        <v>1  Year</v>
      </c>
      <c r="O804" t="s">
        <v>1520</v>
      </c>
      <c r="P804" s="37" t="s">
        <v>2778</v>
      </c>
      <c r="Q804">
        <v>2026</v>
      </c>
      <c r="R804" s="29" t="s">
        <v>44</v>
      </c>
      <c r="S804" s="29" t="s">
        <v>45</v>
      </c>
      <c r="T804" s="4" t="s">
        <v>2784</v>
      </c>
    </row>
    <row r="805" spans="2:29">
      <c r="B805" t="s">
        <v>2808</v>
      </c>
      <c r="E805" t="s">
        <v>182</v>
      </c>
      <c r="F805" s="68" t="s">
        <v>2786</v>
      </c>
      <c r="G805" s="48" t="s">
        <v>2578</v>
      </c>
      <c r="H805" s="5" t="s">
        <v>143</v>
      </c>
      <c r="I805" s="117" t="s">
        <v>144</v>
      </c>
      <c r="J805" s="29" t="s">
        <v>48</v>
      </c>
      <c r="K805" s="29" t="s">
        <v>2783</v>
      </c>
      <c r="L805" t="s">
        <v>2530</v>
      </c>
      <c r="M805" s="16" t="s">
        <v>2806</v>
      </c>
      <c r="N805" s="3" t="str">
        <f t="shared" si="37"/>
        <v>1  Year</v>
      </c>
      <c r="O805" t="s">
        <v>1520</v>
      </c>
      <c r="P805" t="s">
        <v>2778</v>
      </c>
      <c r="Q805">
        <v>2026</v>
      </c>
      <c r="R805" s="29" t="s">
        <v>44</v>
      </c>
      <c r="S805" s="29" t="s">
        <v>45</v>
      </c>
      <c r="T805" s="4" t="s">
        <v>2784</v>
      </c>
    </row>
    <row r="806" spans="2:29">
      <c r="B806" t="s">
        <v>2808</v>
      </c>
      <c r="E806" t="s">
        <v>182</v>
      </c>
      <c r="F806" s="68" t="s">
        <v>2786</v>
      </c>
      <c r="G806" s="48" t="s">
        <v>2578</v>
      </c>
      <c r="H806" s="5" t="s">
        <v>143</v>
      </c>
      <c r="I806" s="117" t="s">
        <v>144</v>
      </c>
      <c r="J806" s="29" t="s">
        <v>159</v>
      </c>
      <c r="K806" s="29" t="s">
        <v>2783</v>
      </c>
      <c r="L806" t="s">
        <v>2530</v>
      </c>
      <c r="M806" s="16" t="s">
        <v>2806</v>
      </c>
      <c r="N806" s="3" t="str">
        <f t="shared" si="37"/>
        <v>1  Year</v>
      </c>
      <c r="O806" t="s">
        <v>1520</v>
      </c>
      <c r="P806" t="s">
        <v>2778</v>
      </c>
      <c r="Q806">
        <v>2026</v>
      </c>
      <c r="R806" s="29" t="s">
        <v>44</v>
      </c>
      <c r="S806" s="29" t="s">
        <v>45</v>
      </c>
      <c r="T806" s="4" t="s">
        <v>2784</v>
      </c>
    </row>
    <row r="807" spans="2:29">
      <c r="B807" t="s">
        <v>2808</v>
      </c>
      <c r="E807" t="s">
        <v>182</v>
      </c>
      <c r="F807" s="68" t="s">
        <v>2786</v>
      </c>
      <c r="G807" s="48" t="s">
        <v>2578</v>
      </c>
      <c r="H807" s="5" t="s">
        <v>143</v>
      </c>
      <c r="I807" s="117" t="s">
        <v>144</v>
      </c>
      <c r="J807" s="29" t="s">
        <v>145</v>
      </c>
      <c r="K807" s="29" t="s">
        <v>2783</v>
      </c>
      <c r="L807" t="s">
        <v>2530</v>
      </c>
      <c r="M807" s="16" t="s">
        <v>2806</v>
      </c>
      <c r="N807" s="3" t="str">
        <f t="shared" si="37"/>
        <v>1  Year</v>
      </c>
      <c r="O807" t="s">
        <v>1520</v>
      </c>
      <c r="P807" t="s">
        <v>2778</v>
      </c>
      <c r="Q807">
        <v>2026</v>
      </c>
      <c r="R807" s="29" t="s">
        <v>44</v>
      </c>
      <c r="S807" s="29" t="s">
        <v>45</v>
      </c>
      <c r="T807" s="4" t="s">
        <v>2784</v>
      </c>
      <c r="U807" t="s">
        <v>2788</v>
      </c>
      <c r="V807" t="s">
        <v>182</v>
      </c>
      <c r="W807" s="81">
        <v>0.46875</v>
      </c>
      <c r="X807" t="s">
        <v>163</v>
      </c>
      <c r="Y807" t="s">
        <v>103</v>
      </c>
      <c r="AB807" t="s">
        <v>149</v>
      </c>
      <c r="AC807" s="80">
        <v>46241</v>
      </c>
    </row>
    <row r="808" spans="2:29">
      <c r="B808" t="s">
        <v>2575</v>
      </c>
      <c r="E808" t="s">
        <v>182</v>
      </c>
      <c r="F808" s="68" t="s">
        <v>2786</v>
      </c>
      <c r="G808" s="48" t="s">
        <v>2578</v>
      </c>
      <c r="H808" s="5" t="s">
        <v>143</v>
      </c>
      <c r="I808" s="117" t="s">
        <v>144</v>
      </c>
      <c r="J808" s="29" t="s">
        <v>48</v>
      </c>
      <c r="K808" s="29" t="s">
        <v>2783</v>
      </c>
      <c r="L808" t="s">
        <v>2530</v>
      </c>
      <c r="M808" s="16" t="s">
        <v>2806</v>
      </c>
      <c r="N808" s="3" t="str">
        <f t="shared" si="37"/>
        <v>1  Year</v>
      </c>
      <c r="O808" t="s">
        <v>1520</v>
      </c>
      <c r="P808" t="s">
        <v>2778</v>
      </c>
      <c r="Q808">
        <v>2026</v>
      </c>
      <c r="R808" s="29" t="s">
        <v>44</v>
      </c>
      <c r="S808" s="29" t="s">
        <v>45</v>
      </c>
      <c r="T808" s="4" t="s">
        <v>2784</v>
      </c>
    </row>
    <row r="809" spans="2:29" ht="28.8">
      <c r="B809" t="s">
        <v>2575</v>
      </c>
      <c r="E809" t="s">
        <v>182</v>
      </c>
      <c r="F809" s="34" t="s">
        <v>2786</v>
      </c>
      <c r="G809" s="34" t="s">
        <v>2578</v>
      </c>
      <c r="H809" s="5" t="s">
        <v>2809</v>
      </c>
      <c r="I809" s="117" t="s">
        <v>144</v>
      </c>
      <c r="J809" s="29" t="s">
        <v>159</v>
      </c>
      <c r="K809" s="37" t="s">
        <v>2783</v>
      </c>
      <c r="L809" t="s">
        <v>2530</v>
      </c>
      <c r="M809" s="16" t="s">
        <v>2806</v>
      </c>
      <c r="N809" s="3" t="str">
        <f t="shared" si="37"/>
        <v>1  Year</v>
      </c>
      <c r="O809" t="s">
        <v>1520</v>
      </c>
      <c r="P809" t="s">
        <v>2778</v>
      </c>
      <c r="Q809">
        <v>2026</v>
      </c>
      <c r="R809" s="29" t="s">
        <v>44</v>
      </c>
      <c r="S809" s="29" t="s">
        <v>45</v>
      </c>
      <c r="T809" s="4" t="s">
        <v>2784</v>
      </c>
    </row>
    <row r="810" spans="2:29" ht="28.8">
      <c r="B810" t="s">
        <v>2575</v>
      </c>
      <c r="D810" s="61">
        <v>23</v>
      </c>
      <c r="E810" t="s">
        <v>182</v>
      </c>
      <c r="F810" s="34" t="s">
        <v>2786</v>
      </c>
      <c r="G810" s="34" t="s">
        <v>2578</v>
      </c>
      <c r="H810" s="5" t="s">
        <v>2809</v>
      </c>
      <c r="I810" s="117" t="s">
        <v>144</v>
      </c>
      <c r="J810" s="29" t="s">
        <v>145</v>
      </c>
      <c r="K810" s="60" t="s">
        <v>2783</v>
      </c>
      <c r="L810" t="s">
        <v>2530</v>
      </c>
      <c r="M810" s="16" t="s">
        <v>2806</v>
      </c>
      <c r="N810" s="3" t="str">
        <f t="shared" si="37"/>
        <v>1  Year</v>
      </c>
      <c r="O810" t="s">
        <v>1520</v>
      </c>
      <c r="P810" t="s">
        <v>2778</v>
      </c>
      <c r="Q810">
        <v>2026</v>
      </c>
      <c r="R810" s="29" t="s">
        <v>44</v>
      </c>
      <c r="S810" s="29" t="s">
        <v>45</v>
      </c>
      <c r="T810" s="4" t="s">
        <v>2784</v>
      </c>
      <c r="U810" t="s">
        <v>2788</v>
      </c>
      <c r="W810" s="81">
        <v>0.46250000000000002</v>
      </c>
      <c r="X810" t="s">
        <v>163</v>
      </c>
      <c r="Y810" t="s">
        <v>103</v>
      </c>
      <c r="AB810" t="s">
        <v>149</v>
      </c>
      <c r="AC810" s="80">
        <v>46241</v>
      </c>
    </row>
    <row r="811" spans="2:29" ht="28.2">
      <c r="B811" s="60" t="s">
        <v>2810</v>
      </c>
      <c r="C811" s="22" t="s">
        <v>1292</v>
      </c>
      <c r="D811" s="61" t="s">
        <v>2811</v>
      </c>
      <c r="E811" t="s">
        <v>182</v>
      </c>
      <c r="F811" s="34" t="s">
        <v>226</v>
      </c>
      <c r="G811" s="34" t="s">
        <v>1906</v>
      </c>
      <c r="H811" s="5" t="s">
        <v>2737</v>
      </c>
      <c r="I811" s="117" t="s">
        <v>2738</v>
      </c>
      <c r="J811" s="29" t="s">
        <v>48</v>
      </c>
      <c r="K811" s="60" t="s">
        <v>2812</v>
      </c>
      <c r="L811" t="s">
        <v>2751</v>
      </c>
      <c r="M811" s="16" t="s">
        <v>2806</v>
      </c>
      <c r="N811" s="3" t="str">
        <f t="shared" si="37"/>
        <v>2 Years</v>
      </c>
      <c r="O811" t="s">
        <v>42</v>
      </c>
      <c r="P811" t="s">
        <v>2778</v>
      </c>
      <c r="Q811">
        <v>2026</v>
      </c>
      <c r="R811" s="29" t="s">
        <v>44</v>
      </c>
      <c r="S811" s="29" t="s">
        <v>45</v>
      </c>
      <c r="T811" s="4" t="s">
        <v>2813</v>
      </c>
    </row>
    <row r="812" spans="2:29" ht="28.2">
      <c r="B812" s="60" t="s">
        <v>2810</v>
      </c>
      <c r="C812" s="22" t="s">
        <v>1292</v>
      </c>
      <c r="D812" s="61" t="s">
        <v>2811</v>
      </c>
      <c r="E812" t="s">
        <v>182</v>
      </c>
      <c r="F812" s="34" t="s">
        <v>226</v>
      </c>
      <c r="G812" s="34" t="s">
        <v>1906</v>
      </c>
      <c r="H812" s="5" t="s">
        <v>2737</v>
      </c>
      <c r="I812" s="117" t="s">
        <v>2738</v>
      </c>
      <c r="J812" s="29" t="s">
        <v>92</v>
      </c>
      <c r="K812" s="60" t="s">
        <v>2812</v>
      </c>
      <c r="L812" t="s">
        <v>2751</v>
      </c>
      <c r="M812" s="16" t="s">
        <v>2806</v>
      </c>
      <c r="N812" s="3" t="str">
        <f t="shared" si="37"/>
        <v>2 Years</v>
      </c>
      <c r="O812" t="s">
        <v>42</v>
      </c>
      <c r="P812" t="s">
        <v>2778</v>
      </c>
      <c r="Q812">
        <v>2026</v>
      </c>
      <c r="R812" s="29" t="s">
        <v>44</v>
      </c>
      <c r="S812" s="29" t="s">
        <v>45</v>
      </c>
      <c r="T812" s="4" t="s">
        <v>2813</v>
      </c>
    </row>
    <row r="813" spans="2:29" ht="43.2">
      <c r="B813" s="61" t="s">
        <v>2239</v>
      </c>
      <c r="C813" s="22" t="s">
        <v>2814</v>
      </c>
      <c r="D813" s="61" t="s">
        <v>2811</v>
      </c>
      <c r="E813" t="s">
        <v>52</v>
      </c>
      <c r="F813" s="60" t="s">
        <v>825</v>
      </c>
      <c r="G813" s="48" t="s">
        <v>2743</v>
      </c>
      <c r="H813" s="5" t="s">
        <v>2744</v>
      </c>
      <c r="I813" s="117" t="s">
        <v>2243</v>
      </c>
      <c r="J813" s="29" t="s">
        <v>48</v>
      </c>
      <c r="K813" s="29" t="s">
        <v>2815</v>
      </c>
      <c r="L813" t="s">
        <v>2751</v>
      </c>
      <c r="M813" s="16" t="s">
        <v>2806</v>
      </c>
      <c r="N813" s="3" t="str">
        <f t="shared" si="37"/>
        <v>2 Years</v>
      </c>
      <c r="O813" t="s">
        <v>42</v>
      </c>
      <c r="P813" t="s">
        <v>2778</v>
      </c>
      <c r="Q813">
        <v>2026</v>
      </c>
      <c r="R813" s="29" t="s">
        <v>44</v>
      </c>
      <c r="S813" s="29" t="s">
        <v>2816</v>
      </c>
      <c r="T813" s="4" t="s">
        <v>2817</v>
      </c>
    </row>
    <row r="814" spans="2:29" ht="43.2">
      <c r="B814" s="61" t="s">
        <v>2239</v>
      </c>
      <c r="C814" s="22" t="s">
        <v>2814</v>
      </c>
      <c r="D814" s="61" t="s">
        <v>2811</v>
      </c>
      <c r="E814" t="s">
        <v>52</v>
      </c>
      <c r="F814" s="60" t="s">
        <v>825</v>
      </c>
      <c r="G814" s="48" t="s">
        <v>2743</v>
      </c>
      <c r="H814" s="5" t="s">
        <v>2744</v>
      </c>
      <c r="I814" s="117" t="s">
        <v>2243</v>
      </c>
      <c r="J814" s="29" t="s">
        <v>92</v>
      </c>
      <c r="K814" s="29" t="s">
        <v>2815</v>
      </c>
      <c r="L814" t="s">
        <v>2751</v>
      </c>
      <c r="M814" s="16" t="s">
        <v>2806</v>
      </c>
      <c r="N814" s="3" t="str">
        <f t="shared" si="37"/>
        <v>2 Years</v>
      </c>
      <c r="O814" t="s">
        <v>42</v>
      </c>
      <c r="P814" t="s">
        <v>2778</v>
      </c>
      <c r="Q814">
        <v>2026</v>
      </c>
      <c r="R814" s="29" t="s">
        <v>44</v>
      </c>
      <c r="S814" s="29" t="s">
        <v>2816</v>
      </c>
      <c r="T814" s="4" t="s">
        <v>2817</v>
      </c>
    </row>
    <row r="815" spans="2:29" ht="28.8">
      <c r="B815" s="61" t="s">
        <v>2818</v>
      </c>
      <c r="C815" s="22" t="s">
        <v>2819</v>
      </c>
      <c r="D815" s="61" t="s">
        <v>621</v>
      </c>
      <c r="E815" t="s">
        <v>33</v>
      </c>
      <c r="F815" s="60" t="s">
        <v>2820</v>
      </c>
      <c r="G815" s="60" t="s">
        <v>2821</v>
      </c>
      <c r="H815" s="5" t="s">
        <v>2822</v>
      </c>
      <c r="I815" s="117" t="s">
        <v>2823</v>
      </c>
      <c r="J815" s="29" t="s">
        <v>48</v>
      </c>
      <c r="K815" s="60" t="s">
        <v>2824</v>
      </c>
      <c r="L815" t="s">
        <v>2530</v>
      </c>
      <c r="M815" s="16" t="s">
        <v>2806</v>
      </c>
      <c r="N815" s="3" t="str">
        <f t="shared" si="37"/>
        <v>1  Year</v>
      </c>
      <c r="O815" t="s">
        <v>42</v>
      </c>
      <c r="P815" t="s">
        <v>2778</v>
      </c>
      <c r="Q815">
        <v>2026</v>
      </c>
      <c r="R815" s="29" t="s">
        <v>1981</v>
      </c>
      <c r="S815" s="29" t="s">
        <v>45</v>
      </c>
      <c r="T815" s="4" t="s">
        <v>2825</v>
      </c>
    </row>
    <row r="816" spans="2:29" ht="28.8">
      <c r="B816" s="61" t="s">
        <v>2818</v>
      </c>
      <c r="C816" s="22" t="s">
        <v>2819</v>
      </c>
      <c r="D816" s="61" t="s">
        <v>621</v>
      </c>
      <c r="E816" t="s">
        <v>33</v>
      </c>
      <c r="F816" s="60" t="s">
        <v>2820</v>
      </c>
      <c r="G816" s="60" t="s">
        <v>2821</v>
      </c>
      <c r="H816" s="5" t="s">
        <v>2822</v>
      </c>
      <c r="I816" s="117" t="s">
        <v>2823</v>
      </c>
      <c r="J816" s="29" t="s">
        <v>145</v>
      </c>
      <c r="K816" s="60" t="s">
        <v>2824</v>
      </c>
      <c r="L816" t="s">
        <v>2530</v>
      </c>
      <c r="M816" s="16" t="s">
        <v>2806</v>
      </c>
      <c r="N816" s="3" t="str">
        <f t="shared" si="37"/>
        <v>1  Year</v>
      </c>
      <c r="O816" t="s">
        <v>42</v>
      </c>
      <c r="P816" t="s">
        <v>2778</v>
      </c>
      <c r="Q816">
        <v>2026</v>
      </c>
      <c r="R816" s="29" t="s">
        <v>1981</v>
      </c>
      <c r="S816" s="29" t="s">
        <v>45</v>
      </c>
      <c r="T816" s="4" t="s">
        <v>2825</v>
      </c>
    </row>
    <row r="817" spans="2:29" ht="28.8">
      <c r="B817" s="61" t="s">
        <v>2826</v>
      </c>
      <c r="C817" s="22" t="s">
        <v>2827</v>
      </c>
      <c r="E817" t="s">
        <v>182</v>
      </c>
      <c r="F817" s="60" t="s">
        <v>226</v>
      </c>
      <c r="G817" s="34" t="s">
        <v>1906</v>
      </c>
      <c r="H817" s="5" t="s">
        <v>2737</v>
      </c>
      <c r="I817" s="117" t="s">
        <v>2738</v>
      </c>
      <c r="J817" s="29" t="s">
        <v>48</v>
      </c>
      <c r="K817" s="60" t="s">
        <v>2828</v>
      </c>
      <c r="L817" t="s">
        <v>2530</v>
      </c>
      <c r="M817" s="16" t="s">
        <v>2806</v>
      </c>
      <c r="N817" s="3" t="s">
        <v>1999</v>
      </c>
      <c r="O817" t="s">
        <v>1910</v>
      </c>
      <c r="P817" t="s">
        <v>2778</v>
      </c>
      <c r="Q817">
        <v>2026</v>
      </c>
      <c r="R817" s="29" t="s">
        <v>1981</v>
      </c>
      <c r="S817" s="29" t="s">
        <v>45</v>
      </c>
      <c r="T817" s="4" t="s">
        <v>2829</v>
      </c>
    </row>
    <row r="818" spans="2:29" ht="28.8">
      <c r="B818" s="61" t="s">
        <v>2826</v>
      </c>
      <c r="C818" s="22" t="s">
        <v>2827</v>
      </c>
      <c r="E818" t="s">
        <v>182</v>
      </c>
      <c r="F818" s="60" t="s">
        <v>226</v>
      </c>
      <c r="G818" s="34" t="s">
        <v>1906</v>
      </c>
      <c r="H818" s="5" t="s">
        <v>2737</v>
      </c>
      <c r="I818" s="117" t="s">
        <v>2738</v>
      </c>
      <c r="J818" s="29" t="s">
        <v>145</v>
      </c>
      <c r="K818" s="60" t="s">
        <v>2828</v>
      </c>
      <c r="L818" t="s">
        <v>2530</v>
      </c>
      <c r="M818" s="16" t="s">
        <v>2806</v>
      </c>
      <c r="N818" s="3" t="s">
        <v>2830</v>
      </c>
      <c r="O818" t="s">
        <v>1910</v>
      </c>
      <c r="P818" t="s">
        <v>2778</v>
      </c>
      <c r="Q818">
        <v>2026</v>
      </c>
      <c r="R818" s="29" t="s">
        <v>1981</v>
      </c>
      <c r="S818" s="29" t="s">
        <v>45</v>
      </c>
      <c r="T818" s="4" t="s">
        <v>2829</v>
      </c>
    </row>
    <row r="819" spans="2:29" ht="28.2">
      <c r="B819" s="61" t="s">
        <v>2810</v>
      </c>
      <c r="C819" s="61" t="s">
        <v>1292</v>
      </c>
      <c r="D819" s="61">
        <v>23</v>
      </c>
      <c r="E819" t="s">
        <v>182</v>
      </c>
      <c r="F819" s="60" t="s">
        <v>226</v>
      </c>
      <c r="G819" s="34" t="s">
        <v>1906</v>
      </c>
      <c r="H819" s="5" t="s">
        <v>2737</v>
      </c>
      <c r="I819" s="117" t="s">
        <v>2738</v>
      </c>
      <c r="J819" s="29" t="s">
        <v>48</v>
      </c>
      <c r="K819" s="60" t="s">
        <v>2831</v>
      </c>
      <c r="L819" t="s">
        <v>2530</v>
      </c>
      <c r="M819" s="16" t="s">
        <v>2806</v>
      </c>
      <c r="N819" s="3" t="str">
        <f t="shared" si="37"/>
        <v>1  Year</v>
      </c>
      <c r="O819" t="s">
        <v>42</v>
      </c>
      <c r="P819" t="s">
        <v>2778</v>
      </c>
      <c r="Q819">
        <v>2026</v>
      </c>
      <c r="R819" s="29" t="s">
        <v>44</v>
      </c>
      <c r="S819" s="29" t="s">
        <v>45</v>
      </c>
      <c r="T819" s="4" t="s">
        <v>2832</v>
      </c>
    </row>
    <row r="820" spans="2:29" ht="28.8">
      <c r="B820" s="61" t="s">
        <v>2810</v>
      </c>
      <c r="C820" s="61" t="s">
        <v>1292</v>
      </c>
      <c r="D820" s="61">
        <v>23</v>
      </c>
      <c r="E820" t="s">
        <v>182</v>
      </c>
      <c r="F820" s="34" t="s">
        <v>226</v>
      </c>
      <c r="G820" s="34" t="s">
        <v>1906</v>
      </c>
      <c r="H820" s="5" t="s">
        <v>2737</v>
      </c>
      <c r="I820" s="117" t="s">
        <v>2738</v>
      </c>
      <c r="J820" s="29" t="s">
        <v>88</v>
      </c>
      <c r="K820" s="60" t="s">
        <v>2831</v>
      </c>
      <c r="L820" t="s">
        <v>2530</v>
      </c>
      <c r="M820" s="16" t="s">
        <v>2806</v>
      </c>
      <c r="N820" s="3" t="str">
        <f t="shared" si="37"/>
        <v>1  Year</v>
      </c>
      <c r="O820" t="s">
        <v>42</v>
      </c>
      <c r="P820" t="s">
        <v>2778</v>
      </c>
      <c r="Q820">
        <v>2026</v>
      </c>
      <c r="R820" s="29" t="s">
        <v>44</v>
      </c>
      <c r="S820" s="29" t="s">
        <v>45</v>
      </c>
      <c r="T820" s="4" t="s">
        <v>2832</v>
      </c>
    </row>
    <row r="821" spans="2:29" ht="28.8">
      <c r="B821" s="61" t="s">
        <v>2833</v>
      </c>
      <c r="C821" s="22" t="s">
        <v>1588</v>
      </c>
      <c r="D821" s="61" t="s">
        <v>2834</v>
      </c>
      <c r="E821" t="s">
        <v>33</v>
      </c>
      <c r="F821" s="34" t="s">
        <v>2835</v>
      </c>
      <c r="G821" s="34" t="s">
        <v>2836</v>
      </c>
      <c r="H821" s="5" t="s">
        <v>2837</v>
      </c>
      <c r="I821" s="116" t="s">
        <v>2838</v>
      </c>
      <c r="J821" s="29" t="s">
        <v>48</v>
      </c>
      <c r="K821" s="132" t="s">
        <v>2839</v>
      </c>
      <c r="L821" t="s">
        <v>2530</v>
      </c>
      <c r="M821" s="16" t="s">
        <v>2806</v>
      </c>
      <c r="N821" s="3" t="str">
        <f t="shared" si="37"/>
        <v>1  Year</v>
      </c>
      <c r="O821" t="s">
        <v>42</v>
      </c>
      <c r="P821" t="s">
        <v>2778</v>
      </c>
      <c r="Q821">
        <v>2026</v>
      </c>
      <c r="R821" s="29" t="s">
        <v>1981</v>
      </c>
      <c r="S821" s="29" t="s">
        <v>45</v>
      </c>
      <c r="T821" s="4" t="s">
        <v>2840</v>
      </c>
    </row>
    <row r="822" spans="2:29" ht="57.6">
      <c r="B822" s="17" t="s">
        <v>2841</v>
      </c>
      <c r="C822" s="17" t="s">
        <v>2842</v>
      </c>
      <c r="D822" s="61" t="s">
        <v>2843</v>
      </c>
      <c r="E822" t="s">
        <v>33</v>
      </c>
      <c r="F822" s="68" t="s">
        <v>1130</v>
      </c>
      <c r="G822" s="48" t="s">
        <v>2844</v>
      </c>
      <c r="H822" s="5" t="s">
        <v>2845</v>
      </c>
      <c r="I822" s="128" t="s">
        <v>2846</v>
      </c>
      <c r="J822" s="29" t="s">
        <v>145</v>
      </c>
      <c r="K822" s="97" t="s">
        <v>2847</v>
      </c>
      <c r="L822" t="s">
        <v>2530</v>
      </c>
      <c r="M822" s="16" t="s">
        <v>2806</v>
      </c>
      <c r="N822" s="3" t="str">
        <f t="shared" si="37"/>
        <v>1  Year</v>
      </c>
      <c r="O822" t="s">
        <v>42</v>
      </c>
      <c r="P822" t="s">
        <v>2778</v>
      </c>
      <c r="Q822">
        <v>2026</v>
      </c>
      <c r="R822" s="29" t="s">
        <v>1981</v>
      </c>
      <c r="S822" s="29" t="s">
        <v>2848</v>
      </c>
      <c r="T822" s="4" t="s">
        <v>2849</v>
      </c>
      <c r="U822" t="s">
        <v>2850</v>
      </c>
      <c r="W822" s="81">
        <v>0.44097222222222221</v>
      </c>
      <c r="X822" t="s">
        <v>163</v>
      </c>
      <c r="Y822" t="s">
        <v>103</v>
      </c>
      <c r="AB822" t="s">
        <v>149</v>
      </c>
      <c r="AC822" s="80">
        <v>46241</v>
      </c>
    </row>
    <row r="823" spans="2:29" ht="93">
      <c r="B823" s="61" t="s">
        <v>2261</v>
      </c>
      <c r="D823" s="61" t="s">
        <v>2263</v>
      </c>
      <c r="E823" t="s">
        <v>33</v>
      </c>
      <c r="F823" s="70" t="s">
        <v>825</v>
      </c>
      <c r="G823" s="48" t="s">
        <v>2241</v>
      </c>
      <c r="H823" s="5" t="s">
        <v>2242</v>
      </c>
      <c r="I823" s="116" t="s">
        <v>2243</v>
      </c>
      <c r="J823" s="29" t="s">
        <v>92</v>
      </c>
      <c r="K823" s="97" t="s">
        <v>2851</v>
      </c>
      <c r="L823" t="s">
        <v>90</v>
      </c>
      <c r="M823" s="16" t="s">
        <v>2806</v>
      </c>
      <c r="N823" s="3" t="str">
        <f t="shared" si="37"/>
        <v>2 Years</v>
      </c>
      <c r="O823" t="s">
        <v>42</v>
      </c>
      <c r="P823" t="s">
        <v>2778</v>
      </c>
      <c r="Q823">
        <v>2026</v>
      </c>
      <c r="R823" s="29" t="s">
        <v>44</v>
      </c>
      <c r="S823" s="29" t="s">
        <v>2852</v>
      </c>
      <c r="T823" s="4" t="s">
        <v>2853</v>
      </c>
    </row>
    <row r="824" spans="2:29" ht="93">
      <c r="B824" s="17" t="s">
        <v>2854</v>
      </c>
      <c r="D824" s="17" t="s">
        <v>114</v>
      </c>
      <c r="E824" t="s">
        <v>33</v>
      </c>
      <c r="F824" s="70" t="s">
        <v>825</v>
      </c>
      <c r="G824" s="48" t="s">
        <v>2241</v>
      </c>
      <c r="H824" s="5" t="s">
        <v>2242</v>
      </c>
      <c r="I824" s="116" t="s">
        <v>2243</v>
      </c>
      <c r="J824" s="29" t="s">
        <v>92</v>
      </c>
      <c r="K824" s="64" t="s">
        <v>2855</v>
      </c>
      <c r="L824" t="s">
        <v>90</v>
      </c>
      <c r="M824" s="16" t="s">
        <v>2806</v>
      </c>
      <c r="N824" s="3" t="str">
        <f t="shared" ref="N824:N827" si="38">IF(L824="New","1  Year",IF(L824="Promotional","15 Weeks",IF(L824="Revalidation","2 Years","")))</f>
        <v>2 Years</v>
      </c>
      <c r="O824" t="s">
        <v>42</v>
      </c>
      <c r="P824" t="s">
        <v>2778</v>
      </c>
      <c r="Q824">
        <v>2026</v>
      </c>
      <c r="R824" s="29" t="s">
        <v>44</v>
      </c>
      <c r="S824" s="29" t="s">
        <v>2852</v>
      </c>
      <c r="T824" s="4" t="s">
        <v>2853</v>
      </c>
    </row>
    <row r="825" spans="2:29" ht="93">
      <c r="B825" s="17" t="s">
        <v>2856</v>
      </c>
      <c r="D825" s="17" t="s">
        <v>341</v>
      </c>
      <c r="E825" t="s">
        <v>33</v>
      </c>
      <c r="F825" s="70" t="s">
        <v>825</v>
      </c>
      <c r="G825" s="48" t="s">
        <v>2241</v>
      </c>
      <c r="H825" s="5" t="s">
        <v>2242</v>
      </c>
      <c r="I825" s="116" t="s">
        <v>2243</v>
      </c>
      <c r="J825" s="29" t="s">
        <v>92</v>
      </c>
      <c r="K825" s="64" t="s">
        <v>2857</v>
      </c>
      <c r="L825" t="s">
        <v>90</v>
      </c>
      <c r="M825" s="16" t="s">
        <v>2806</v>
      </c>
      <c r="N825" s="3" t="str">
        <f t="shared" si="38"/>
        <v>2 Years</v>
      </c>
      <c r="O825" t="s">
        <v>42</v>
      </c>
      <c r="P825" t="s">
        <v>2778</v>
      </c>
      <c r="Q825">
        <v>2026</v>
      </c>
      <c r="R825" s="29" t="s">
        <v>44</v>
      </c>
      <c r="S825" s="29" t="s">
        <v>2852</v>
      </c>
      <c r="T825" s="4" t="s">
        <v>2853</v>
      </c>
    </row>
    <row r="826" spans="2:29" ht="93">
      <c r="B826" s="17" t="s">
        <v>2254</v>
      </c>
      <c r="D826" s="61" t="s">
        <v>2858</v>
      </c>
      <c r="E826" t="s">
        <v>33</v>
      </c>
      <c r="F826" s="70" t="s">
        <v>825</v>
      </c>
      <c r="G826" s="48" t="s">
        <v>2241</v>
      </c>
      <c r="H826" s="5" t="s">
        <v>2242</v>
      </c>
      <c r="I826" s="116" t="s">
        <v>2243</v>
      </c>
      <c r="J826" s="29" t="s">
        <v>92</v>
      </c>
      <c r="K826" s="64" t="s">
        <v>2859</v>
      </c>
      <c r="L826" t="s">
        <v>90</v>
      </c>
      <c r="M826" s="16" t="s">
        <v>2806</v>
      </c>
      <c r="N826" s="3" t="str">
        <f t="shared" si="38"/>
        <v>2 Years</v>
      </c>
      <c r="O826" t="s">
        <v>42</v>
      </c>
      <c r="P826" t="s">
        <v>2778</v>
      </c>
      <c r="Q826">
        <v>2026</v>
      </c>
      <c r="R826" s="29" t="s">
        <v>44</v>
      </c>
      <c r="S826" s="29" t="s">
        <v>2852</v>
      </c>
      <c r="T826" s="4" t="s">
        <v>2853</v>
      </c>
    </row>
    <row r="827" spans="2:29" ht="28.8">
      <c r="B827" s="17" t="s">
        <v>2860</v>
      </c>
      <c r="C827" s="17" t="s">
        <v>2861</v>
      </c>
      <c r="D827" s="17" t="s">
        <v>1947</v>
      </c>
      <c r="E827" t="s">
        <v>182</v>
      </c>
      <c r="F827" s="97" t="s">
        <v>864</v>
      </c>
      <c r="G827" s="97" t="s">
        <v>2862</v>
      </c>
      <c r="H827" s="5" t="s">
        <v>735</v>
      </c>
      <c r="I827" s="117" t="s">
        <v>736</v>
      </c>
      <c r="J827" s="29" t="s">
        <v>88</v>
      </c>
      <c r="K827" s="97" t="s">
        <v>2863</v>
      </c>
      <c r="L827" t="s">
        <v>40</v>
      </c>
      <c r="M827" s="16" t="s">
        <v>2806</v>
      </c>
      <c r="N827" s="3" t="str">
        <f t="shared" si="38"/>
        <v>1  Year</v>
      </c>
      <c r="O827" t="s">
        <v>1910</v>
      </c>
      <c r="P827" t="s">
        <v>2778</v>
      </c>
      <c r="Q827">
        <v>2026</v>
      </c>
      <c r="R827" s="29" t="s">
        <v>1981</v>
      </c>
      <c r="S827" s="29" t="s">
        <v>45</v>
      </c>
      <c r="T827" s="4" t="s">
        <v>2864</v>
      </c>
    </row>
    <row r="828" spans="2:29" ht="28.8">
      <c r="B828" s="17" t="s">
        <v>2865</v>
      </c>
      <c r="C828" s="17" t="s">
        <v>2866</v>
      </c>
      <c r="D828" s="17" t="s">
        <v>1947</v>
      </c>
      <c r="E828" t="s">
        <v>182</v>
      </c>
      <c r="F828" s="97" t="s">
        <v>864</v>
      </c>
      <c r="G828" s="97" t="s">
        <v>2862</v>
      </c>
      <c r="H828" s="5" t="s">
        <v>735</v>
      </c>
      <c r="I828" s="117" t="s">
        <v>736</v>
      </c>
      <c r="J828" s="29" t="s">
        <v>88</v>
      </c>
      <c r="K828" s="97" t="s">
        <v>2863</v>
      </c>
      <c r="L828" t="s">
        <v>40</v>
      </c>
      <c r="M828" s="16" t="s">
        <v>2806</v>
      </c>
      <c r="N828" s="3" t="str">
        <f t="shared" ref="N828:N836" si="39">IF(L828="New","1  Year",IF(L828="Promotional","15 Weeks",IF(L828="Revalidation","2 Years","")))</f>
        <v>1  Year</v>
      </c>
      <c r="O828" t="s">
        <v>1910</v>
      </c>
      <c r="P828" t="s">
        <v>2778</v>
      </c>
      <c r="Q828">
        <v>2026</v>
      </c>
      <c r="R828" s="29" t="s">
        <v>1981</v>
      </c>
      <c r="S828" s="29" t="s">
        <v>45</v>
      </c>
      <c r="T828" s="4" t="s">
        <v>2864</v>
      </c>
    </row>
    <row r="829" spans="2:29" ht="28.8">
      <c r="B829" s="17" t="s">
        <v>2867</v>
      </c>
      <c r="C829" s="17" t="s">
        <v>2868</v>
      </c>
      <c r="D829" s="17" t="s">
        <v>1947</v>
      </c>
      <c r="E829" t="s">
        <v>182</v>
      </c>
      <c r="F829" s="97" t="s">
        <v>864</v>
      </c>
      <c r="G829" s="97" t="s">
        <v>2862</v>
      </c>
      <c r="H829" s="5" t="s">
        <v>735</v>
      </c>
      <c r="I829" s="117" t="s">
        <v>736</v>
      </c>
      <c r="J829" s="29" t="s">
        <v>88</v>
      </c>
      <c r="K829" s="97" t="s">
        <v>2863</v>
      </c>
      <c r="L829" t="s">
        <v>40</v>
      </c>
      <c r="M829" s="16" t="s">
        <v>2806</v>
      </c>
      <c r="N829" s="3" t="str">
        <f t="shared" si="39"/>
        <v>1  Year</v>
      </c>
      <c r="O829" t="s">
        <v>1910</v>
      </c>
      <c r="P829" t="s">
        <v>2778</v>
      </c>
      <c r="Q829">
        <v>2026</v>
      </c>
      <c r="R829" s="29" t="s">
        <v>1981</v>
      </c>
      <c r="S829" s="29" t="s">
        <v>45</v>
      </c>
      <c r="T829" s="4" t="s">
        <v>2864</v>
      </c>
    </row>
    <row r="830" spans="2:29" ht="28.8">
      <c r="B830" s="17" t="s">
        <v>2869</v>
      </c>
      <c r="C830" s="17" t="s">
        <v>2870</v>
      </c>
      <c r="D830" s="17" t="s">
        <v>1947</v>
      </c>
      <c r="E830" t="s">
        <v>182</v>
      </c>
      <c r="F830" s="97" t="s">
        <v>864</v>
      </c>
      <c r="G830" s="97" t="s">
        <v>2862</v>
      </c>
      <c r="H830" s="5" t="s">
        <v>735</v>
      </c>
      <c r="I830" s="117" t="s">
        <v>736</v>
      </c>
      <c r="J830" s="29" t="s">
        <v>88</v>
      </c>
      <c r="K830" s="97" t="s">
        <v>2863</v>
      </c>
      <c r="L830" t="s">
        <v>40</v>
      </c>
      <c r="M830" s="16" t="s">
        <v>2806</v>
      </c>
      <c r="N830" s="3" t="str">
        <f t="shared" si="39"/>
        <v>1  Year</v>
      </c>
      <c r="O830" t="s">
        <v>1910</v>
      </c>
      <c r="P830" t="s">
        <v>2778</v>
      </c>
      <c r="Q830">
        <v>2026</v>
      </c>
      <c r="R830" s="29" t="s">
        <v>1981</v>
      </c>
      <c r="S830" s="29" t="s">
        <v>45</v>
      </c>
      <c r="T830" s="4" t="s">
        <v>2864</v>
      </c>
    </row>
    <row r="831" spans="2:29" ht="28.8">
      <c r="B831" s="17" t="s">
        <v>2871</v>
      </c>
      <c r="C831" s="17" t="s">
        <v>2872</v>
      </c>
      <c r="D831" s="17" t="s">
        <v>1947</v>
      </c>
      <c r="E831" t="s">
        <v>182</v>
      </c>
      <c r="F831" s="97" t="s">
        <v>864</v>
      </c>
      <c r="G831" s="97" t="s">
        <v>2862</v>
      </c>
      <c r="H831" s="5" t="s">
        <v>735</v>
      </c>
      <c r="I831" s="117" t="s">
        <v>736</v>
      </c>
      <c r="J831" s="29" t="s">
        <v>88</v>
      </c>
      <c r="K831" s="97" t="s">
        <v>2863</v>
      </c>
      <c r="L831" t="s">
        <v>40</v>
      </c>
      <c r="M831" s="16" t="s">
        <v>2806</v>
      </c>
      <c r="N831" s="3" t="str">
        <f t="shared" si="39"/>
        <v>1  Year</v>
      </c>
      <c r="O831" t="s">
        <v>1910</v>
      </c>
      <c r="P831" t="s">
        <v>2778</v>
      </c>
      <c r="Q831">
        <v>2026</v>
      </c>
      <c r="R831" s="29" t="s">
        <v>1981</v>
      </c>
      <c r="S831" s="29" t="s">
        <v>45</v>
      </c>
      <c r="T831" s="4" t="s">
        <v>2864</v>
      </c>
    </row>
    <row r="832" spans="2:29" ht="28.8">
      <c r="B832" s="17" t="s">
        <v>2873</v>
      </c>
      <c r="C832" s="17" t="s">
        <v>2874</v>
      </c>
      <c r="D832" s="17" t="s">
        <v>1947</v>
      </c>
      <c r="E832" t="s">
        <v>182</v>
      </c>
      <c r="F832" s="97" t="s">
        <v>864</v>
      </c>
      <c r="G832" s="97" t="s">
        <v>2862</v>
      </c>
      <c r="H832" s="5" t="s">
        <v>735</v>
      </c>
      <c r="I832" s="117" t="s">
        <v>736</v>
      </c>
      <c r="J832" s="29" t="s">
        <v>88</v>
      </c>
      <c r="K832" s="97" t="s">
        <v>2863</v>
      </c>
      <c r="L832" t="s">
        <v>40</v>
      </c>
      <c r="M832" s="16" t="s">
        <v>2806</v>
      </c>
      <c r="N832" s="3" t="str">
        <f t="shared" si="39"/>
        <v>1  Year</v>
      </c>
      <c r="O832" t="s">
        <v>1910</v>
      </c>
      <c r="P832" t="s">
        <v>2778</v>
      </c>
      <c r="Q832">
        <v>2026</v>
      </c>
      <c r="R832" s="29" t="s">
        <v>1981</v>
      </c>
      <c r="S832" s="29" t="s">
        <v>45</v>
      </c>
      <c r="T832" s="4" t="s">
        <v>2864</v>
      </c>
    </row>
    <row r="833" spans="2:20" ht="93">
      <c r="B833" s="17" t="s">
        <v>2252</v>
      </c>
      <c r="C833" s="17" t="s">
        <v>2253</v>
      </c>
      <c r="D833" s="61" t="s">
        <v>831</v>
      </c>
      <c r="E833" t="s">
        <v>33</v>
      </c>
      <c r="F833" s="70" t="s">
        <v>825</v>
      </c>
      <c r="G833" s="48" t="s">
        <v>2241</v>
      </c>
      <c r="H833" s="5" t="s">
        <v>2242</v>
      </c>
      <c r="I833" s="116" t="s">
        <v>2243</v>
      </c>
      <c r="J833" s="29" t="s">
        <v>92</v>
      </c>
      <c r="K833" s="97" t="s">
        <v>2875</v>
      </c>
      <c r="L833" t="s">
        <v>90</v>
      </c>
      <c r="M833" s="16" t="s">
        <v>2806</v>
      </c>
      <c r="N833" s="3" t="str">
        <f t="shared" si="39"/>
        <v>2 Years</v>
      </c>
      <c r="O833" t="s">
        <v>42</v>
      </c>
      <c r="P833" t="s">
        <v>2778</v>
      </c>
      <c r="Q833">
        <v>2026</v>
      </c>
      <c r="R833" s="29" t="s">
        <v>44</v>
      </c>
      <c r="S833" s="29" t="s">
        <v>2876</v>
      </c>
      <c r="T833" s="4" t="s">
        <v>2877</v>
      </c>
    </row>
    <row r="834" spans="2:20" ht="28.8">
      <c r="B834" s="17" t="s">
        <v>2413</v>
      </c>
      <c r="C834" s="22" t="s">
        <v>131</v>
      </c>
      <c r="D834" s="17" t="s">
        <v>2878</v>
      </c>
      <c r="E834" t="s">
        <v>52</v>
      </c>
      <c r="F834" s="68" t="s">
        <v>120</v>
      </c>
      <c r="G834" s="48" t="s">
        <v>121</v>
      </c>
      <c r="H834" s="5" t="s">
        <v>122</v>
      </c>
      <c r="I834" s="117" t="s">
        <v>1956</v>
      </c>
      <c r="J834" s="29" t="s">
        <v>124</v>
      </c>
      <c r="K834" s="97" t="s">
        <v>2879</v>
      </c>
      <c r="L834" t="s">
        <v>40</v>
      </c>
      <c r="M834" s="16" t="s">
        <v>2806</v>
      </c>
      <c r="N834" s="3" t="str">
        <f t="shared" si="39"/>
        <v>1  Year</v>
      </c>
      <c r="O834" t="s">
        <v>42</v>
      </c>
      <c r="P834" t="s">
        <v>2778</v>
      </c>
      <c r="Q834">
        <v>2026</v>
      </c>
      <c r="R834" s="29" t="s">
        <v>1981</v>
      </c>
      <c r="S834" s="29" t="s">
        <v>45</v>
      </c>
      <c r="T834" s="4" t="s">
        <v>2880</v>
      </c>
    </row>
    <row r="835" spans="2:20" ht="28.8">
      <c r="B835" s="17" t="s">
        <v>2881</v>
      </c>
      <c r="C835" s="22" t="s">
        <v>2882</v>
      </c>
      <c r="D835" s="61" t="s">
        <v>2883</v>
      </c>
      <c r="E835" t="s">
        <v>52</v>
      </c>
      <c r="F835" s="68" t="s">
        <v>120</v>
      </c>
      <c r="G835" s="48" t="s">
        <v>121</v>
      </c>
      <c r="H835" s="5" t="s">
        <v>122</v>
      </c>
      <c r="I835" s="117" t="s">
        <v>1956</v>
      </c>
      <c r="J835" s="29" t="s">
        <v>124</v>
      </c>
      <c r="K835" s="97" t="s">
        <v>2884</v>
      </c>
      <c r="L835" t="s">
        <v>40</v>
      </c>
      <c r="M835" s="16" t="s">
        <v>2806</v>
      </c>
      <c r="N835" s="3" t="str">
        <f t="shared" si="39"/>
        <v>1  Year</v>
      </c>
      <c r="O835" t="s">
        <v>42</v>
      </c>
      <c r="P835" t="s">
        <v>2778</v>
      </c>
      <c r="Q835">
        <v>2026</v>
      </c>
      <c r="R835" s="29" t="s">
        <v>1981</v>
      </c>
      <c r="S835" s="29" t="s">
        <v>45</v>
      </c>
      <c r="T835" s="4" t="s">
        <v>2885</v>
      </c>
    </row>
    <row r="836" spans="2:20" ht="28.8">
      <c r="B836" s="17" t="s">
        <v>2886</v>
      </c>
      <c r="C836" s="17" t="s">
        <v>2887</v>
      </c>
      <c r="D836" s="61" t="s">
        <v>2888</v>
      </c>
      <c r="E836" t="s">
        <v>33</v>
      </c>
      <c r="F836" s="97" t="s">
        <v>2889</v>
      </c>
      <c r="G836" s="97" t="s">
        <v>2890</v>
      </c>
      <c r="H836" s="5" t="s">
        <v>2891</v>
      </c>
      <c r="I836" s="117" t="s">
        <v>2892</v>
      </c>
      <c r="J836" s="29" t="s">
        <v>48</v>
      </c>
      <c r="K836" s="97" t="s">
        <v>2893</v>
      </c>
      <c r="L836" t="s">
        <v>40</v>
      </c>
      <c r="M836" s="16" t="s">
        <v>2806</v>
      </c>
      <c r="N836" s="3" t="str">
        <f t="shared" si="39"/>
        <v>1  Year</v>
      </c>
      <c r="O836" t="s">
        <v>42</v>
      </c>
      <c r="P836" t="s">
        <v>2778</v>
      </c>
      <c r="Q836">
        <v>2026</v>
      </c>
      <c r="R836" s="29" t="s">
        <v>1981</v>
      </c>
      <c r="S836" s="29" t="s">
        <v>45</v>
      </c>
      <c r="T836" s="4" t="s">
        <v>2894</v>
      </c>
    </row>
    <row r="837" spans="2:20" ht="93">
      <c r="B837" s="17" t="s">
        <v>2259</v>
      </c>
      <c r="C837" s="17" t="s">
        <v>823</v>
      </c>
      <c r="D837" s="61" t="s">
        <v>2895</v>
      </c>
      <c r="E837" t="s">
        <v>33</v>
      </c>
      <c r="F837" s="70" t="s">
        <v>825</v>
      </c>
      <c r="G837" s="48" t="s">
        <v>2241</v>
      </c>
      <c r="H837" s="5" t="s">
        <v>2242</v>
      </c>
      <c r="I837" s="116" t="s">
        <v>2243</v>
      </c>
      <c r="J837" s="29" t="s">
        <v>92</v>
      </c>
      <c r="K837" s="97" t="s">
        <v>2896</v>
      </c>
      <c r="L837" t="s">
        <v>90</v>
      </c>
      <c r="M837" s="16" t="s">
        <v>2806</v>
      </c>
      <c r="N837" s="3" t="str">
        <f t="shared" ref="N837:N842" si="40">IF(L837="New","1  Year",IF(L837="Promotional","15 Weeks",IF(L837="Revalidation","2 Years","")))</f>
        <v>2 Years</v>
      </c>
      <c r="O837" t="s">
        <v>42</v>
      </c>
      <c r="P837" t="s">
        <v>2778</v>
      </c>
      <c r="Q837">
        <v>2026</v>
      </c>
      <c r="R837" s="29" t="s">
        <v>44</v>
      </c>
      <c r="S837" s="29" t="s">
        <v>2250</v>
      </c>
      <c r="T837" s="4" t="s">
        <v>2897</v>
      </c>
    </row>
    <row r="838" spans="2:20" ht="171.6">
      <c r="B838" s="17" t="s">
        <v>2898</v>
      </c>
      <c r="C838" s="17" t="s">
        <v>2774</v>
      </c>
      <c r="D838" s="59" t="s">
        <v>2899</v>
      </c>
      <c r="E838" t="s">
        <v>52</v>
      </c>
      <c r="F838" s="68" t="s">
        <v>120</v>
      </c>
      <c r="G838" s="48" t="s">
        <v>121</v>
      </c>
      <c r="H838" s="5" t="s">
        <v>122</v>
      </c>
      <c r="I838" s="117" t="s">
        <v>1956</v>
      </c>
      <c r="J838" s="29" t="s">
        <v>124</v>
      </c>
      <c r="K838" s="97" t="s">
        <v>2900</v>
      </c>
      <c r="L838" t="s">
        <v>40</v>
      </c>
      <c r="M838" s="16" t="s">
        <v>2806</v>
      </c>
      <c r="N838" s="3" t="str">
        <f t="shared" si="40"/>
        <v>1  Year</v>
      </c>
      <c r="O838" t="s">
        <v>42</v>
      </c>
      <c r="P838" t="s">
        <v>2778</v>
      </c>
      <c r="Q838">
        <v>2026</v>
      </c>
      <c r="R838" s="29" t="s">
        <v>1981</v>
      </c>
      <c r="S838" s="29" t="s">
        <v>45</v>
      </c>
      <c r="T838" s="4" t="s">
        <v>2901</v>
      </c>
    </row>
    <row r="839" spans="2:20">
      <c r="B839" s="17" t="s">
        <v>2902</v>
      </c>
      <c r="C839" s="17" t="s">
        <v>2903</v>
      </c>
      <c r="D839" s="17">
        <v>1</v>
      </c>
      <c r="E839" t="s">
        <v>33</v>
      </c>
      <c r="F839" s="97" t="s">
        <v>2904</v>
      </c>
      <c r="G839" s="97" t="s">
        <v>2905</v>
      </c>
      <c r="H839" s="5" t="s">
        <v>1555</v>
      </c>
      <c r="I839" s="117" t="s">
        <v>2906</v>
      </c>
      <c r="J839" s="29" t="s">
        <v>57</v>
      </c>
      <c r="K839" s="97" t="s">
        <v>2907</v>
      </c>
      <c r="L839" t="s">
        <v>40</v>
      </c>
      <c r="M839" s="16" t="s">
        <v>2806</v>
      </c>
      <c r="N839" s="3" t="str">
        <f t="shared" si="40"/>
        <v>1  Year</v>
      </c>
      <c r="O839" t="s">
        <v>42</v>
      </c>
      <c r="P839" t="s">
        <v>2778</v>
      </c>
      <c r="Q839">
        <v>2026</v>
      </c>
      <c r="R839" s="29" t="s">
        <v>44</v>
      </c>
      <c r="S839" s="29" t="s">
        <v>45</v>
      </c>
      <c r="T839" s="4" t="s">
        <v>2908</v>
      </c>
    </row>
    <row r="840" spans="2:20" ht="31.8">
      <c r="B840" s="17" t="s">
        <v>2909</v>
      </c>
      <c r="C840" s="17" t="s">
        <v>2910</v>
      </c>
      <c r="D840" s="17" t="s">
        <v>2911</v>
      </c>
      <c r="E840" s="17" t="s">
        <v>52</v>
      </c>
      <c r="F840" s="68" t="s">
        <v>53</v>
      </c>
      <c r="G840" s="48" t="s">
        <v>54</v>
      </c>
      <c r="H840" s="5" t="s">
        <v>55</v>
      </c>
      <c r="I840" s="117" t="s">
        <v>56</v>
      </c>
      <c r="K840" s="97" t="s">
        <v>2912</v>
      </c>
      <c r="L840" t="s">
        <v>40</v>
      </c>
      <c r="M840" s="16" t="s">
        <v>2806</v>
      </c>
      <c r="N840" s="3" t="str">
        <f t="shared" si="40"/>
        <v>1  Year</v>
      </c>
      <c r="O840" t="s">
        <v>42</v>
      </c>
      <c r="P840" t="s">
        <v>2778</v>
      </c>
      <c r="Q840">
        <v>2026</v>
      </c>
      <c r="R840" s="29" t="s">
        <v>44</v>
      </c>
      <c r="S840" s="29" t="s">
        <v>45</v>
      </c>
      <c r="T840" s="4" t="s">
        <v>2913</v>
      </c>
    </row>
    <row r="841" spans="2:20" ht="31.8">
      <c r="B841" s="17" t="s">
        <v>2914</v>
      </c>
      <c r="C841" s="22" t="s">
        <v>2915</v>
      </c>
      <c r="D841" s="17" t="s">
        <v>2911</v>
      </c>
      <c r="E841" t="s">
        <v>52</v>
      </c>
      <c r="F841" s="68" t="s">
        <v>53</v>
      </c>
      <c r="G841" s="48" t="s">
        <v>54</v>
      </c>
      <c r="H841" s="5" t="s">
        <v>55</v>
      </c>
      <c r="I841" s="117" t="s">
        <v>56</v>
      </c>
      <c r="K841" s="97" t="s">
        <v>2912</v>
      </c>
      <c r="L841" t="s">
        <v>40</v>
      </c>
      <c r="M841" s="16" t="s">
        <v>2806</v>
      </c>
      <c r="N841" s="3" t="str">
        <f t="shared" si="40"/>
        <v>1  Year</v>
      </c>
      <c r="O841" t="s">
        <v>42</v>
      </c>
      <c r="P841" t="s">
        <v>2778</v>
      </c>
      <c r="Q841">
        <v>2026</v>
      </c>
      <c r="R841" s="29" t="s">
        <v>44</v>
      </c>
      <c r="S841" s="29" t="s">
        <v>45</v>
      </c>
      <c r="T841" s="4" t="s">
        <v>2913</v>
      </c>
    </row>
    <row r="842" spans="2:20" ht="171.6">
      <c r="B842" s="17" t="s">
        <v>2898</v>
      </c>
      <c r="C842" s="17" t="s">
        <v>2774</v>
      </c>
      <c r="D842" s="59" t="s">
        <v>2899</v>
      </c>
      <c r="E842" t="s">
        <v>52</v>
      </c>
      <c r="F842" s="68" t="s">
        <v>120</v>
      </c>
      <c r="G842" s="48" t="s">
        <v>121</v>
      </c>
      <c r="H842" s="5" t="s">
        <v>122</v>
      </c>
      <c r="I842" s="117" t="s">
        <v>1956</v>
      </c>
      <c r="J842" s="29" t="s">
        <v>1081</v>
      </c>
      <c r="K842" s="97" t="s">
        <v>2916</v>
      </c>
      <c r="L842" t="s">
        <v>40</v>
      </c>
      <c r="M842" s="16" t="s">
        <v>2806</v>
      </c>
      <c r="N842" s="3" t="str">
        <f t="shared" si="40"/>
        <v>1  Year</v>
      </c>
      <c r="O842" t="s">
        <v>42</v>
      </c>
      <c r="P842" t="s">
        <v>2778</v>
      </c>
      <c r="Q842">
        <v>2026</v>
      </c>
      <c r="R842" s="29" t="s">
        <v>1981</v>
      </c>
      <c r="S842" s="29" t="s">
        <v>45</v>
      </c>
      <c r="T842" s="4" t="s">
        <v>2917</v>
      </c>
    </row>
    <row r="843" spans="2:20" ht="28.8">
      <c r="B843" s="17" t="s">
        <v>2918</v>
      </c>
      <c r="C843" s="17" t="s">
        <v>2919</v>
      </c>
      <c r="D843" s="17" t="s">
        <v>2920</v>
      </c>
      <c r="E843" s="17" t="s">
        <v>182</v>
      </c>
      <c r="F843" s="97" t="s">
        <v>2019</v>
      </c>
      <c r="G843" s="97" t="s">
        <v>2921</v>
      </c>
      <c r="H843" s="5" t="s">
        <v>2922</v>
      </c>
      <c r="I843" s="117" t="s">
        <v>2923</v>
      </c>
      <c r="J843" s="29" t="s">
        <v>145</v>
      </c>
      <c r="K843" s="97" t="s">
        <v>2924</v>
      </c>
      <c r="L843" t="s">
        <v>40</v>
      </c>
      <c r="M843" s="16" t="s">
        <v>2806</v>
      </c>
      <c r="N843" s="3" t="str">
        <f t="shared" ref="N843" si="41">IF(L843="New","1  Year",IF(L843="Promotional","15 Weeks",IF(L843="Revalidation","2 Years","")))</f>
        <v>1  Year</v>
      </c>
      <c r="O843" t="s">
        <v>1910</v>
      </c>
      <c r="P843" t="s">
        <v>2778</v>
      </c>
      <c r="Q843">
        <v>2026</v>
      </c>
      <c r="R843" s="29" t="s">
        <v>1981</v>
      </c>
      <c r="S843" s="29" t="s">
        <v>45</v>
      </c>
      <c r="T843" s="4" t="s">
        <v>2925</v>
      </c>
    </row>
    <row r="844" spans="2:20" ht="28.8">
      <c r="B844" s="17" t="s">
        <v>2918</v>
      </c>
      <c r="C844" s="17" t="s">
        <v>2919</v>
      </c>
      <c r="D844" s="17" t="s">
        <v>2920</v>
      </c>
      <c r="E844" s="17" t="s">
        <v>182</v>
      </c>
      <c r="F844" s="97" t="s">
        <v>2019</v>
      </c>
      <c r="G844" s="97" t="s">
        <v>2921</v>
      </c>
      <c r="H844" s="5" t="s">
        <v>2922</v>
      </c>
      <c r="I844" s="117" t="s">
        <v>2923</v>
      </c>
      <c r="J844" s="29" t="s">
        <v>48</v>
      </c>
      <c r="K844" s="97" t="s">
        <v>2924</v>
      </c>
      <c r="L844" t="s">
        <v>40</v>
      </c>
      <c r="M844" s="16" t="s">
        <v>2806</v>
      </c>
      <c r="N844" s="3" t="str">
        <f t="shared" ref="N844" si="42">IF(L844="New","1  Year",IF(L844="Promotional","15 Weeks",IF(L844="Revalidation","2 Years","")))</f>
        <v>1  Year</v>
      </c>
      <c r="O844" t="s">
        <v>1910</v>
      </c>
      <c r="P844" t="s">
        <v>2778</v>
      </c>
      <c r="Q844">
        <v>2026</v>
      </c>
      <c r="R844" s="29" t="s">
        <v>1981</v>
      </c>
      <c r="S844" s="29" t="s">
        <v>45</v>
      </c>
      <c r="T844" s="4" t="s">
        <v>2925</v>
      </c>
    </row>
    <row r="845" spans="2:20" ht="31.8">
      <c r="B845" s="17" t="s">
        <v>2926</v>
      </c>
      <c r="C845" s="17" t="s">
        <v>1898</v>
      </c>
      <c r="D845" s="17" t="s">
        <v>1899</v>
      </c>
      <c r="E845" s="17" t="s">
        <v>33</v>
      </c>
      <c r="F845" s="68" t="s">
        <v>1581</v>
      </c>
      <c r="G845" s="48" t="s">
        <v>1900</v>
      </c>
      <c r="H845" s="5" t="s">
        <v>2927</v>
      </c>
      <c r="I845" s="117" t="s">
        <v>2928</v>
      </c>
      <c r="J845" s="29" t="s">
        <v>48</v>
      </c>
      <c r="K845" s="97" t="s">
        <v>2929</v>
      </c>
      <c r="L845" t="s">
        <v>40</v>
      </c>
      <c r="M845" s="16" t="s">
        <v>2806</v>
      </c>
      <c r="N845" s="3" t="str">
        <f t="shared" ref="N845" si="43">IF(L845="New","1  Year",IF(L845="Promotional","15 Weeks",IF(L845="Revalidation","2 Years","")))</f>
        <v>1  Year</v>
      </c>
      <c r="O845" t="s">
        <v>42</v>
      </c>
      <c r="P845" t="s">
        <v>2778</v>
      </c>
      <c r="Q845">
        <v>2026</v>
      </c>
      <c r="R845" s="29" t="s">
        <v>44</v>
      </c>
      <c r="S845" s="29" t="s">
        <v>45</v>
      </c>
      <c r="T845" s="4" t="s">
        <v>2930</v>
      </c>
    </row>
    <row r="846" spans="2:20" ht="31.8">
      <c r="B846" s="17" t="s">
        <v>2926</v>
      </c>
      <c r="C846" s="17" t="s">
        <v>1898</v>
      </c>
      <c r="D846" s="17" t="s">
        <v>1899</v>
      </c>
      <c r="E846" s="17" t="s">
        <v>33</v>
      </c>
      <c r="F846" s="68" t="s">
        <v>1581</v>
      </c>
      <c r="G846" s="48" t="s">
        <v>1900</v>
      </c>
      <c r="H846" s="5" t="s">
        <v>2927</v>
      </c>
      <c r="I846" s="117" t="s">
        <v>2928</v>
      </c>
      <c r="J846" s="29" t="s">
        <v>145</v>
      </c>
      <c r="K846" s="97" t="s">
        <v>2929</v>
      </c>
      <c r="L846" t="s">
        <v>40</v>
      </c>
      <c r="M846" s="16" t="s">
        <v>2806</v>
      </c>
      <c r="N846" s="3" t="str">
        <f t="shared" ref="N846:N847" si="44">IF(L846="New","1  Year",IF(L846="Promotional","15 Weeks",IF(L846="Revalidation","2 Years","")))</f>
        <v>1  Year</v>
      </c>
      <c r="O846" t="s">
        <v>42</v>
      </c>
      <c r="P846" t="s">
        <v>2778</v>
      </c>
      <c r="Q846">
        <v>2026</v>
      </c>
      <c r="R846" s="29" t="s">
        <v>44</v>
      </c>
      <c r="S846" s="29" t="s">
        <v>45</v>
      </c>
      <c r="T846" s="4" t="s">
        <v>2930</v>
      </c>
    </row>
    <row r="847" spans="2:20" ht="171.6">
      <c r="B847" s="17" t="s">
        <v>2898</v>
      </c>
      <c r="C847" s="17" t="s">
        <v>2774</v>
      </c>
      <c r="D847" s="59" t="s">
        <v>2899</v>
      </c>
      <c r="E847" t="s">
        <v>52</v>
      </c>
      <c r="F847" s="68" t="s">
        <v>120</v>
      </c>
      <c r="G847" s="48" t="s">
        <v>121</v>
      </c>
      <c r="H847" s="5" t="s">
        <v>122</v>
      </c>
      <c r="I847" s="117" t="s">
        <v>1956</v>
      </c>
      <c r="J847" s="29" t="s">
        <v>57</v>
      </c>
      <c r="K847" s="97" t="s">
        <v>2931</v>
      </c>
      <c r="L847" t="s">
        <v>40</v>
      </c>
      <c r="M847" s="16" t="s">
        <v>2806</v>
      </c>
      <c r="N847" s="3" t="str">
        <f t="shared" si="44"/>
        <v>1  Year</v>
      </c>
      <c r="O847" t="s">
        <v>42</v>
      </c>
      <c r="P847" t="s">
        <v>2778</v>
      </c>
      <c r="Q847">
        <v>2026</v>
      </c>
      <c r="R847" s="29" t="s">
        <v>1981</v>
      </c>
      <c r="S847" s="29" t="s">
        <v>45</v>
      </c>
      <c r="T847" s="4" t="s">
        <v>2932</v>
      </c>
    </row>
    <row r="848" spans="2:20" ht="171.6">
      <c r="B848" s="17" t="s">
        <v>2898</v>
      </c>
      <c r="C848" s="17" t="s">
        <v>2774</v>
      </c>
      <c r="D848" s="59" t="s">
        <v>2899</v>
      </c>
      <c r="E848" t="s">
        <v>52</v>
      </c>
      <c r="F848" s="68" t="s">
        <v>120</v>
      </c>
      <c r="G848" s="48" t="s">
        <v>121</v>
      </c>
      <c r="H848" s="5" t="s">
        <v>122</v>
      </c>
      <c r="I848" s="117" t="s">
        <v>1956</v>
      </c>
      <c r="J848" s="29" t="s">
        <v>159</v>
      </c>
      <c r="K848" s="97" t="s">
        <v>2931</v>
      </c>
      <c r="L848" t="s">
        <v>40</v>
      </c>
      <c r="M848" s="16" t="s">
        <v>2806</v>
      </c>
      <c r="N848" s="3" t="str">
        <f t="shared" ref="N848" si="45">IF(L848="New","1  Year",IF(L848="Promotional","15 Weeks",IF(L848="Revalidation","2 Years","")))</f>
        <v>1  Year</v>
      </c>
      <c r="O848" t="s">
        <v>42</v>
      </c>
      <c r="P848" t="s">
        <v>2778</v>
      </c>
      <c r="Q848">
        <v>2026</v>
      </c>
      <c r="R848" s="29" t="s">
        <v>1981</v>
      </c>
      <c r="S848" s="29" t="s">
        <v>45</v>
      </c>
      <c r="T848" s="4" t="s">
        <v>2932</v>
      </c>
    </row>
    <row r="849" spans="2:20" ht="171.6">
      <c r="B849" s="17" t="s">
        <v>2898</v>
      </c>
      <c r="C849" s="17" t="s">
        <v>2774</v>
      </c>
      <c r="D849" s="59" t="s">
        <v>2899</v>
      </c>
      <c r="E849" t="s">
        <v>52</v>
      </c>
      <c r="F849" s="68" t="s">
        <v>120</v>
      </c>
      <c r="G849" s="48" t="s">
        <v>121</v>
      </c>
      <c r="H849" s="5" t="s">
        <v>122</v>
      </c>
      <c r="I849" s="117" t="s">
        <v>1956</v>
      </c>
      <c r="J849" s="29" t="s">
        <v>1081</v>
      </c>
      <c r="K849" s="97" t="s">
        <v>2933</v>
      </c>
      <c r="L849" t="s">
        <v>40</v>
      </c>
      <c r="M849" s="16" t="s">
        <v>2806</v>
      </c>
      <c r="N849" s="3" t="str">
        <f t="shared" ref="N849" si="46">IF(L849="New","1  Year",IF(L849="Promotional","15 Weeks",IF(L849="Revalidation","2 Years","")))</f>
        <v>1  Year</v>
      </c>
      <c r="O849" t="s">
        <v>42</v>
      </c>
      <c r="P849" t="s">
        <v>2778</v>
      </c>
      <c r="Q849">
        <v>2026</v>
      </c>
      <c r="R849" s="29" t="s">
        <v>1981</v>
      </c>
      <c r="S849" s="29" t="s">
        <v>45</v>
      </c>
      <c r="T849" s="4" t="s">
        <v>2934</v>
      </c>
    </row>
    <row r="850" spans="2:20" ht="171.6">
      <c r="B850" s="17" t="s">
        <v>2898</v>
      </c>
      <c r="C850" s="17" t="s">
        <v>2774</v>
      </c>
      <c r="D850" s="59" t="s">
        <v>2899</v>
      </c>
      <c r="E850" t="s">
        <v>52</v>
      </c>
      <c r="F850" s="68" t="s">
        <v>120</v>
      </c>
      <c r="G850" s="48" t="s">
        <v>121</v>
      </c>
      <c r="H850" s="5" t="s">
        <v>122</v>
      </c>
      <c r="I850" s="117" t="s">
        <v>1956</v>
      </c>
      <c r="J850" s="29" t="s">
        <v>57</v>
      </c>
      <c r="K850" s="97" t="s">
        <v>2933</v>
      </c>
      <c r="L850" t="s">
        <v>40</v>
      </c>
      <c r="M850" s="16" t="s">
        <v>2806</v>
      </c>
      <c r="N850" s="3" t="str">
        <f t="shared" ref="N850" si="47">IF(L850="New","1  Year",IF(L850="Promotional","15 Weeks",IF(L850="Revalidation","2 Years","")))</f>
        <v>1  Year</v>
      </c>
      <c r="O850" t="s">
        <v>42</v>
      </c>
      <c r="P850" t="s">
        <v>2778</v>
      </c>
      <c r="Q850">
        <v>2026</v>
      </c>
      <c r="R850" s="29" t="s">
        <v>1981</v>
      </c>
      <c r="S850" s="29" t="s">
        <v>45</v>
      </c>
      <c r="T850" s="4" t="s">
        <v>2934</v>
      </c>
    </row>
    <row r="851" spans="2:20" ht="72">
      <c r="B851" s="17" t="s">
        <v>2935</v>
      </c>
      <c r="C851" s="22" t="s">
        <v>2936</v>
      </c>
      <c r="D851" s="61" t="s">
        <v>2937</v>
      </c>
      <c r="E851" t="s">
        <v>33</v>
      </c>
      <c r="F851" s="97" t="s">
        <v>2938</v>
      </c>
      <c r="G851" s="97" t="s">
        <v>2939</v>
      </c>
      <c r="H851" s="5" t="s">
        <v>2940</v>
      </c>
      <c r="I851" s="117" t="s">
        <v>2941</v>
      </c>
      <c r="J851" s="29" t="s">
        <v>48</v>
      </c>
      <c r="K851" s="97" t="s">
        <v>2942</v>
      </c>
      <c r="L851" t="s">
        <v>40</v>
      </c>
      <c r="M851" s="16" t="s">
        <v>2806</v>
      </c>
      <c r="N851" s="3" t="str">
        <f t="shared" ref="N851" si="48">IF(L851="New","1  Year",IF(L851="Promotional","15 Weeks",IF(L851="Revalidation","2 Years","")))</f>
        <v>1  Year</v>
      </c>
      <c r="O851" t="s">
        <v>42</v>
      </c>
      <c r="P851" t="s">
        <v>2778</v>
      </c>
      <c r="Q851">
        <v>2026</v>
      </c>
      <c r="R851" s="29" t="s">
        <v>1981</v>
      </c>
      <c r="S851" s="29" t="s">
        <v>2943</v>
      </c>
      <c r="T851" s="4" t="s">
        <v>2944</v>
      </c>
    </row>
    <row r="852" spans="2:20" ht="72">
      <c r="B852" s="17" t="s">
        <v>2935</v>
      </c>
      <c r="C852" s="22" t="s">
        <v>2936</v>
      </c>
      <c r="D852" s="61" t="s">
        <v>2937</v>
      </c>
      <c r="E852" t="s">
        <v>33</v>
      </c>
      <c r="F852" s="97" t="s">
        <v>2938</v>
      </c>
      <c r="G852" s="97" t="s">
        <v>2939</v>
      </c>
      <c r="H852" s="5" t="s">
        <v>2940</v>
      </c>
      <c r="I852" s="117" t="s">
        <v>2941</v>
      </c>
      <c r="J852" s="29" t="s">
        <v>88</v>
      </c>
      <c r="K852" s="97" t="s">
        <v>2942</v>
      </c>
      <c r="L852" t="s">
        <v>40</v>
      </c>
      <c r="M852" s="16" t="s">
        <v>2806</v>
      </c>
      <c r="N852" s="3" t="str">
        <f t="shared" ref="N852:N853" si="49">IF(L852="New","1  Year",IF(L852="Promotional","15 Weeks",IF(L852="Revalidation","2 Years","")))</f>
        <v>1  Year</v>
      </c>
      <c r="O852" t="s">
        <v>42</v>
      </c>
      <c r="P852" t="s">
        <v>2778</v>
      </c>
      <c r="Q852">
        <v>2026</v>
      </c>
      <c r="R852" s="29" t="s">
        <v>1981</v>
      </c>
      <c r="S852" s="29" t="s">
        <v>2943</v>
      </c>
      <c r="T852" s="4" t="s">
        <v>2944</v>
      </c>
    </row>
    <row r="853" spans="2:20" ht="72">
      <c r="B853" s="17" t="s">
        <v>2935</v>
      </c>
      <c r="C853" s="22" t="s">
        <v>2936</v>
      </c>
      <c r="D853" s="61" t="s">
        <v>2937</v>
      </c>
      <c r="E853" t="s">
        <v>33</v>
      </c>
      <c r="F853" s="97" t="s">
        <v>2938</v>
      </c>
      <c r="G853" s="97" t="s">
        <v>2939</v>
      </c>
      <c r="H853" s="5" t="s">
        <v>2940</v>
      </c>
      <c r="I853" s="117" t="s">
        <v>2941</v>
      </c>
      <c r="J853" s="29" t="s">
        <v>92</v>
      </c>
      <c r="K853" s="97" t="s">
        <v>2942</v>
      </c>
      <c r="L853" t="s">
        <v>40</v>
      </c>
      <c r="M853" s="16" t="s">
        <v>2806</v>
      </c>
      <c r="N853" s="3" t="str">
        <f t="shared" si="49"/>
        <v>1  Year</v>
      </c>
      <c r="O853" t="s">
        <v>42</v>
      </c>
      <c r="P853" t="s">
        <v>2778</v>
      </c>
      <c r="Q853">
        <v>2026</v>
      </c>
      <c r="R853" s="29" t="s">
        <v>1981</v>
      </c>
      <c r="S853" s="29" t="s">
        <v>2943</v>
      </c>
      <c r="T853" s="4" t="s">
        <v>2944</v>
      </c>
    </row>
    <row r="854" spans="2:20" ht="57.6">
      <c r="B854" s="17" t="s">
        <v>2945</v>
      </c>
      <c r="C854" s="22" t="s">
        <v>2946</v>
      </c>
      <c r="D854" s="61" t="s">
        <v>2947</v>
      </c>
      <c r="E854" t="s">
        <v>182</v>
      </c>
      <c r="F854" s="68" t="s">
        <v>966</v>
      </c>
      <c r="G854" s="48" t="s">
        <v>2948</v>
      </c>
      <c r="H854" s="5" t="s">
        <v>2949</v>
      </c>
      <c r="I854" s="117" t="s">
        <v>1474</v>
      </c>
      <c r="J854" s="29" t="s">
        <v>92</v>
      </c>
      <c r="K854" s="97" t="s">
        <v>2950</v>
      </c>
      <c r="L854" t="s">
        <v>40</v>
      </c>
      <c r="M854" s="16" t="s">
        <v>2806</v>
      </c>
      <c r="N854" s="3" t="str">
        <f t="shared" ref="N854" si="50">IF(L854="New","1  Year",IF(L854="Promotional","15 Weeks",IF(L854="Revalidation","2 Years","")))</f>
        <v>1  Year</v>
      </c>
      <c r="O854" t="s">
        <v>1910</v>
      </c>
      <c r="P854" t="s">
        <v>2778</v>
      </c>
      <c r="Q854">
        <v>2026</v>
      </c>
      <c r="R854" s="29" t="s">
        <v>1981</v>
      </c>
      <c r="S854" s="29" t="s">
        <v>356</v>
      </c>
      <c r="T854" s="4" t="s">
        <v>2951</v>
      </c>
    </row>
    <row r="855" spans="2:20" ht="28.8">
      <c r="C855" s="22" t="s">
        <v>2952</v>
      </c>
      <c r="D855" s="52" t="s">
        <v>2705</v>
      </c>
      <c r="E855" t="s">
        <v>182</v>
      </c>
      <c r="F855" s="68" t="s">
        <v>2953</v>
      </c>
      <c r="G855" s="48" t="s">
        <v>2954</v>
      </c>
      <c r="H855" s="5" t="s">
        <v>1680</v>
      </c>
      <c r="I855" s="117" t="s">
        <v>1681</v>
      </c>
      <c r="J855" s="29" t="s">
        <v>48</v>
      </c>
      <c r="K855" s="29" t="s">
        <v>2955</v>
      </c>
      <c r="L855" t="s">
        <v>2530</v>
      </c>
      <c r="M855" s="16" t="s">
        <v>2806</v>
      </c>
      <c r="N855" s="3" t="str">
        <f t="shared" si="37"/>
        <v>1  Year</v>
      </c>
      <c r="O855" t="s">
        <v>1520</v>
      </c>
      <c r="P855" t="s">
        <v>2778</v>
      </c>
      <c r="Q855">
        <v>2026</v>
      </c>
      <c r="R855" s="29" t="s">
        <v>44</v>
      </c>
      <c r="S855" s="29" t="s">
        <v>45</v>
      </c>
      <c r="T855" s="4" t="s">
        <v>2956</v>
      </c>
    </row>
    <row r="856" spans="2:20" ht="28.8">
      <c r="C856" s="22" t="s">
        <v>2952</v>
      </c>
      <c r="D856" s="52" t="s">
        <v>2705</v>
      </c>
      <c r="E856" t="s">
        <v>182</v>
      </c>
      <c r="F856" s="68" t="s">
        <v>2953</v>
      </c>
      <c r="G856" s="48" t="s">
        <v>2954</v>
      </c>
      <c r="H856" s="5" t="s">
        <v>1680</v>
      </c>
      <c r="I856" s="117" t="s">
        <v>1681</v>
      </c>
      <c r="J856" s="29" t="s">
        <v>145</v>
      </c>
      <c r="K856" s="29" t="s">
        <v>2955</v>
      </c>
      <c r="L856" t="s">
        <v>2530</v>
      </c>
      <c r="M856" s="16" t="s">
        <v>2806</v>
      </c>
      <c r="N856" s="3" t="str">
        <f t="shared" si="37"/>
        <v>1  Year</v>
      </c>
      <c r="O856" t="s">
        <v>1520</v>
      </c>
      <c r="P856" t="s">
        <v>2778</v>
      </c>
      <c r="Q856">
        <v>2026</v>
      </c>
      <c r="R856" s="29" t="s">
        <v>44</v>
      </c>
      <c r="S856" s="29" t="s">
        <v>45</v>
      </c>
      <c r="T856" s="4" t="s">
        <v>2956</v>
      </c>
    </row>
    <row r="857" spans="2:20" ht="43.2">
      <c r="B857" t="s">
        <v>2957</v>
      </c>
      <c r="C857" s="22" t="s">
        <v>2958</v>
      </c>
      <c r="D857" s="52" t="s">
        <v>2959</v>
      </c>
      <c r="E857" t="s">
        <v>182</v>
      </c>
      <c r="F857" s="68" t="s">
        <v>1678</v>
      </c>
      <c r="G857" s="48" t="s">
        <v>2960</v>
      </c>
      <c r="H857" s="5" t="s">
        <v>1680</v>
      </c>
      <c r="I857" s="117" t="s">
        <v>1681</v>
      </c>
      <c r="J857" s="29" t="s">
        <v>48</v>
      </c>
      <c r="K857" s="29" t="s">
        <v>2961</v>
      </c>
      <c r="L857" t="s">
        <v>2530</v>
      </c>
      <c r="M857" s="16" t="s">
        <v>2806</v>
      </c>
      <c r="N857" s="3" t="str">
        <f t="shared" si="37"/>
        <v>1  Year</v>
      </c>
      <c r="O857" t="s">
        <v>1520</v>
      </c>
      <c r="P857" t="s">
        <v>2778</v>
      </c>
      <c r="Q857">
        <v>2026</v>
      </c>
      <c r="R857" s="29" t="s">
        <v>44</v>
      </c>
      <c r="S857" s="37" t="s">
        <v>45</v>
      </c>
      <c r="T857" s="4" t="s">
        <v>2962</v>
      </c>
    </row>
    <row r="858" spans="2:20" ht="43.2">
      <c r="B858" t="s">
        <v>2963</v>
      </c>
      <c r="C858" s="22" t="s">
        <v>2958</v>
      </c>
      <c r="D858" s="52" t="s">
        <v>2959</v>
      </c>
      <c r="E858" t="s">
        <v>182</v>
      </c>
      <c r="F858" s="68" t="s">
        <v>1678</v>
      </c>
      <c r="G858" s="48" t="s">
        <v>2960</v>
      </c>
      <c r="H858" s="5" t="s">
        <v>1680</v>
      </c>
      <c r="I858" s="117" t="s">
        <v>1681</v>
      </c>
      <c r="J858" s="29" t="s">
        <v>145</v>
      </c>
      <c r="K858" s="29" t="s">
        <v>2961</v>
      </c>
      <c r="L858" t="s">
        <v>2530</v>
      </c>
      <c r="M858" s="16" t="s">
        <v>2806</v>
      </c>
      <c r="N858" s="3" t="str">
        <f t="shared" si="37"/>
        <v>1  Year</v>
      </c>
      <c r="O858" t="s">
        <v>1520</v>
      </c>
      <c r="P858" t="s">
        <v>2778</v>
      </c>
      <c r="Q858">
        <v>2026</v>
      </c>
      <c r="R858" s="29" t="s">
        <v>44</v>
      </c>
      <c r="S858" s="37" t="s">
        <v>45</v>
      </c>
      <c r="T858" s="4" t="s">
        <v>2962</v>
      </c>
    </row>
    <row r="859" spans="2:20" ht="28.8">
      <c r="B859" t="s">
        <v>2964</v>
      </c>
      <c r="C859" s="22" t="s">
        <v>2965</v>
      </c>
      <c r="D859" s="52" t="s">
        <v>2959</v>
      </c>
      <c r="E859" t="s">
        <v>182</v>
      </c>
      <c r="F859" s="68" t="s">
        <v>1678</v>
      </c>
      <c r="G859" s="48" t="s">
        <v>2954</v>
      </c>
      <c r="H859" s="5" t="s">
        <v>1680</v>
      </c>
      <c r="I859" s="117" t="s">
        <v>1681</v>
      </c>
      <c r="J859" s="29" t="s">
        <v>48</v>
      </c>
      <c r="K859" s="29" t="s">
        <v>2966</v>
      </c>
      <c r="L859" t="s">
        <v>2530</v>
      </c>
      <c r="M859" s="16" t="s">
        <v>2806</v>
      </c>
      <c r="N859" s="3" t="str">
        <f t="shared" si="37"/>
        <v>1  Year</v>
      </c>
      <c r="O859" t="s">
        <v>1520</v>
      </c>
      <c r="P859" t="s">
        <v>2778</v>
      </c>
      <c r="Q859">
        <v>2026</v>
      </c>
      <c r="R859" s="29" t="s">
        <v>44</v>
      </c>
      <c r="S859" s="37" t="s">
        <v>45</v>
      </c>
      <c r="T859" s="4" t="s">
        <v>2967</v>
      </c>
    </row>
    <row r="860" spans="2:20" ht="28.8">
      <c r="B860" t="s">
        <v>2964</v>
      </c>
      <c r="C860" s="22" t="s">
        <v>2965</v>
      </c>
      <c r="D860" s="52" t="s">
        <v>2959</v>
      </c>
      <c r="E860" t="s">
        <v>182</v>
      </c>
      <c r="F860" s="68" t="s">
        <v>1678</v>
      </c>
      <c r="G860" s="48" t="s">
        <v>2960</v>
      </c>
      <c r="H860" s="5" t="s">
        <v>1680</v>
      </c>
      <c r="I860" s="117" t="s">
        <v>1681</v>
      </c>
      <c r="J860" s="29" t="s">
        <v>145</v>
      </c>
      <c r="K860" s="29" t="s">
        <v>2966</v>
      </c>
      <c r="L860" t="s">
        <v>2530</v>
      </c>
      <c r="M860" s="16" t="s">
        <v>2806</v>
      </c>
      <c r="N860" s="3" t="str">
        <f t="shared" si="37"/>
        <v>1  Year</v>
      </c>
      <c r="O860" t="s">
        <v>1520</v>
      </c>
      <c r="P860" t="s">
        <v>2778</v>
      </c>
      <c r="Q860">
        <v>2026</v>
      </c>
      <c r="R860" s="29" t="s">
        <v>44</v>
      </c>
      <c r="S860" s="29" t="s">
        <v>45</v>
      </c>
      <c r="T860" s="4" t="s">
        <v>2967</v>
      </c>
    </row>
    <row r="861" spans="2:20" ht="28.8">
      <c r="B861" t="s">
        <v>2968</v>
      </c>
      <c r="C861" s="22" t="s">
        <v>131</v>
      </c>
      <c r="D861" s="52" t="s">
        <v>2969</v>
      </c>
      <c r="E861" t="s">
        <v>52</v>
      </c>
      <c r="F861" s="68" t="s">
        <v>1796</v>
      </c>
      <c r="G861" s="48" t="s">
        <v>2970</v>
      </c>
      <c r="H861" s="5" t="s">
        <v>122</v>
      </c>
      <c r="I861" s="117" t="s">
        <v>2971</v>
      </c>
      <c r="J861" s="29" t="s">
        <v>57</v>
      </c>
      <c r="K861" s="29" t="s">
        <v>2972</v>
      </c>
      <c r="L861" t="s">
        <v>2530</v>
      </c>
      <c r="M861" s="16" t="s">
        <v>2806</v>
      </c>
      <c r="N861" s="3" t="str">
        <f t="shared" si="37"/>
        <v>1  Year</v>
      </c>
      <c r="O861" t="s">
        <v>42</v>
      </c>
      <c r="P861" t="s">
        <v>2778</v>
      </c>
      <c r="Q861">
        <v>2026</v>
      </c>
      <c r="S861" s="29" t="s">
        <v>45</v>
      </c>
      <c r="T861" s="4" t="s">
        <v>2973</v>
      </c>
    </row>
    <row r="862" spans="2:20" ht="28.8">
      <c r="B862" t="s">
        <v>2968</v>
      </c>
      <c r="C862" s="22" t="s">
        <v>131</v>
      </c>
      <c r="D862" s="52" t="s">
        <v>2969</v>
      </c>
      <c r="E862" t="s">
        <v>52</v>
      </c>
      <c r="F862" s="68" t="s">
        <v>1796</v>
      </c>
      <c r="G862" s="48" t="s">
        <v>2970</v>
      </c>
      <c r="H862" s="5" t="s">
        <v>122</v>
      </c>
      <c r="I862" s="117" t="s">
        <v>2971</v>
      </c>
      <c r="J862" s="29" t="s">
        <v>145</v>
      </c>
      <c r="K862" s="29" t="s">
        <v>2972</v>
      </c>
      <c r="L862" t="s">
        <v>2530</v>
      </c>
      <c r="M862" s="16" t="s">
        <v>2806</v>
      </c>
      <c r="N862" s="3" t="str">
        <f t="shared" si="37"/>
        <v>1  Year</v>
      </c>
      <c r="O862" t="s">
        <v>42</v>
      </c>
      <c r="P862" t="s">
        <v>2778</v>
      </c>
      <c r="Q862">
        <v>2026</v>
      </c>
      <c r="S862" s="29" t="s">
        <v>45</v>
      </c>
      <c r="T862" s="4" t="s">
        <v>2974</v>
      </c>
    </row>
    <row r="863" spans="2:20">
      <c r="G863" s="48" t="s">
        <v>2975</v>
      </c>
      <c r="H863" s="5"/>
      <c r="N863" s="3" t="str">
        <f t="shared" si="37"/>
        <v/>
      </c>
    </row>
    <row r="864" spans="2:20">
      <c r="N864" s="3" t="str">
        <f t="shared" si="37"/>
        <v/>
      </c>
    </row>
    <row r="865" spans="2:20" ht="43.2">
      <c r="B865" t="s">
        <v>2976</v>
      </c>
      <c r="C865" s="22" t="s">
        <v>2977</v>
      </c>
      <c r="D865" s="52" t="s">
        <v>2978</v>
      </c>
      <c r="E865" t="s">
        <v>33</v>
      </c>
      <c r="F865" s="68" t="s">
        <v>2979</v>
      </c>
      <c r="G865" s="48" t="s">
        <v>2980</v>
      </c>
      <c r="H865" s="5" t="s">
        <v>1374</v>
      </c>
      <c r="I865" s="117" t="s">
        <v>1375</v>
      </c>
      <c r="J865" s="29" t="s">
        <v>48</v>
      </c>
      <c r="K865" s="29" t="s">
        <v>2981</v>
      </c>
      <c r="L865" t="s">
        <v>2530</v>
      </c>
      <c r="M865" s="16" t="s">
        <v>2806</v>
      </c>
      <c r="N865" s="3" t="str">
        <f t="shared" si="37"/>
        <v>1  Year</v>
      </c>
      <c r="O865" t="s">
        <v>42</v>
      </c>
      <c r="P865" t="s">
        <v>2778</v>
      </c>
      <c r="Q865">
        <v>2026</v>
      </c>
      <c r="R865" s="29" t="s">
        <v>44</v>
      </c>
      <c r="S865" s="29" t="s">
        <v>2982</v>
      </c>
      <c r="T865" s="4" t="s">
        <v>2983</v>
      </c>
    </row>
    <row r="866" spans="2:20" ht="43.2">
      <c r="B866" t="s">
        <v>2976</v>
      </c>
      <c r="C866" s="22" t="s">
        <v>2977</v>
      </c>
      <c r="D866" s="52" t="s">
        <v>2984</v>
      </c>
      <c r="E866" t="s">
        <v>33</v>
      </c>
      <c r="F866" s="68" t="s">
        <v>2979</v>
      </c>
      <c r="G866" s="48" t="s">
        <v>2980</v>
      </c>
      <c r="H866" s="5" t="s">
        <v>1374</v>
      </c>
      <c r="I866" s="117" t="s">
        <v>1375</v>
      </c>
      <c r="J866" s="29" t="s">
        <v>88</v>
      </c>
      <c r="K866" s="29" t="s">
        <v>2981</v>
      </c>
      <c r="L866" t="s">
        <v>2530</v>
      </c>
      <c r="M866" s="16" t="s">
        <v>2806</v>
      </c>
      <c r="N866" s="3" t="str">
        <f t="shared" si="37"/>
        <v>1  Year</v>
      </c>
      <c r="O866" t="s">
        <v>42</v>
      </c>
      <c r="P866" t="s">
        <v>2778</v>
      </c>
      <c r="Q866">
        <v>2026</v>
      </c>
      <c r="R866" s="29" t="s">
        <v>44</v>
      </c>
      <c r="S866" s="29" t="s">
        <v>2982</v>
      </c>
      <c r="T866" s="4" t="s">
        <v>2983</v>
      </c>
    </row>
    <row r="867" spans="2:20" ht="43.2">
      <c r="B867" t="s">
        <v>2985</v>
      </c>
      <c r="C867" s="22" t="s">
        <v>2986</v>
      </c>
      <c r="D867" s="52" t="s">
        <v>2987</v>
      </c>
      <c r="E867" t="s">
        <v>33</v>
      </c>
      <c r="F867" s="68" t="s">
        <v>2979</v>
      </c>
      <c r="G867" s="48" t="s">
        <v>2980</v>
      </c>
      <c r="H867" s="5" t="s">
        <v>1374</v>
      </c>
      <c r="I867" s="117" t="s">
        <v>1375</v>
      </c>
      <c r="J867" s="29" t="s">
        <v>48</v>
      </c>
      <c r="K867" s="29" t="s">
        <v>2981</v>
      </c>
      <c r="L867" t="s">
        <v>2530</v>
      </c>
      <c r="M867" s="16" t="s">
        <v>2806</v>
      </c>
      <c r="N867" s="3" t="str">
        <f t="shared" si="37"/>
        <v>1  Year</v>
      </c>
      <c r="O867" t="s">
        <v>42</v>
      </c>
      <c r="P867" t="s">
        <v>2778</v>
      </c>
      <c r="Q867">
        <v>2026</v>
      </c>
      <c r="R867" s="29" t="s">
        <v>44</v>
      </c>
      <c r="S867" s="29" t="s">
        <v>2982</v>
      </c>
      <c r="T867" s="4" t="s">
        <v>2983</v>
      </c>
    </row>
    <row r="868" spans="2:20" ht="43.2">
      <c r="B868" t="s">
        <v>2985</v>
      </c>
      <c r="C868" s="22" t="s">
        <v>2986</v>
      </c>
      <c r="D868" s="52" t="s">
        <v>2987</v>
      </c>
      <c r="E868" t="s">
        <v>33</v>
      </c>
      <c r="F868" s="68" t="s">
        <v>2979</v>
      </c>
      <c r="G868" s="48" t="s">
        <v>2980</v>
      </c>
      <c r="H868" s="5" t="s">
        <v>2988</v>
      </c>
      <c r="I868" s="117" t="s">
        <v>1375</v>
      </c>
      <c r="J868" s="29" t="s">
        <v>88</v>
      </c>
      <c r="K868" s="29" t="s">
        <v>2981</v>
      </c>
      <c r="L868" t="s">
        <v>2530</v>
      </c>
      <c r="M868" s="16" t="s">
        <v>2806</v>
      </c>
      <c r="N868" s="3" t="str">
        <f t="shared" si="37"/>
        <v>1  Year</v>
      </c>
      <c r="O868" t="s">
        <v>42</v>
      </c>
      <c r="P868" t="s">
        <v>2778</v>
      </c>
      <c r="Q868">
        <v>2026</v>
      </c>
      <c r="R868" s="29" t="s">
        <v>44</v>
      </c>
      <c r="S868" s="29" t="s">
        <v>2982</v>
      </c>
      <c r="T868" s="4" t="s">
        <v>2983</v>
      </c>
    </row>
    <row r="869" spans="2:20" ht="43.2">
      <c r="B869" t="s">
        <v>2989</v>
      </c>
      <c r="C869" s="22" t="s">
        <v>2990</v>
      </c>
      <c r="D869" s="52" t="s">
        <v>2636</v>
      </c>
      <c r="E869" t="s">
        <v>33</v>
      </c>
      <c r="F869" s="68" t="s">
        <v>2979</v>
      </c>
      <c r="G869" s="48" t="s">
        <v>2980</v>
      </c>
      <c r="H869" s="5" t="s">
        <v>2988</v>
      </c>
      <c r="I869" s="117" t="s">
        <v>1375</v>
      </c>
      <c r="J869" s="29" t="s">
        <v>48</v>
      </c>
      <c r="K869" s="29" t="s">
        <v>2981</v>
      </c>
      <c r="L869" t="s">
        <v>2530</v>
      </c>
      <c r="M869" s="16" t="s">
        <v>2806</v>
      </c>
      <c r="N869" s="3" t="str">
        <f t="shared" si="37"/>
        <v>1  Year</v>
      </c>
      <c r="O869" t="s">
        <v>42</v>
      </c>
      <c r="P869" t="s">
        <v>2778</v>
      </c>
      <c r="Q869">
        <v>2026</v>
      </c>
      <c r="R869" s="29" t="s">
        <v>44</v>
      </c>
      <c r="S869" s="29" t="s">
        <v>2982</v>
      </c>
      <c r="T869" s="4" t="s">
        <v>2983</v>
      </c>
    </row>
    <row r="870" spans="2:20" ht="43.2">
      <c r="B870" t="s">
        <v>2989</v>
      </c>
      <c r="C870" s="22" t="s">
        <v>2990</v>
      </c>
      <c r="D870" s="52" t="s">
        <v>2636</v>
      </c>
      <c r="E870" t="s">
        <v>33</v>
      </c>
      <c r="F870" s="68" t="s">
        <v>2979</v>
      </c>
      <c r="G870" s="48" t="s">
        <v>2980</v>
      </c>
      <c r="H870" s="5" t="s">
        <v>2988</v>
      </c>
      <c r="I870" s="117" t="s">
        <v>1375</v>
      </c>
      <c r="J870" s="29" t="s">
        <v>88</v>
      </c>
      <c r="K870" s="29" t="s">
        <v>2981</v>
      </c>
      <c r="L870" t="s">
        <v>2530</v>
      </c>
      <c r="M870" s="16" t="s">
        <v>2806</v>
      </c>
      <c r="N870" s="3" t="str">
        <f t="shared" si="37"/>
        <v>1  Year</v>
      </c>
      <c r="O870" t="s">
        <v>42</v>
      </c>
      <c r="P870" t="s">
        <v>2778</v>
      </c>
      <c r="Q870">
        <v>2026</v>
      </c>
      <c r="R870" s="29" t="s">
        <v>44</v>
      </c>
      <c r="S870" s="29" t="s">
        <v>2982</v>
      </c>
      <c r="T870" s="4" t="s">
        <v>2983</v>
      </c>
    </row>
    <row r="871" spans="2:20" ht="43.2">
      <c r="B871" t="s">
        <v>2991</v>
      </c>
      <c r="C871" s="22" t="s">
        <v>2992</v>
      </c>
      <c r="D871" s="52" t="s">
        <v>2993</v>
      </c>
      <c r="E871" t="s">
        <v>33</v>
      </c>
      <c r="F871" s="68" t="s">
        <v>2979</v>
      </c>
      <c r="G871" s="48" t="s">
        <v>2980</v>
      </c>
      <c r="H871" s="5" t="s">
        <v>2988</v>
      </c>
      <c r="I871" s="117" t="s">
        <v>1375</v>
      </c>
      <c r="J871" s="29" t="s">
        <v>48</v>
      </c>
      <c r="K871" s="29" t="s">
        <v>2981</v>
      </c>
      <c r="L871" t="s">
        <v>2530</v>
      </c>
      <c r="M871" s="16" t="s">
        <v>2806</v>
      </c>
      <c r="N871" s="3" t="str">
        <f t="shared" si="37"/>
        <v>1  Year</v>
      </c>
      <c r="O871" t="s">
        <v>42</v>
      </c>
      <c r="P871" t="s">
        <v>2778</v>
      </c>
      <c r="Q871">
        <v>2026</v>
      </c>
      <c r="R871" s="29" t="s">
        <v>44</v>
      </c>
      <c r="S871" s="29" t="s">
        <v>2982</v>
      </c>
      <c r="T871" s="4" t="s">
        <v>2983</v>
      </c>
    </row>
    <row r="872" spans="2:20" ht="43.2">
      <c r="B872" t="s">
        <v>2991</v>
      </c>
      <c r="C872" s="22" t="s">
        <v>2992</v>
      </c>
      <c r="D872" s="52" t="s">
        <v>2993</v>
      </c>
      <c r="E872" t="s">
        <v>33</v>
      </c>
      <c r="F872" s="68" t="s">
        <v>2979</v>
      </c>
      <c r="G872" s="48" t="s">
        <v>2980</v>
      </c>
      <c r="H872" s="5" t="s">
        <v>2988</v>
      </c>
      <c r="I872" s="117" t="s">
        <v>1375</v>
      </c>
      <c r="J872" s="29" t="s">
        <v>88</v>
      </c>
      <c r="K872" s="29" t="s">
        <v>2981</v>
      </c>
      <c r="L872" t="s">
        <v>2530</v>
      </c>
      <c r="M872" s="16" t="s">
        <v>2806</v>
      </c>
      <c r="N872" s="3" t="str">
        <f t="shared" si="37"/>
        <v>1  Year</v>
      </c>
      <c r="O872" t="s">
        <v>42</v>
      </c>
      <c r="P872" t="s">
        <v>2778</v>
      </c>
      <c r="Q872">
        <v>2026</v>
      </c>
      <c r="R872" s="29" t="s">
        <v>44</v>
      </c>
      <c r="S872" s="29" t="s">
        <v>2982</v>
      </c>
      <c r="T872" s="4" t="s">
        <v>2983</v>
      </c>
    </row>
    <row r="873" spans="2:20" ht="43.2">
      <c r="B873" t="s">
        <v>2994</v>
      </c>
      <c r="C873" s="22" t="s">
        <v>2995</v>
      </c>
      <c r="D873" s="52" t="s">
        <v>2996</v>
      </c>
      <c r="E873" t="s">
        <v>33</v>
      </c>
      <c r="F873" s="68" t="s">
        <v>2979</v>
      </c>
      <c r="G873" s="48" t="s">
        <v>2980</v>
      </c>
      <c r="H873" s="5" t="s">
        <v>2988</v>
      </c>
      <c r="I873" s="117" t="s">
        <v>1375</v>
      </c>
      <c r="J873" s="29" t="s">
        <v>48</v>
      </c>
      <c r="K873" s="29" t="s">
        <v>2981</v>
      </c>
      <c r="L873" t="s">
        <v>40</v>
      </c>
      <c r="M873" s="16" t="s">
        <v>2806</v>
      </c>
      <c r="N873" s="3" t="str">
        <f t="shared" si="37"/>
        <v>1  Year</v>
      </c>
      <c r="O873" t="s">
        <v>42</v>
      </c>
      <c r="P873" t="s">
        <v>2778</v>
      </c>
      <c r="Q873">
        <v>2026</v>
      </c>
      <c r="R873" s="29" t="s">
        <v>44</v>
      </c>
      <c r="S873" s="29" t="s">
        <v>2982</v>
      </c>
      <c r="T873" s="4" t="s">
        <v>2983</v>
      </c>
    </row>
    <row r="874" spans="2:20" ht="43.2">
      <c r="B874" t="s">
        <v>2994</v>
      </c>
      <c r="C874" s="22" t="s">
        <v>2995</v>
      </c>
      <c r="D874" s="52" t="s">
        <v>2996</v>
      </c>
      <c r="E874" t="s">
        <v>33</v>
      </c>
      <c r="F874" s="68" t="s">
        <v>2979</v>
      </c>
      <c r="G874" s="48" t="s">
        <v>2980</v>
      </c>
      <c r="H874" s="5" t="s">
        <v>2988</v>
      </c>
      <c r="I874" s="117" t="s">
        <v>1375</v>
      </c>
      <c r="J874" s="29" t="s">
        <v>88</v>
      </c>
      <c r="K874" s="29" t="s">
        <v>2981</v>
      </c>
      <c r="L874" t="s">
        <v>40</v>
      </c>
      <c r="M874" s="16" t="s">
        <v>2806</v>
      </c>
      <c r="N874" s="3" t="str">
        <f t="shared" si="37"/>
        <v>1  Year</v>
      </c>
      <c r="O874" t="s">
        <v>42</v>
      </c>
      <c r="P874" s="37" t="s">
        <v>2778</v>
      </c>
      <c r="Q874">
        <v>2026</v>
      </c>
      <c r="R874" s="29" t="s">
        <v>44</v>
      </c>
      <c r="S874" s="29" t="s">
        <v>2982</v>
      </c>
      <c r="T874" s="4" t="s">
        <v>2983</v>
      </c>
    </row>
    <row r="875" spans="2:20" ht="24">
      <c r="B875" t="s">
        <v>2909</v>
      </c>
      <c r="C875" s="22" t="s">
        <v>2910</v>
      </c>
      <c r="D875" s="52" t="s">
        <v>2997</v>
      </c>
      <c r="E875" t="s">
        <v>52</v>
      </c>
      <c r="F875" s="68" t="s">
        <v>2998</v>
      </c>
      <c r="G875" s="48" t="s">
        <v>2999</v>
      </c>
      <c r="H875"/>
      <c r="J875" s="29" t="s">
        <v>57</v>
      </c>
      <c r="K875" s="140" t="s">
        <v>3000</v>
      </c>
      <c r="L875" t="s">
        <v>40</v>
      </c>
      <c r="M875" s="16" t="s">
        <v>2806</v>
      </c>
      <c r="N875" s="3" t="str">
        <f t="shared" si="37"/>
        <v>1  Year</v>
      </c>
      <c r="O875" t="s">
        <v>42</v>
      </c>
      <c r="P875" t="s">
        <v>2778</v>
      </c>
      <c r="Q875">
        <v>2026</v>
      </c>
      <c r="R875" s="29" t="s">
        <v>44</v>
      </c>
      <c r="S875" s="29" t="s">
        <v>45</v>
      </c>
      <c r="T875" s="4" t="s">
        <v>3001</v>
      </c>
    </row>
    <row r="876" spans="2:20" ht="28.8">
      <c r="B876" t="s">
        <v>2909</v>
      </c>
      <c r="C876" s="22" t="s">
        <v>2910</v>
      </c>
      <c r="D876" s="52" t="s">
        <v>2997</v>
      </c>
      <c r="E876" t="s">
        <v>52</v>
      </c>
      <c r="F876" s="68" t="s">
        <v>2998</v>
      </c>
      <c r="G876" s="48" t="s">
        <v>3002</v>
      </c>
      <c r="H876" s="5"/>
      <c r="J876" s="29" t="s">
        <v>48</v>
      </c>
      <c r="K876" s="29" t="s">
        <v>3000</v>
      </c>
      <c r="L876" t="s">
        <v>40</v>
      </c>
      <c r="M876" s="16" t="s">
        <v>2806</v>
      </c>
      <c r="N876" s="3" t="str">
        <f t="shared" si="37"/>
        <v>1  Year</v>
      </c>
      <c r="O876" t="s">
        <v>42</v>
      </c>
      <c r="P876" t="s">
        <v>2778</v>
      </c>
      <c r="Q876">
        <v>2026</v>
      </c>
      <c r="R876" s="29" t="s">
        <v>44</v>
      </c>
      <c r="S876" s="29" t="s">
        <v>45</v>
      </c>
      <c r="T876" s="4" t="s">
        <v>3003</v>
      </c>
    </row>
    <row r="877" spans="2:20" ht="28.8">
      <c r="B877" t="s">
        <v>2909</v>
      </c>
      <c r="C877" s="22" t="s">
        <v>2910</v>
      </c>
      <c r="D877" s="52" t="s">
        <v>2997</v>
      </c>
      <c r="E877" t="s">
        <v>52</v>
      </c>
      <c r="F877" s="68" t="s">
        <v>2998</v>
      </c>
      <c r="G877" s="48" t="s">
        <v>3002</v>
      </c>
      <c r="H877" s="5"/>
      <c r="J877" s="29" t="s">
        <v>145</v>
      </c>
      <c r="K877" s="29" t="s">
        <v>3000</v>
      </c>
      <c r="L877" t="s">
        <v>40</v>
      </c>
      <c r="M877" s="16" t="s">
        <v>2806</v>
      </c>
      <c r="N877" s="3" t="str">
        <f t="shared" si="37"/>
        <v>1  Year</v>
      </c>
      <c r="O877" t="s">
        <v>42</v>
      </c>
      <c r="P877" t="s">
        <v>2778</v>
      </c>
      <c r="Q877">
        <v>2026</v>
      </c>
      <c r="R877" s="29" t="s">
        <v>44</v>
      </c>
      <c r="S877" s="29" t="s">
        <v>45</v>
      </c>
      <c r="T877" s="4" t="s">
        <v>3003</v>
      </c>
    </row>
    <row r="878" spans="2:20" ht="28.8">
      <c r="B878" t="s">
        <v>2909</v>
      </c>
      <c r="C878" s="22" t="s">
        <v>2910</v>
      </c>
      <c r="D878" s="52" t="s">
        <v>2997</v>
      </c>
      <c r="E878" t="s">
        <v>52</v>
      </c>
      <c r="F878" s="68" t="s">
        <v>2998</v>
      </c>
      <c r="G878" s="48" t="s">
        <v>3002</v>
      </c>
      <c r="H878" s="5"/>
      <c r="J878" s="29" t="s">
        <v>159</v>
      </c>
      <c r="K878" s="29" t="s">
        <v>3000</v>
      </c>
      <c r="L878" t="s">
        <v>40</v>
      </c>
      <c r="M878" s="16" t="s">
        <v>2806</v>
      </c>
      <c r="N878" s="3" t="str">
        <f t="shared" si="37"/>
        <v>1  Year</v>
      </c>
      <c r="O878" t="s">
        <v>42</v>
      </c>
      <c r="P878" t="s">
        <v>2778</v>
      </c>
      <c r="Q878">
        <v>2026</v>
      </c>
      <c r="R878" s="29" t="s">
        <v>44</v>
      </c>
      <c r="S878" s="29" t="s">
        <v>45</v>
      </c>
      <c r="T878" s="4" t="s">
        <v>3003</v>
      </c>
    </row>
    <row r="879" spans="2:20" ht="28.8">
      <c r="B879" t="s">
        <v>3004</v>
      </c>
      <c r="C879" s="22" t="s">
        <v>322</v>
      </c>
      <c r="D879" s="52" t="s">
        <v>3005</v>
      </c>
      <c r="E879" t="s">
        <v>182</v>
      </c>
      <c r="F879" s="68" t="s">
        <v>3006</v>
      </c>
      <c r="G879" s="48" t="s">
        <v>2980</v>
      </c>
      <c r="H879" s="5" t="s">
        <v>2988</v>
      </c>
      <c r="I879" s="117" t="s">
        <v>1375</v>
      </c>
      <c r="J879" s="29" t="s">
        <v>48</v>
      </c>
      <c r="K879" s="29" t="s">
        <v>3007</v>
      </c>
      <c r="L879" t="s">
        <v>40</v>
      </c>
      <c r="M879" s="16" t="s">
        <v>2806</v>
      </c>
      <c r="N879" s="3" t="str">
        <f t="shared" si="37"/>
        <v>1  Year</v>
      </c>
      <c r="O879" t="s">
        <v>1520</v>
      </c>
      <c r="P879" t="s">
        <v>2778</v>
      </c>
      <c r="Q879">
        <v>2026</v>
      </c>
      <c r="R879" s="29" t="s">
        <v>44</v>
      </c>
      <c r="S879" s="29" t="s">
        <v>45</v>
      </c>
      <c r="T879" s="4" t="s">
        <v>3008</v>
      </c>
    </row>
    <row r="880" spans="2:20" ht="28.8">
      <c r="B880" t="s">
        <v>3009</v>
      </c>
      <c r="C880" s="22" t="s">
        <v>322</v>
      </c>
      <c r="D880" s="52" t="s">
        <v>3005</v>
      </c>
      <c r="E880" t="s">
        <v>182</v>
      </c>
      <c r="F880" s="68" t="s">
        <v>3006</v>
      </c>
      <c r="G880" s="127" t="s">
        <v>2980</v>
      </c>
      <c r="H880" s="5" t="s">
        <v>2988</v>
      </c>
      <c r="I880" s="117" t="s">
        <v>1375</v>
      </c>
      <c r="J880" s="29" t="s">
        <v>88</v>
      </c>
      <c r="K880" s="29" t="s">
        <v>3007</v>
      </c>
      <c r="L880" t="s">
        <v>40</v>
      </c>
      <c r="M880" s="16" t="s">
        <v>2806</v>
      </c>
      <c r="N880" s="3" t="str">
        <f t="shared" si="37"/>
        <v>1  Year</v>
      </c>
      <c r="O880" t="s">
        <v>1520</v>
      </c>
      <c r="P880" t="s">
        <v>2778</v>
      </c>
      <c r="Q880">
        <v>2026</v>
      </c>
      <c r="R880" s="29" t="s">
        <v>44</v>
      </c>
      <c r="S880" s="29" t="s">
        <v>45</v>
      </c>
      <c r="T880" s="4" t="s">
        <v>3008</v>
      </c>
    </row>
    <row r="881" spans="2:20" ht="57.6">
      <c r="B881" t="s">
        <v>2909</v>
      </c>
      <c r="C881" s="22" t="s">
        <v>2910</v>
      </c>
      <c r="D881" s="52" t="s">
        <v>2997</v>
      </c>
      <c r="E881" t="s">
        <v>52</v>
      </c>
      <c r="F881" s="68" t="s">
        <v>3010</v>
      </c>
      <c r="G881" s="48" t="s">
        <v>2999</v>
      </c>
      <c r="J881" s="29" t="s">
        <v>48</v>
      </c>
      <c r="K881" s="29" t="s">
        <v>3011</v>
      </c>
      <c r="L881" t="s">
        <v>802</v>
      </c>
      <c r="M881" s="16" t="s">
        <v>2806</v>
      </c>
      <c r="N881" s="3" t="str">
        <f t="shared" si="37"/>
        <v>15 Weeks</v>
      </c>
      <c r="O881" t="s">
        <v>42</v>
      </c>
      <c r="P881" t="s">
        <v>2778</v>
      </c>
      <c r="Q881">
        <v>2026</v>
      </c>
      <c r="R881" s="29" t="s">
        <v>44</v>
      </c>
      <c r="S881" s="29" t="s">
        <v>45</v>
      </c>
      <c r="T881" s="4" t="s">
        <v>3003</v>
      </c>
    </row>
    <row r="882" spans="2:20" ht="28.8">
      <c r="B882" t="s">
        <v>2909</v>
      </c>
      <c r="C882" s="22" t="s">
        <v>2910</v>
      </c>
      <c r="D882" s="52" t="s">
        <v>2997</v>
      </c>
      <c r="E882" t="s">
        <v>52</v>
      </c>
      <c r="F882" s="68" t="s">
        <v>3010</v>
      </c>
      <c r="G882" s="48" t="s">
        <v>2999</v>
      </c>
      <c r="J882" s="29" t="s">
        <v>145</v>
      </c>
      <c r="K882" s="29" t="s">
        <v>3012</v>
      </c>
      <c r="L882" t="s">
        <v>802</v>
      </c>
      <c r="M882" s="16" t="s">
        <v>2806</v>
      </c>
      <c r="N882" s="3" t="str">
        <f t="shared" si="37"/>
        <v>15 Weeks</v>
      </c>
      <c r="O882" t="s">
        <v>42</v>
      </c>
      <c r="P882" t="s">
        <v>2778</v>
      </c>
      <c r="Q882">
        <v>2026</v>
      </c>
      <c r="R882" s="29" t="s">
        <v>44</v>
      </c>
      <c r="S882" s="29" t="s">
        <v>45</v>
      </c>
      <c r="T882" s="4" t="s">
        <v>3003</v>
      </c>
    </row>
    <row r="883" spans="2:20" ht="43.2">
      <c r="B883" t="s">
        <v>2914</v>
      </c>
      <c r="C883" s="22" t="s">
        <v>2915</v>
      </c>
      <c r="D883" s="52" t="s">
        <v>2997</v>
      </c>
      <c r="E883" t="s">
        <v>52</v>
      </c>
      <c r="F883" s="68" t="s">
        <v>3010</v>
      </c>
      <c r="G883" s="48" t="s">
        <v>3002</v>
      </c>
      <c r="J883" s="29" t="s">
        <v>48</v>
      </c>
      <c r="K883" s="29" t="s">
        <v>3013</v>
      </c>
      <c r="L883" t="s">
        <v>802</v>
      </c>
      <c r="M883" s="16" t="s">
        <v>2806</v>
      </c>
      <c r="N883" s="3" t="str">
        <f t="shared" si="37"/>
        <v>15 Weeks</v>
      </c>
      <c r="O883" t="s">
        <v>42</v>
      </c>
      <c r="P883" t="s">
        <v>2778</v>
      </c>
      <c r="Q883">
        <v>2026</v>
      </c>
      <c r="R883" s="29" t="s">
        <v>44</v>
      </c>
      <c r="S883" s="29" t="s">
        <v>45</v>
      </c>
      <c r="T883" s="4" t="s">
        <v>3014</v>
      </c>
    </row>
    <row r="884" spans="2:20" ht="43.2">
      <c r="B884" t="s">
        <v>2914</v>
      </c>
      <c r="C884" s="22" t="s">
        <v>2915</v>
      </c>
      <c r="D884" s="61" t="s">
        <v>2997</v>
      </c>
      <c r="E884" t="s">
        <v>52</v>
      </c>
      <c r="F884" s="68" t="s">
        <v>3010</v>
      </c>
      <c r="G884" s="48" t="s">
        <v>3002</v>
      </c>
      <c r="J884" s="29" t="s">
        <v>145</v>
      </c>
      <c r="K884" s="29" t="s">
        <v>3013</v>
      </c>
      <c r="L884" t="s">
        <v>802</v>
      </c>
      <c r="M884" s="16" t="s">
        <v>2806</v>
      </c>
      <c r="N884" s="3" t="str">
        <f t="shared" ref="N884:N947" si="51">IF(L884="New","1  Year",IF(L884="Promotional","15 Weeks",IF(L884="Revalidation","2 Years","")))</f>
        <v>15 Weeks</v>
      </c>
      <c r="O884" t="s">
        <v>42</v>
      </c>
      <c r="P884" t="s">
        <v>2778</v>
      </c>
      <c r="Q884">
        <v>2026</v>
      </c>
      <c r="R884" s="29" t="s">
        <v>44</v>
      </c>
      <c r="S884" s="29" t="s">
        <v>45</v>
      </c>
      <c r="T884" s="4" t="s">
        <v>3015</v>
      </c>
    </row>
    <row r="885" spans="2:20" ht="28.8">
      <c r="B885" t="s">
        <v>3016</v>
      </c>
      <c r="C885" s="22" t="s">
        <v>3017</v>
      </c>
      <c r="D885" s="52" t="s">
        <v>3018</v>
      </c>
      <c r="E885" t="s">
        <v>52</v>
      </c>
      <c r="F885" s="68" t="s">
        <v>3019</v>
      </c>
      <c r="G885" s="48" t="s">
        <v>3020</v>
      </c>
      <c r="H885" s="5" t="s">
        <v>537</v>
      </c>
      <c r="I885" s="117" t="s">
        <v>3021</v>
      </c>
      <c r="J885" s="29" t="s">
        <v>48</v>
      </c>
      <c r="K885" s="29" t="s">
        <v>3022</v>
      </c>
      <c r="L885" t="s">
        <v>40</v>
      </c>
      <c r="M885" s="16" t="s">
        <v>2806</v>
      </c>
      <c r="N885" s="3" t="str">
        <f t="shared" si="51"/>
        <v>1  Year</v>
      </c>
      <c r="O885" t="s">
        <v>42</v>
      </c>
      <c r="P885" t="s">
        <v>2778</v>
      </c>
      <c r="Q885">
        <v>2026</v>
      </c>
      <c r="R885" s="29" t="s">
        <v>1981</v>
      </c>
      <c r="S885" s="29" t="s">
        <v>45</v>
      </c>
      <c r="T885" s="4" t="s">
        <v>3023</v>
      </c>
    </row>
    <row r="886" spans="2:20" ht="28.8">
      <c r="B886" t="s">
        <v>3016</v>
      </c>
      <c r="C886" s="22" t="s">
        <v>3017</v>
      </c>
      <c r="D886" s="61" t="s">
        <v>3018</v>
      </c>
      <c r="E886" t="s">
        <v>52</v>
      </c>
      <c r="F886" s="68" t="s">
        <v>3019</v>
      </c>
      <c r="G886" s="48" t="s">
        <v>3020</v>
      </c>
      <c r="H886" s="5" t="s">
        <v>537</v>
      </c>
      <c r="I886" s="117" t="s">
        <v>3021</v>
      </c>
      <c r="J886" s="29" t="s">
        <v>88</v>
      </c>
      <c r="K886" s="29" t="s">
        <v>3022</v>
      </c>
      <c r="L886" t="s">
        <v>40</v>
      </c>
      <c r="M886" s="16" t="s">
        <v>2806</v>
      </c>
      <c r="N886" s="3" t="str">
        <f t="shared" si="51"/>
        <v>1  Year</v>
      </c>
      <c r="O886" t="s">
        <v>42</v>
      </c>
      <c r="P886" t="s">
        <v>2778</v>
      </c>
      <c r="Q886">
        <v>2026</v>
      </c>
      <c r="R886" s="29" t="s">
        <v>1981</v>
      </c>
      <c r="S886" s="29" t="s">
        <v>45</v>
      </c>
      <c r="T886" s="4" t="s">
        <v>3023</v>
      </c>
    </row>
    <row r="887" spans="2:20" ht="28.8">
      <c r="B887" t="s">
        <v>3016</v>
      </c>
      <c r="C887" s="22" t="s">
        <v>3017</v>
      </c>
      <c r="D887" s="52" t="s">
        <v>3018</v>
      </c>
      <c r="E887" t="s">
        <v>52</v>
      </c>
      <c r="F887" s="68" t="s">
        <v>3019</v>
      </c>
      <c r="G887" s="48" t="s">
        <v>3020</v>
      </c>
      <c r="H887" s="5" t="s">
        <v>537</v>
      </c>
      <c r="I887" s="117" t="s">
        <v>3021</v>
      </c>
      <c r="J887" s="29" t="s">
        <v>145</v>
      </c>
      <c r="K887" s="29" t="s">
        <v>3022</v>
      </c>
      <c r="L887" t="s">
        <v>40</v>
      </c>
      <c r="M887" s="16" t="s">
        <v>2806</v>
      </c>
      <c r="N887" s="3" t="str">
        <f t="shared" si="51"/>
        <v>1  Year</v>
      </c>
      <c r="O887" t="s">
        <v>42</v>
      </c>
      <c r="P887" t="s">
        <v>2778</v>
      </c>
      <c r="Q887">
        <v>2026</v>
      </c>
      <c r="R887" s="29" t="s">
        <v>1981</v>
      </c>
      <c r="S887" s="37" t="s">
        <v>45</v>
      </c>
      <c r="T887" s="4" t="s">
        <v>3024</v>
      </c>
    </row>
    <row r="888" spans="2:20" ht="28.8">
      <c r="B888" s="61" t="s">
        <v>508</v>
      </c>
      <c r="C888" s="22" t="s">
        <v>509</v>
      </c>
      <c r="D888" s="52" t="s">
        <v>3025</v>
      </c>
      <c r="E888" t="s">
        <v>33</v>
      </c>
      <c r="F888" s="68" t="s">
        <v>3026</v>
      </c>
      <c r="G888" s="48" t="s">
        <v>2844</v>
      </c>
      <c r="H888" s="5" t="s">
        <v>3027</v>
      </c>
      <c r="I888" s="117" t="s">
        <v>2846</v>
      </c>
      <c r="J888" s="29" t="s">
        <v>48</v>
      </c>
      <c r="K888" s="29" t="s">
        <v>3028</v>
      </c>
      <c r="L888" t="s">
        <v>40</v>
      </c>
      <c r="M888" s="16" t="s">
        <v>2806</v>
      </c>
      <c r="N888" s="3" t="str">
        <f t="shared" si="51"/>
        <v>1  Year</v>
      </c>
      <c r="O888" t="s">
        <v>42</v>
      </c>
      <c r="P888" t="s">
        <v>2778</v>
      </c>
      <c r="Q888">
        <v>2026</v>
      </c>
      <c r="R888" s="29" t="s">
        <v>1981</v>
      </c>
      <c r="S888" s="37" t="s">
        <v>45</v>
      </c>
      <c r="T888" s="4" t="s">
        <v>508</v>
      </c>
    </row>
    <row r="889" spans="2:20" ht="28.8">
      <c r="B889" t="s">
        <v>508</v>
      </c>
      <c r="C889" s="22" t="s">
        <v>509</v>
      </c>
      <c r="D889" s="52" t="s">
        <v>548</v>
      </c>
      <c r="E889" t="s">
        <v>33</v>
      </c>
      <c r="F889" s="68" t="s">
        <v>3026</v>
      </c>
      <c r="G889" s="48" t="s">
        <v>2844</v>
      </c>
      <c r="H889" s="5" t="s">
        <v>3027</v>
      </c>
      <c r="I889" s="117" t="s">
        <v>2846</v>
      </c>
      <c r="J889" s="29" t="s">
        <v>159</v>
      </c>
      <c r="K889" s="29" t="s">
        <v>3028</v>
      </c>
      <c r="L889" t="s">
        <v>40</v>
      </c>
      <c r="M889" s="16" t="s">
        <v>2806</v>
      </c>
      <c r="N889" s="3" t="str">
        <f t="shared" si="51"/>
        <v>1  Year</v>
      </c>
      <c r="O889" t="s">
        <v>42</v>
      </c>
      <c r="P889" s="37" t="s">
        <v>2778</v>
      </c>
      <c r="Q889">
        <v>2026</v>
      </c>
      <c r="R889" s="29" t="s">
        <v>1981</v>
      </c>
      <c r="S889" s="29" t="s">
        <v>45</v>
      </c>
      <c r="T889" s="4" t="s">
        <v>508</v>
      </c>
    </row>
    <row r="890" spans="2:20" ht="28.8">
      <c r="B890" t="s">
        <v>3029</v>
      </c>
      <c r="C890" s="22" t="s">
        <v>3030</v>
      </c>
      <c r="D890" s="52" t="s">
        <v>3025</v>
      </c>
      <c r="E890" t="s">
        <v>182</v>
      </c>
      <c r="F890" s="68" t="s">
        <v>3026</v>
      </c>
      <c r="G890" s="48" t="s">
        <v>2844</v>
      </c>
      <c r="H890" s="139" t="s">
        <v>3027</v>
      </c>
      <c r="I890" s="117" t="s">
        <v>2846</v>
      </c>
      <c r="J890" s="29" t="s">
        <v>48</v>
      </c>
      <c r="K890" s="29" t="s">
        <v>3031</v>
      </c>
      <c r="L890" t="s">
        <v>40</v>
      </c>
      <c r="M890" s="16" t="s">
        <v>2806</v>
      </c>
      <c r="N890" s="3" t="str">
        <f>IF(L890="New","1  Year",IF(L890="Promotional","15 Weeks",IF(L890="Revalidation","2 Years","")))</f>
        <v>1  Year</v>
      </c>
      <c r="O890" t="s">
        <v>1520</v>
      </c>
      <c r="P890" t="s">
        <v>2778</v>
      </c>
      <c r="Q890">
        <v>2026</v>
      </c>
      <c r="R890" s="29" t="s">
        <v>1981</v>
      </c>
      <c r="S890" s="29" t="s">
        <v>45</v>
      </c>
      <c r="T890" s="4" t="s">
        <v>3032</v>
      </c>
    </row>
    <row r="891" spans="2:20" ht="28.8">
      <c r="B891" t="s">
        <v>3029</v>
      </c>
      <c r="C891" s="22" t="s">
        <v>3030</v>
      </c>
      <c r="D891" s="52" t="s">
        <v>3025</v>
      </c>
      <c r="E891" t="s">
        <v>182</v>
      </c>
      <c r="F891" s="68" t="s">
        <v>3026</v>
      </c>
      <c r="G891" s="48" t="s">
        <v>2844</v>
      </c>
      <c r="H891" s="5" t="s">
        <v>3027</v>
      </c>
      <c r="I891" s="117" t="s">
        <v>2846</v>
      </c>
      <c r="J891" s="29" t="s">
        <v>159</v>
      </c>
      <c r="K891" s="29" t="s">
        <v>3033</v>
      </c>
      <c r="L891" t="s">
        <v>40</v>
      </c>
      <c r="M891" s="16" t="s">
        <v>2806</v>
      </c>
      <c r="N891" s="3" t="str">
        <f t="shared" si="51"/>
        <v>1  Year</v>
      </c>
      <c r="O891" t="s">
        <v>1520</v>
      </c>
      <c r="P891" t="s">
        <v>2778</v>
      </c>
      <c r="Q891">
        <v>2026</v>
      </c>
      <c r="R891" s="29" t="s">
        <v>1981</v>
      </c>
      <c r="S891" s="29" t="s">
        <v>45</v>
      </c>
      <c r="T891" s="4" t="s">
        <v>3032</v>
      </c>
    </row>
    <row r="892" spans="2:20" ht="43.2">
      <c r="B892" t="s">
        <v>3034</v>
      </c>
      <c r="C892" s="22" t="s">
        <v>3035</v>
      </c>
      <c r="D892" s="52" t="s">
        <v>3025</v>
      </c>
      <c r="E892" t="s">
        <v>182</v>
      </c>
      <c r="F892" s="68" t="s">
        <v>3026</v>
      </c>
      <c r="G892" s="48" t="s">
        <v>2844</v>
      </c>
      <c r="H892" s="5" t="s">
        <v>3027</v>
      </c>
      <c r="I892" s="117" t="s">
        <v>2846</v>
      </c>
      <c r="J892" s="29" t="s">
        <v>48</v>
      </c>
      <c r="K892" s="29" t="s">
        <v>3036</v>
      </c>
      <c r="L892" t="s">
        <v>40</v>
      </c>
      <c r="M892" s="16" t="s">
        <v>2806</v>
      </c>
      <c r="N892" s="3" t="str">
        <f t="shared" si="51"/>
        <v>1  Year</v>
      </c>
      <c r="O892" t="s">
        <v>1520</v>
      </c>
      <c r="P892" t="s">
        <v>2778</v>
      </c>
      <c r="Q892">
        <v>2026</v>
      </c>
      <c r="R892" s="29" t="s">
        <v>1981</v>
      </c>
      <c r="S892" s="29" t="s">
        <v>45</v>
      </c>
      <c r="T892" s="4" t="s">
        <v>3037</v>
      </c>
    </row>
    <row r="893" spans="2:20" ht="43.2">
      <c r="B893" t="s">
        <v>3034</v>
      </c>
      <c r="C893" s="22" t="s">
        <v>3035</v>
      </c>
      <c r="D893" s="52" t="s">
        <v>3025</v>
      </c>
      <c r="E893" t="s">
        <v>182</v>
      </c>
      <c r="F893" s="68" t="s">
        <v>3026</v>
      </c>
      <c r="G893" s="48" t="s">
        <v>2844</v>
      </c>
      <c r="H893" s="5" t="s">
        <v>3027</v>
      </c>
      <c r="I893" s="117" t="s">
        <v>2846</v>
      </c>
      <c r="J893" s="29" t="s">
        <v>159</v>
      </c>
      <c r="K893" s="29" t="s">
        <v>3036</v>
      </c>
      <c r="L893" t="s">
        <v>40</v>
      </c>
      <c r="M893" s="16" t="s">
        <v>2806</v>
      </c>
      <c r="N893" s="3" t="str">
        <f>IF(L893="New","1  Year",IF(L893="Promotional","15 Weeks",IF(L893="Revalidation","2 Years","")))</f>
        <v>1  Year</v>
      </c>
      <c r="O893" t="s">
        <v>1520</v>
      </c>
      <c r="P893" t="s">
        <v>2778</v>
      </c>
      <c r="Q893">
        <v>2026</v>
      </c>
      <c r="R893" s="29" t="s">
        <v>1981</v>
      </c>
      <c r="S893" s="29" t="s">
        <v>45</v>
      </c>
      <c r="T893" s="4" t="s">
        <v>3037</v>
      </c>
    </row>
    <row r="894" spans="2:20" ht="57.6">
      <c r="B894" t="s">
        <v>2003</v>
      </c>
      <c r="C894" s="22" t="s">
        <v>685</v>
      </c>
      <c r="D894" s="52" t="s">
        <v>2005</v>
      </c>
      <c r="E894" t="s">
        <v>182</v>
      </c>
      <c r="F894" s="68" t="s">
        <v>908</v>
      </c>
      <c r="G894" s="48" t="s">
        <v>1986</v>
      </c>
      <c r="H894" s="5" t="s">
        <v>3038</v>
      </c>
      <c r="I894" s="117" t="s">
        <v>2270</v>
      </c>
      <c r="J894" s="29" t="s">
        <v>92</v>
      </c>
      <c r="K894" s="29" t="s">
        <v>3039</v>
      </c>
      <c r="L894" t="s">
        <v>40</v>
      </c>
      <c r="M894" s="16" t="s">
        <v>2806</v>
      </c>
      <c r="N894" s="3" t="str">
        <f t="shared" si="51"/>
        <v>1  Year</v>
      </c>
      <c r="O894" t="s">
        <v>1910</v>
      </c>
      <c r="P894" s="131" t="s">
        <v>2778</v>
      </c>
      <c r="Q894">
        <v>2026</v>
      </c>
      <c r="R894" s="29" t="s">
        <v>1981</v>
      </c>
      <c r="S894" s="29" t="s">
        <v>45</v>
      </c>
      <c r="T894" s="4" t="s">
        <v>3040</v>
      </c>
    </row>
    <row r="895" spans="2:20" ht="28.8">
      <c r="B895" t="s">
        <v>3041</v>
      </c>
      <c r="C895" s="22" t="s">
        <v>3042</v>
      </c>
      <c r="D895" s="52">
        <v>130</v>
      </c>
      <c r="E895" t="s">
        <v>182</v>
      </c>
      <c r="F895" s="68" t="s">
        <v>908</v>
      </c>
      <c r="G895" s="48" t="s">
        <v>1986</v>
      </c>
      <c r="H895" s="4" t="s">
        <v>3043</v>
      </c>
      <c r="I895" s="117" t="s">
        <v>2270</v>
      </c>
      <c r="J895" s="29" t="s">
        <v>92</v>
      </c>
      <c r="K895" s="29" t="s">
        <v>3039</v>
      </c>
      <c r="L895" t="s">
        <v>40</v>
      </c>
      <c r="M895" s="16" t="s">
        <v>2806</v>
      </c>
      <c r="N895" s="3" t="str">
        <f t="shared" si="51"/>
        <v>1  Year</v>
      </c>
      <c r="O895" t="s">
        <v>1910</v>
      </c>
      <c r="P895" t="s">
        <v>2778</v>
      </c>
      <c r="Q895">
        <v>2026</v>
      </c>
      <c r="R895" s="29" t="s">
        <v>1981</v>
      </c>
      <c r="S895" s="29" t="s">
        <v>45</v>
      </c>
      <c r="T895" s="4" t="s">
        <v>3040</v>
      </c>
    </row>
    <row r="896" spans="2:20" ht="28.8">
      <c r="B896" t="s">
        <v>3044</v>
      </c>
      <c r="C896" s="22" t="s">
        <v>3045</v>
      </c>
      <c r="D896" s="52" t="s">
        <v>3046</v>
      </c>
      <c r="E896" t="s">
        <v>182</v>
      </c>
      <c r="F896" s="68" t="s">
        <v>908</v>
      </c>
      <c r="G896" s="127" t="s">
        <v>1986</v>
      </c>
      <c r="H896" s="5" t="s">
        <v>3043</v>
      </c>
      <c r="I896" s="117" t="s">
        <v>2270</v>
      </c>
      <c r="J896" s="29" t="s">
        <v>92</v>
      </c>
      <c r="K896" s="29" t="s">
        <v>3039</v>
      </c>
      <c r="L896" t="s">
        <v>40</v>
      </c>
      <c r="M896" s="16" t="s">
        <v>2806</v>
      </c>
      <c r="N896" s="3" t="str">
        <f t="shared" si="51"/>
        <v>1  Year</v>
      </c>
      <c r="O896" t="s">
        <v>1910</v>
      </c>
      <c r="P896" t="s">
        <v>2778</v>
      </c>
      <c r="Q896">
        <v>2026</v>
      </c>
      <c r="R896" s="29" t="s">
        <v>1981</v>
      </c>
      <c r="S896" s="29" t="s">
        <v>45</v>
      </c>
      <c r="T896" s="4" t="s">
        <v>3040</v>
      </c>
    </row>
    <row r="897" spans="2:20" ht="43.2">
      <c r="B897" t="s">
        <v>3047</v>
      </c>
      <c r="C897" s="22" t="s">
        <v>3048</v>
      </c>
      <c r="D897" s="52" t="s">
        <v>2430</v>
      </c>
      <c r="E897" t="s">
        <v>52</v>
      </c>
      <c r="F897" s="68" t="s">
        <v>1928</v>
      </c>
      <c r="G897" s="48" t="s">
        <v>3049</v>
      </c>
      <c r="H897" s="5" t="s">
        <v>1930</v>
      </c>
      <c r="I897" s="120" t="s">
        <v>2128</v>
      </c>
      <c r="J897" s="29" t="s">
        <v>38</v>
      </c>
      <c r="K897" s="29" t="s">
        <v>3050</v>
      </c>
      <c r="L897" t="s">
        <v>90</v>
      </c>
      <c r="M897" s="16" t="s">
        <v>2806</v>
      </c>
      <c r="N897" s="3" t="str">
        <f t="shared" si="51"/>
        <v>2 Years</v>
      </c>
      <c r="O897" t="s">
        <v>42</v>
      </c>
      <c r="P897" t="s">
        <v>2778</v>
      </c>
      <c r="Q897">
        <v>2026</v>
      </c>
      <c r="R897" s="29" t="s">
        <v>44</v>
      </c>
      <c r="S897" s="29" t="s">
        <v>45</v>
      </c>
      <c r="T897" t="s">
        <v>3051</v>
      </c>
    </row>
    <row r="898" spans="2:20" ht="43.2">
      <c r="B898" t="s">
        <v>3047</v>
      </c>
      <c r="C898" s="22" t="s">
        <v>3048</v>
      </c>
      <c r="D898" s="52" t="s">
        <v>2430</v>
      </c>
      <c r="E898" t="s">
        <v>52</v>
      </c>
      <c r="F898" s="68" t="s">
        <v>1928</v>
      </c>
      <c r="G898" s="48" t="s">
        <v>3049</v>
      </c>
      <c r="H898" s="5" t="s">
        <v>3052</v>
      </c>
      <c r="I898" s="120" t="s">
        <v>2128</v>
      </c>
      <c r="J898" s="29" t="s">
        <v>48</v>
      </c>
      <c r="K898" s="29" t="s">
        <v>3050</v>
      </c>
      <c r="L898" t="s">
        <v>90</v>
      </c>
      <c r="M898" s="16" t="s">
        <v>2806</v>
      </c>
      <c r="N898" s="3" t="str">
        <f t="shared" si="51"/>
        <v>2 Years</v>
      </c>
      <c r="O898" t="s">
        <v>42</v>
      </c>
      <c r="P898" t="s">
        <v>2778</v>
      </c>
      <c r="Q898">
        <v>2026</v>
      </c>
      <c r="R898" s="29" t="s">
        <v>44</v>
      </c>
      <c r="S898" s="29" t="s">
        <v>45</v>
      </c>
      <c r="T898" t="s">
        <v>3051</v>
      </c>
    </row>
    <row r="899" spans="2:20" ht="43.2">
      <c r="B899" t="s">
        <v>3047</v>
      </c>
      <c r="C899" s="22" t="s">
        <v>3048</v>
      </c>
      <c r="D899" s="52" t="s">
        <v>2430</v>
      </c>
      <c r="E899" t="s">
        <v>52</v>
      </c>
      <c r="F899" s="68" t="s">
        <v>1928</v>
      </c>
      <c r="G899" s="48" t="s">
        <v>3049</v>
      </c>
      <c r="H899" s="5" t="s">
        <v>3052</v>
      </c>
      <c r="I899" s="120" t="s">
        <v>2128</v>
      </c>
      <c r="J899" s="29" t="s">
        <v>57</v>
      </c>
      <c r="K899" s="29" t="s">
        <v>3050</v>
      </c>
      <c r="L899" t="s">
        <v>90</v>
      </c>
      <c r="M899" s="16" t="s">
        <v>2806</v>
      </c>
      <c r="N899" s="3" t="str">
        <f t="shared" si="51"/>
        <v>2 Years</v>
      </c>
      <c r="O899" t="s">
        <v>42</v>
      </c>
      <c r="P899" t="s">
        <v>2778</v>
      </c>
      <c r="Q899">
        <v>2026</v>
      </c>
      <c r="R899" s="29" t="s">
        <v>44</v>
      </c>
      <c r="S899" s="29" t="s">
        <v>45</v>
      </c>
      <c r="T899" t="s">
        <v>3051</v>
      </c>
    </row>
    <row r="900" spans="2:20" ht="43.2">
      <c r="B900" t="s">
        <v>3047</v>
      </c>
      <c r="C900" s="22" t="s">
        <v>3048</v>
      </c>
      <c r="D900" s="52" t="s">
        <v>2430</v>
      </c>
      <c r="E900" t="s">
        <v>52</v>
      </c>
      <c r="F900" s="68" t="s">
        <v>1928</v>
      </c>
      <c r="G900" s="48" t="s">
        <v>3049</v>
      </c>
      <c r="H900" s="5" t="s">
        <v>3052</v>
      </c>
      <c r="I900" s="120" t="s">
        <v>2128</v>
      </c>
      <c r="J900" s="29" t="s">
        <v>159</v>
      </c>
      <c r="K900" s="29" t="s">
        <v>3050</v>
      </c>
      <c r="L900" t="s">
        <v>90</v>
      </c>
      <c r="M900" s="16" t="s">
        <v>2806</v>
      </c>
      <c r="N900" s="3" t="str">
        <f t="shared" si="51"/>
        <v>2 Years</v>
      </c>
      <c r="O900" t="s">
        <v>42</v>
      </c>
      <c r="P900" t="s">
        <v>2778</v>
      </c>
      <c r="Q900">
        <v>2026</v>
      </c>
      <c r="R900" s="29" t="s">
        <v>44</v>
      </c>
      <c r="S900" s="29" t="s">
        <v>45</v>
      </c>
      <c r="T900" t="s">
        <v>3051</v>
      </c>
    </row>
    <row r="901" spans="2:20" ht="72">
      <c r="B901" t="s">
        <v>2756</v>
      </c>
      <c r="C901" s="22" t="s">
        <v>3053</v>
      </c>
      <c r="D901" s="52" t="s">
        <v>288</v>
      </c>
      <c r="E901" t="s">
        <v>33</v>
      </c>
      <c r="F901" s="68" t="s">
        <v>1581</v>
      </c>
      <c r="G901" s="48" t="s">
        <v>1900</v>
      </c>
      <c r="H901" s="5" t="s">
        <v>2927</v>
      </c>
      <c r="I901" s="117" t="s">
        <v>1584</v>
      </c>
      <c r="J901" s="29" t="s">
        <v>92</v>
      </c>
      <c r="K901" s="29" t="s">
        <v>3054</v>
      </c>
      <c r="L901" t="s">
        <v>90</v>
      </c>
      <c r="M901" s="16" t="s">
        <v>2806</v>
      </c>
      <c r="N901" s="3" t="str">
        <f t="shared" si="51"/>
        <v>2 Years</v>
      </c>
      <c r="O901" t="s">
        <v>42</v>
      </c>
      <c r="P901" s="26" t="s">
        <v>2778</v>
      </c>
      <c r="Q901">
        <v>2026</v>
      </c>
      <c r="R901" s="29" t="s">
        <v>44</v>
      </c>
      <c r="S901" s="29" t="s">
        <v>3055</v>
      </c>
      <c r="T901" s="4" t="s">
        <v>3056</v>
      </c>
    </row>
    <row r="902" spans="2:20" ht="43.2">
      <c r="B902" t="s">
        <v>3057</v>
      </c>
      <c r="C902" s="22" t="s">
        <v>3058</v>
      </c>
      <c r="D902" s="52" t="s">
        <v>2430</v>
      </c>
      <c r="E902" t="s">
        <v>33</v>
      </c>
      <c r="F902" s="68" t="s">
        <v>1130</v>
      </c>
      <c r="G902" s="48" t="s">
        <v>2844</v>
      </c>
      <c r="H902" s="5" t="s">
        <v>3059</v>
      </c>
      <c r="I902" s="117" t="s">
        <v>2846</v>
      </c>
      <c r="J902" s="29" t="s">
        <v>48</v>
      </c>
      <c r="K902" s="29" t="s">
        <v>3060</v>
      </c>
      <c r="L902" t="s">
        <v>40</v>
      </c>
      <c r="M902" s="16" t="s">
        <v>2806</v>
      </c>
      <c r="N902" s="3" t="str">
        <f t="shared" si="51"/>
        <v>1  Year</v>
      </c>
      <c r="O902" t="s">
        <v>42</v>
      </c>
      <c r="P902" t="s">
        <v>2778</v>
      </c>
      <c r="Q902">
        <v>2026</v>
      </c>
      <c r="R902" s="29" t="s">
        <v>1981</v>
      </c>
      <c r="S902" s="29" t="s">
        <v>3061</v>
      </c>
      <c r="T902" s="4" t="s">
        <v>3062</v>
      </c>
    </row>
    <row r="903" spans="2:20" ht="57.6">
      <c r="B903" t="s">
        <v>3063</v>
      </c>
      <c r="C903" s="22" t="s">
        <v>3064</v>
      </c>
      <c r="D903" s="52" t="s">
        <v>3065</v>
      </c>
      <c r="E903" t="s">
        <v>33</v>
      </c>
      <c r="F903" s="68" t="s">
        <v>1130</v>
      </c>
      <c r="G903" s="48" t="s">
        <v>2844</v>
      </c>
      <c r="H903" s="5" t="s">
        <v>3066</v>
      </c>
      <c r="I903" s="117" t="s">
        <v>2846</v>
      </c>
      <c r="J903" s="29" t="s">
        <v>48</v>
      </c>
      <c r="K903" s="29" t="s">
        <v>3060</v>
      </c>
      <c r="L903" t="s">
        <v>40</v>
      </c>
      <c r="M903" s="16" t="s">
        <v>2806</v>
      </c>
      <c r="N903" s="3" t="str">
        <f t="shared" si="51"/>
        <v>1  Year</v>
      </c>
      <c r="O903" t="s">
        <v>42</v>
      </c>
      <c r="P903" t="s">
        <v>2778</v>
      </c>
      <c r="Q903">
        <v>2026</v>
      </c>
      <c r="R903" s="29" t="s">
        <v>1981</v>
      </c>
      <c r="S903" s="29" t="s">
        <v>3061</v>
      </c>
      <c r="T903" s="4" t="s">
        <v>3062</v>
      </c>
    </row>
    <row r="904" spans="2:20" ht="43.2">
      <c r="B904" t="s">
        <v>3067</v>
      </c>
      <c r="C904" s="22" t="s">
        <v>3068</v>
      </c>
      <c r="D904" s="52" t="s">
        <v>3069</v>
      </c>
      <c r="E904" t="s">
        <v>33</v>
      </c>
      <c r="F904" s="68" t="s">
        <v>1130</v>
      </c>
      <c r="G904" s="48" t="s">
        <v>2844</v>
      </c>
      <c r="H904" s="5" t="s">
        <v>3070</v>
      </c>
      <c r="I904" s="117" t="s">
        <v>2846</v>
      </c>
      <c r="J904" s="29" t="s">
        <v>48</v>
      </c>
      <c r="K904" s="29" t="s">
        <v>3060</v>
      </c>
      <c r="L904" t="s">
        <v>40</v>
      </c>
      <c r="M904" s="16" t="s">
        <v>2806</v>
      </c>
      <c r="N904" s="3" t="str">
        <f>IF(L904="New","1  Year",IF(L904="Promotional","15 Weeks",IF(L904="Revalidation","2 Years","")))</f>
        <v>1  Year</v>
      </c>
      <c r="O904" t="s">
        <v>42</v>
      </c>
      <c r="P904" t="s">
        <v>2778</v>
      </c>
      <c r="Q904">
        <v>2026</v>
      </c>
      <c r="R904" s="29" t="s">
        <v>1981</v>
      </c>
      <c r="S904" s="29" t="s">
        <v>3061</v>
      </c>
      <c r="T904" s="4" t="s">
        <v>3062</v>
      </c>
    </row>
    <row r="905" spans="2:20" ht="43.2">
      <c r="B905" t="s">
        <v>3071</v>
      </c>
      <c r="C905" s="22" t="s">
        <v>3058</v>
      </c>
      <c r="D905" s="52" t="s">
        <v>288</v>
      </c>
      <c r="E905" t="s">
        <v>33</v>
      </c>
      <c r="F905" s="68" t="s">
        <v>1130</v>
      </c>
      <c r="G905" s="48" t="s">
        <v>2844</v>
      </c>
      <c r="H905" s="5" t="s">
        <v>3027</v>
      </c>
      <c r="I905" s="117" t="s">
        <v>2846</v>
      </c>
      <c r="J905" s="29" t="s">
        <v>92</v>
      </c>
      <c r="K905" s="29" t="s">
        <v>3072</v>
      </c>
      <c r="L905" t="s">
        <v>40</v>
      </c>
      <c r="M905" s="16" t="s">
        <v>2806</v>
      </c>
      <c r="N905" s="3" t="str">
        <f t="shared" si="51"/>
        <v>1  Year</v>
      </c>
      <c r="O905" t="s">
        <v>42</v>
      </c>
      <c r="P905" t="s">
        <v>2778</v>
      </c>
      <c r="Q905">
        <v>2026</v>
      </c>
      <c r="R905" s="29" t="s">
        <v>1981</v>
      </c>
      <c r="S905" s="29" t="s">
        <v>3061</v>
      </c>
      <c r="T905" s="4" t="s">
        <v>3073</v>
      </c>
    </row>
    <row r="906" spans="2:20" ht="57.6">
      <c r="B906" t="s">
        <v>3063</v>
      </c>
      <c r="C906" s="22" t="s">
        <v>3064</v>
      </c>
      <c r="D906" s="52" t="s">
        <v>3065</v>
      </c>
      <c r="E906" t="s">
        <v>33</v>
      </c>
      <c r="F906" s="68" t="s">
        <v>1130</v>
      </c>
      <c r="G906" s="48" t="s">
        <v>2844</v>
      </c>
      <c r="H906" s="5" t="s">
        <v>2845</v>
      </c>
      <c r="I906" s="117" t="s">
        <v>2846</v>
      </c>
      <c r="J906" s="29" t="s">
        <v>92</v>
      </c>
      <c r="K906" s="29" t="s">
        <v>3072</v>
      </c>
      <c r="L906" t="s">
        <v>40</v>
      </c>
      <c r="M906" s="16" t="s">
        <v>2806</v>
      </c>
      <c r="N906" s="3" t="str">
        <f t="shared" si="51"/>
        <v>1  Year</v>
      </c>
      <c r="O906" t="s">
        <v>42</v>
      </c>
      <c r="P906" t="s">
        <v>2778</v>
      </c>
      <c r="Q906">
        <v>2026</v>
      </c>
      <c r="R906" s="29" t="s">
        <v>1981</v>
      </c>
      <c r="S906" s="29" t="s">
        <v>3061</v>
      </c>
      <c r="T906" s="4" t="s">
        <v>3074</v>
      </c>
    </row>
    <row r="907" spans="2:20" ht="43.2">
      <c r="B907" t="s">
        <v>3067</v>
      </c>
      <c r="C907" s="22" t="s">
        <v>3068</v>
      </c>
      <c r="D907" s="52" t="s">
        <v>3069</v>
      </c>
      <c r="E907" t="s">
        <v>33</v>
      </c>
      <c r="F907" s="68" t="s">
        <v>1130</v>
      </c>
      <c r="G907" s="48" t="s">
        <v>2844</v>
      </c>
      <c r="H907" s="5" t="s">
        <v>3075</v>
      </c>
      <c r="I907" s="117" t="s">
        <v>2846</v>
      </c>
      <c r="J907" s="29" t="s">
        <v>92</v>
      </c>
      <c r="K907" s="29" t="s">
        <v>3072</v>
      </c>
      <c r="L907" t="s">
        <v>40</v>
      </c>
      <c r="M907" s="16" t="s">
        <v>2806</v>
      </c>
      <c r="N907" s="3" t="str">
        <f t="shared" si="51"/>
        <v>1  Year</v>
      </c>
      <c r="O907" t="s">
        <v>42</v>
      </c>
      <c r="P907" t="s">
        <v>2778</v>
      </c>
      <c r="Q907">
        <v>2026</v>
      </c>
      <c r="R907" s="29" t="s">
        <v>1981</v>
      </c>
      <c r="S907" s="29" t="s">
        <v>3061</v>
      </c>
      <c r="T907" s="4" t="s">
        <v>3074</v>
      </c>
    </row>
    <row r="908" spans="2:20" ht="31.8">
      <c r="B908" t="s">
        <v>3076</v>
      </c>
      <c r="C908" s="22" t="s">
        <v>3077</v>
      </c>
      <c r="D908" s="52" t="s">
        <v>262</v>
      </c>
      <c r="E908" t="s">
        <v>52</v>
      </c>
      <c r="F908" s="68" t="s">
        <v>2108</v>
      </c>
      <c r="G908" s="48" t="s">
        <v>2497</v>
      </c>
      <c r="H908" s="5" t="s">
        <v>2498</v>
      </c>
      <c r="I908" s="117" t="s">
        <v>2499</v>
      </c>
      <c r="J908" s="29" t="s">
        <v>57</v>
      </c>
      <c r="K908" s="29" t="s">
        <v>3078</v>
      </c>
      <c r="L908" t="s">
        <v>40</v>
      </c>
      <c r="M908" s="16" t="s">
        <v>2806</v>
      </c>
      <c r="N908" s="3" t="str">
        <f t="shared" si="51"/>
        <v>1  Year</v>
      </c>
      <c r="O908" t="s">
        <v>42</v>
      </c>
      <c r="P908" t="s">
        <v>2778</v>
      </c>
      <c r="Q908">
        <v>2026</v>
      </c>
      <c r="R908" s="29" t="s">
        <v>44</v>
      </c>
      <c r="S908" s="29" t="s">
        <v>45</v>
      </c>
      <c r="T908" s="4" t="s">
        <v>3079</v>
      </c>
    </row>
    <row r="909" spans="2:20" ht="43.2">
      <c r="B909" t="s">
        <v>3080</v>
      </c>
      <c r="C909" s="22" t="s">
        <v>3081</v>
      </c>
      <c r="D909" s="52" t="s">
        <v>2705</v>
      </c>
      <c r="E909" t="s">
        <v>182</v>
      </c>
      <c r="F909" s="68" t="s">
        <v>1678</v>
      </c>
      <c r="G909" s="48" t="s">
        <v>2954</v>
      </c>
      <c r="H909" s="5" t="s">
        <v>3082</v>
      </c>
      <c r="I909" s="117" t="s">
        <v>1681</v>
      </c>
      <c r="J909" s="29" t="s">
        <v>145</v>
      </c>
      <c r="K909" s="29" t="s">
        <v>3083</v>
      </c>
      <c r="L909" t="s">
        <v>40</v>
      </c>
      <c r="M909" s="16" t="s">
        <v>2806</v>
      </c>
      <c r="N909" s="3" t="str">
        <f t="shared" si="51"/>
        <v>1  Year</v>
      </c>
      <c r="O909" t="s">
        <v>1520</v>
      </c>
      <c r="P909" t="s">
        <v>2778</v>
      </c>
      <c r="Q909">
        <v>2026</v>
      </c>
      <c r="R909" s="29" t="s">
        <v>44</v>
      </c>
      <c r="S909" s="29" t="s">
        <v>45</v>
      </c>
      <c r="T909" s="4" t="s">
        <v>3084</v>
      </c>
    </row>
    <row r="910" spans="2:20" ht="21.6">
      <c r="B910" t="s">
        <v>3085</v>
      </c>
      <c r="C910" s="22" t="s">
        <v>3086</v>
      </c>
      <c r="D910" s="52" t="s">
        <v>3087</v>
      </c>
      <c r="E910" t="s">
        <v>52</v>
      </c>
      <c r="F910" s="68" t="s">
        <v>3088</v>
      </c>
      <c r="G910" s="48" t="s">
        <v>3089</v>
      </c>
      <c r="H910" s="5" t="s">
        <v>3090</v>
      </c>
      <c r="I910" s="117" t="s">
        <v>3051</v>
      </c>
      <c r="J910" s="29" t="s">
        <v>57</v>
      </c>
      <c r="K910" s="29" t="s">
        <v>2751</v>
      </c>
      <c r="L910" t="s">
        <v>90</v>
      </c>
      <c r="M910" s="16" t="s">
        <v>2806</v>
      </c>
      <c r="N910" s="3" t="str">
        <f t="shared" si="51"/>
        <v>2 Years</v>
      </c>
      <c r="O910" t="s">
        <v>42</v>
      </c>
      <c r="P910" t="s">
        <v>2778</v>
      </c>
      <c r="Q910">
        <v>2026</v>
      </c>
      <c r="R910" s="29" t="s">
        <v>44</v>
      </c>
      <c r="S910" s="29" t="s">
        <v>45</v>
      </c>
      <c r="T910" s="4" t="s">
        <v>3091</v>
      </c>
    </row>
    <row r="911" spans="2:20" ht="21.6">
      <c r="B911" t="s">
        <v>3092</v>
      </c>
      <c r="C911" s="22" t="s">
        <v>3093</v>
      </c>
      <c r="D911" s="52" t="s">
        <v>3087</v>
      </c>
      <c r="E911" t="s">
        <v>52</v>
      </c>
      <c r="F911" s="68" t="s">
        <v>3088</v>
      </c>
      <c r="G911" s="48" t="s">
        <v>3089</v>
      </c>
      <c r="H911" s="5" t="s">
        <v>3090</v>
      </c>
      <c r="I911" s="117" t="s">
        <v>3051</v>
      </c>
      <c r="J911" s="29" t="s">
        <v>57</v>
      </c>
      <c r="K911" s="29" t="s">
        <v>3094</v>
      </c>
      <c r="L911" t="s">
        <v>90</v>
      </c>
      <c r="M911" s="16" t="s">
        <v>2806</v>
      </c>
      <c r="N911" s="3" t="str">
        <f t="shared" si="51"/>
        <v>2 Years</v>
      </c>
      <c r="O911" t="s">
        <v>42</v>
      </c>
      <c r="P911" t="s">
        <v>2778</v>
      </c>
      <c r="Q911">
        <v>2026</v>
      </c>
      <c r="R911" s="29" t="s">
        <v>44</v>
      </c>
      <c r="S911" s="29" t="s">
        <v>45</v>
      </c>
      <c r="T911" s="4" t="s">
        <v>3095</v>
      </c>
    </row>
    <row r="912" spans="2:20" ht="21.6">
      <c r="B912" t="s">
        <v>3096</v>
      </c>
      <c r="C912" s="22" t="s">
        <v>3097</v>
      </c>
      <c r="D912" s="52" t="s">
        <v>1795</v>
      </c>
      <c r="E912" t="s">
        <v>182</v>
      </c>
      <c r="F912" s="68" t="s">
        <v>3088</v>
      </c>
      <c r="G912" s="48" t="s">
        <v>3089</v>
      </c>
      <c r="H912" s="5" t="s">
        <v>3090</v>
      </c>
      <c r="I912" s="117" t="s">
        <v>3051</v>
      </c>
      <c r="J912" s="29" t="s">
        <v>57</v>
      </c>
      <c r="K912" s="29" t="s">
        <v>3098</v>
      </c>
      <c r="L912" t="s">
        <v>90</v>
      </c>
      <c r="M912" s="16" t="s">
        <v>2806</v>
      </c>
      <c r="N912" s="3" t="str">
        <f t="shared" si="51"/>
        <v>2 Years</v>
      </c>
      <c r="O912" t="s">
        <v>1520</v>
      </c>
      <c r="P912" t="s">
        <v>2778</v>
      </c>
      <c r="Q912">
        <v>2026</v>
      </c>
      <c r="R912" s="29" t="s">
        <v>44</v>
      </c>
      <c r="S912" s="29" t="s">
        <v>45</v>
      </c>
      <c r="T912" s="4" t="s">
        <v>3099</v>
      </c>
    </row>
    <row r="913" spans="2:20" ht="72">
      <c r="B913" t="s">
        <v>3100</v>
      </c>
      <c r="C913" s="22" t="s">
        <v>3101</v>
      </c>
      <c r="D913" s="52" t="s">
        <v>2469</v>
      </c>
      <c r="E913" t="s">
        <v>33</v>
      </c>
      <c r="F913" s="68" t="s">
        <v>3102</v>
      </c>
      <c r="G913" s="48" t="s">
        <v>3103</v>
      </c>
      <c r="H913" s="5" t="s">
        <v>3104</v>
      </c>
      <c r="I913" s="117" t="s">
        <v>3105</v>
      </c>
      <c r="J913" s="29" t="s">
        <v>92</v>
      </c>
      <c r="K913" s="29" t="s">
        <v>3106</v>
      </c>
      <c r="L913" t="s">
        <v>40</v>
      </c>
      <c r="M913" s="16" t="s">
        <v>2806</v>
      </c>
      <c r="N913" s="3" t="str">
        <f t="shared" si="51"/>
        <v>1  Year</v>
      </c>
      <c r="O913" t="s">
        <v>42</v>
      </c>
      <c r="P913" t="s">
        <v>2778</v>
      </c>
      <c r="Q913">
        <v>2026</v>
      </c>
      <c r="R913" s="29" t="s">
        <v>44</v>
      </c>
      <c r="S913" s="29" t="s">
        <v>3055</v>
      </c>
      <c r="T913" s="4" t="s">
        <v>3107</v>
      </c>
    </row>
    <row r="914" spans="2:20" ht="72">
      <c r="B914" t="s">
        <v>3100</v>
      </c>
      <c r="C914" s="22" t="s">
        <v>3101</v>
      </c>
      <c r="D914" s="52" t="s">
        <v>2469</v>
      </c>
      <c r="E914" t="s">
        <v>33</v>
      </c>
      <c r="F914" s="68" t="s">
        <v>3102</v>
      </c>
      <c r="G914" s="48" t="s">
        <v>3103</v>
      </c>
      <c r="H914" s="5" t="s">
        <v>3108</v>
      </c>
      <c r="I914" s="117" t="s">
        <v>3105</v>
      </c>
      <c r="J914" s="29" t="s">
        <v>88</v>
      </c>
      <c r="K914" s="29" t="s">
        <v>3106</v>
      </c>
      <c r="L914" t="s">
        <v>40</v>
      </c>
      <c r="M914" s="16" t="s">
        <v>2806</v>
      </c>
      <c r="N914" s="3" t="str">
        <f t="shared" si="51"/>
        <v>1  Year</v>
      </c>
      <c r="O914" t="s">
        <v>42</v>
      </c>
      <c r="P914" t="s">
        <v>2778</v>
      </c>
      <c r="Q914">
        <v>2026</v>
      </c>
      <c r="R914" s="29" t="s">
        <v>44</v>
      </c>
      <c r="S914" s="29" t="s">
        <v>3055</v>
      </c>
      <c r="T914" s="4" t="s">
        <v>3107</v>
      </c>
    </row>
    <row r="915" spans="2:20" ht="72">
      <c r="B915" t="s">
        <v>3100</v>
      </c>
      <c r="C915" s="22" t="s">
        <v>3101</v>
      </c>
      <c r="D915" s="52" t="s">
        <v>2469</v>
      </c>
      <c r="E915" t="s">
        <v>33</v>
      </c>
      <c r="F915" s="68" t="s">
        <v>3102</v>
      </c>
      <c r="G915" s="48" t="s">
        <v>3103</v>
      </c>
      <c r="H915" s="5" t="s">
        <v>3108</v>
      </c>
      <c r="I915" s="117" t="s">
        <v>3105</v>
      </c>
      <c r="J915" s="29" t="s">
        <v>48</v>
      </c>
      <c r="K915" s="29" t="s">
        <v>3106</v>
      </c>
      <c r="L915" t="s">
        <v>40</v>
      </c>
      <c r="M915" s="16" t="s">
        <v>2806</v>
      </c>
      <c r="N915" s="3" t="str">
        <f t="shared" si="51"/>
        <v>1  Year</v>
      </c>
      <c r="O915" t="s">
        <v>42</v>
      </c>
      <c r="P915" t="s">
        <v>2778</v>
      </c>
      <c r="Q915">
        <v>2026</v>
      </c>
      <c r="R915" s="29" t="s">
        <v>44</v>
      </c>
      <c r="S915" s="29" t="s">
        <v>3055</v>
      </c>
      <c r="T915" s="4" t="s">
        <v>3107</v>
      </c>
    </row>
    <row r="916" spans="2:20" ht="43.2">
      <c r="B916" t="s">
        <v>3109</v>
      </c>
      <c r="C916" s="22" t="s">
        <v>3110</v>
      </c>
      <c r="D916" s="52" t="s">
        <v>3111</v>
      </c>
      <c r="E916" t="s">
        <v>52</v>
      </c>
      <c r="F916" s="68" t="s">
        <v>120</v>
      </c>
      <c r="G916" s="48" t="s">
        <v>2776</v>
      </c>
      <c r="H916" s="5" t="s">
        <v>3112</v>
      </c>
      <c r="I916" s="117" t="s">
        <v>123</v>
      </c>
      <c r="J916" s="29" t="s">
        <v>1081</v>
      </c>
      <c r="K916" s="29" t="s">
        <v>3113</v>
      </c>
      <c r="L916" t="s">
        <v>40</v>
      </c>
      <c r="M916" s="16" t="s">
        <v>2806</v>
      </c>
      <c r="N916" s="3" t="str">
        <f t="shared" si="51"/>
        <v>1  Year</v>
      </c>
      <c r="O916" t="s">
        <v>42</v>
      </c>
      <c r="P916" t="s">
        <v>2778</v>
      </c>
      <c r="Q916">
        <v>2026</v>
      </c>
      <c r="R916" s="29" t="s">
        <v>1981</v>
      </c>
      <c r="S916" s="29" t="s">
        <v>45</v>
      </c>
      <c r="T916" s="4" t="s">
        <v>3114</v>
      </c>
    </row>
    <row r="917" spans="2:20" ht="28.8">
      <c r="B917" t="s">
        <v>3115</v>
      </c>
      <c r="C917" s="22" t="s">
        <v>3116</v>
      </c>
      <c r="D917" s="52" t="s">
        <v>3117</v>
      </c>
      <c r="E917" t="s">
        <v>182</v>
      </c>
      <c r="F917" s="68" t="s">
        <v>3118</v>
      </c>
      <c r="G917" s="48" t="s">
        <v>3119</v>
      </c>
      <c r="H917" s="5" t="s">
        <v>3120</v>
      </c>
      <c r="I917" s="120" t="s">
        <v>3121</v>
      </c>
      <c r="J917" s="29" t="s">
        <v>145</v>
      </c>
      <c r="K917" s="29" t="s">
        <v>3122</v>
      </c>
      <c r="L917" t="s">
        <v>40</v>
      </c>
      <c r="M917" s="16" t="s">
        <v>2806</v>
      </c>
      <c r="N917" s="3" t="str">
        <f t="shared" si="51"/>
        <v>1  Year</v>
      </c>
      <c r="O917" t="s">
        <v>1520</v>
      </c>
      <c r="P917" t="s">
        <v>2778</v>
      </c>
      <c r="Q917">
        <v>2026</v>
      </c>
      <c r="R917" s="29" t="s">
        <v>44</v>
      </c>
      <c r="S917" s="29" t="s">
        <v>45</v>
      </c>
      <c r="T917" s="4" t="s">
        <v>3123</v>
      </c>
    </row>
    <row r="918" spans="2:20" ht="28.8">
      <c r="B918" t="s">
        <v>3124</v>
      </c>
      <c r="C918" s="22" t="s">
        <v>3125</v>
      </c>
      <c r="D918" s="52" t="s">
        <v>548</v>
      </c>
      <c r="E918" t="s">
        <v>182</v>
      </c>
      <c r="F918" s="68" t="s">
        <v>3118</v>
      </c>
      <c r="G918" s="48" t="s">
        <v>3119</v>
      </c>
      <c r="H918" s="5" t="s">
        <v>3126</v>
      </c>
      <c r="I918" s="120" t="s">
        <v>3121</v>
      </c>
      <c r="J918" s="29" t="s">
        <v>145</v>
      </c>
      <c r="K918" s="29" t="s">
        <v>3122</v>
      </c>
      <c r="L918" t="s">
        <v>40</v>
      </c>
      <c r="M918" s="16" t="s">
        <v>2806</v>
      </c>
      <c r="N918" s="3" t="str">
        <f t="shared" si="51"/>
        <v>1  Year</v>
      </c>
      <c r="O918" t="s">
        <v>1520</v>
      </c>
      <c r="P918" t="s">
        <v>2778</v>
      </c>
      <c r="Q918">
        <v>2026</v>
      </c>
      <c r="R918" s="29" t="s">
        <v>44</v>
      </c>
      <c r="S918" s="29" t="s">
        <v>45</v>
      </c>
      <c r="T918" s="4" t="s">
        <v>3123</v>
      </c>
    </row>
    <row r="919" spans="2:20" ht="28.8">
      <c r="B919" t="s">
        <v>3127</v>
      </c>
      <c r="C919" s="22" t="s">
        <v>3128</v>
      </c>
      <c r="D919" s="52" t="s">
        <v>3046</v>
      </c>
      <c r="E919" t="s">
        <v>182</v>
      </c>
      <c r="F919" s="68" t="s">
        <v>3129</v>
      </c>
      <c r="G919" s="48" t="s">
        <v>3130</v>
      </c>
      <c r="H919" s="5" t="s">
        <v>3131</v>
      </c>
      <c r="I919" s="117" t="s">
        <v>3051</v>
      </c>
      <c r="J919" s="29" t="s">
        <v>145</v>
      </c>
      <c r="K919" s="29" t="s">
        <v>3132</v>
      </c>
      <c r="L919" t="s">
        <v>40</v>
      </c>
      <c r="M919" s="16" t="s">
        <v>2806</v>
      </c>
      <c r="N919" s="3" t="str">
        <f>IF(L919="New","1  Year",IF(L919="Promotional","15 Weeks",IF(L919="Revalidation","2 Years","")))</f>
        <v>1  Year</v>
      </c>
      <c r="O919" t="s">
        <v>1910</v>
      </c>
      <c r="P919" t="s">
        <v>2778</v>
      </c>
      <c r="Q919">
        <v>2026</v>
      </c>
      <c r="R919" s="29" t="s">
        <v>44</v>
      </c>
      <c r="S919" s="29" t="s">
        <v>45</v>
      </c>
      <c r="T919" s="4" t="s">
        <v>3133</v>
      </c>
    </row>
    <row r="920" spans="2:20" ht="72">
      <c r="B920" t="s">
        <v>3071</v>
      </c>
      <c r="C920" s="22" t="s">
        <v>3058</v>
      </c>
      <c r="D920" s="52" t="s">
        <v>288</v>
      </c>
      <c r="E920" t="s">
        <v>33</v>
      </c>
      <c r="F920" s="68" t="s">
        <v>1130</v>
      </c>
      <c r="G920" s="48" t="s">
        <v>2844</v>
      </c>
      <c r="H920" s="5" t="s">
        <v>2845</v>
      </c>
      <c r="I920" s="117" t="s">
        <v>2846</v>
      </c>
      <c r="J920" s="29" t="s">
        <v>88</v>
      </c>
      <c r="K920" s="29" t="s">
        <v>3134</v>
      </c>
      <c r="L920" t="s">
        <v>40</v>
      </c>
      <c r="M920" s="16" t="s">
        <v>2806</v>
      </c>
      <c r="N920" s="3" t="str">
        <f t="shared" si="51"/>
        <v>1  Year</v>
      </c>
      <c r="O920" t="s">
        <v>42</v>
      </c>
      <c r="P920" t="s">
        <v>2778</v>
      </c>
      <c r="Q920">
        <v>2026</v>
      </c>
      <c r="R920" s="29" t="s">
        <v>1981</v>
      </c>
      <c r="S920" s="29" t="s">
        <v>45</v>
      </c>
      <c r="T920" s="4" t="s">
        <v>3135</v>
      </c>
    </row>
    <row r="921" spans="2:20" ht="72">
      <c r="B921" t="s">
        <v>3063</v>
      </c>
      <c r="C921" s="22" t="s">
        <v>3064</v>
      </c>
      <c r="D921" s="52" t="s">
        <v>3065</v>
      </c>
      <c r="E921" t="s">
        <v>33</v>
      </c>
      <c r="F921" s="68" t="s">
        <v>1130</v>
      </c>
      <c r="G921" s="48" t="s">
        <v>2844</v>
      </c>
      <c r="H921" s="5" t="s">
        <v>2845</v>
      </c>
      <c r="I921" s="117" t="s">
        <v>2846</v>
      </c>
      <c r="J921" s="29" t="s">
        <v>88</v>
      </c>
      <c r="K921" s="29" t="s">
        <v>3134</v>
      </c>
      <c r="L921" t="s">
        <v>40</v>
      </c>
      <c r="M921" s="16" t="s">
        <v>2806</v>
      </c>
      <c r="N921" s="3" t="str">
        <f t="shared" si="51"/>
        <v>1  Year</v>
      </c>
      <c r="O921" t="s">
        <v>42</v>
      </c>
      <c r="P921" t="s">
        <v>2778</v>
      </c>
      <c r="Q921">
        <v>2026</v>
      </c>
      <c r="R921" s="29" t="s">
        <v>1981</v>
      </c>
      <c r="S921" s="29" t="s">
        <v>45</v>
      </c>
      <c r="T921" s="4" t="s">
        <v>3135</v>
      </c>
    </row>
    <row r="922" spans="2:20" ht="72">
      <c r="B922" t="s">
        <v>3067</v>
      </c>
      <c r="C922" s="22" t="s">
        <v>3068</v>
      </c>
      <c r="D922" s="52" t="s">
        <v>3069</v>
      </c>
      <c r="E922" t="s">
        <v>33</v>
      </c>
      <c r="F922" s="68" t="s">
        <v>1130</v>
      </c>
      <c r="G922" s="48" t="s">
        <v>2844</v>
      </c>
      <c r="H922" s="5" t="s">
        <v>2845</v>
      </c>
      <c r="I922" s="117" t="s">
        <v>2846</v>
      </c>
      <c r="J922" s="29" t="s">
        <v>88</v>
      </c>
      <c r="K922" s="29" t="s">
        <v>3134</v>
      </c>
      <c r="L922" t="s">
        <v>40</v>
      </c>
      <c r="M922" s="16" t="s">
        <v>2806</v>
      </c>
      <c r="N922" s="3" t="str">
        <f t="shared" si="51"/>
        <v>1  Year</v>
      </c>
      <c r="O922" t="s">
        <v>42</v>
      </c>
      <c r="P922" t="s">
        <v>2778</v>
      </c>
      <c r="Q922">
        <v>2026</v>
      </c>
      <c r="R922" s="29" t="s">
        <v>1981</v>
      </c>
      <c r="S922" s="29" t="s">
        <v>45</v>
      </c>
      <c r="T922" s="4" t="s">
        <v>3135</v>
      </c>
    </row>
    <row r="923" spans="2:20" ht="28.8">
      <c r="B923" t="s">
        <v>3136</v>
      </c>
      <c r="C923" s="22" t="s">
        <v>3137</v>
      </c>
      <c r="D923" s="52" t="s">
        <v>3138</v>
      </c>
      <c r="E923" t="s">
        <v>52</v>
      </c>
      <c r="F923" s="68" t="s">
        <v>120</v>
      </c>
      <c r="G923" s="48" t="s">
        <v>2970</v>
      </c>
      <c r="H923" s="5" t="s">
        <v>3112</v>
      </c>
      <c r="I923" s="117" t="s">
        <v>2971</v>
      </c>
      <c r="J923" s="29" t="s">
        <v>57</v>
      </c>
      <c r="K923" s="29" t="s">
        <v>3139</v>
      </c>
      <c r="L923" t="s">
        <v>40</v>
      </c>
      <c r="M923" s="16" t="s">
        <v>2806</v>
      </c>
      <c r="N923" s="3" t="str">
        <f t="shared" si="51"/>
        <v>1  Year</v>
      </c>
      <c r="O923" t="s">
        <v>42</v>
      </c>
      <c r="P923" t="s">
        <v>2778</v>
      </c>
      <c r="Q923">
        <v>2026</v>
      </c>
      <c r="R923" s="29" t="s">
        <v>1981</v>
      </c>
      <c r="S923" s="29" t="s">
        <v>45</v>
      </c>
      <c r="T923" s="4" t="s">
        <v>3140</v>
      </c>
    </row>
    <row r="924" spans="2:20" ht="28.8">
      <c r="B924" t="s">
        <v>3141</v>
      </c>
      <c r="C924" s="22" t="s">
        <v>3142</v>
      </c>
      <c r="D924" s="52" t="s">
        <v>3138</v>
      </c>
      <c r="E924" t="s">
        <v>52</v>
      </c>
      <c r="F924" s="68" t="s">
        <v>120</v>
      </c>
      <c r="G924" s="48" t="s">
        <v>2970</v>
      </c>
      <c r="H924" s="5" t="s">
        <v>3112</v>
      </c>
      <c r="I924" s="117" t="s">
        <v>2971</v>
      </c>
      <c r="J924" s="29" t="s">
        <v>57</v>
      </c>
      <c r="K924" s="29" t="s">
        <v>3139</v>
      </c>
      <c r="L924" t="s">
        <v>40</v>
      </c>
      <c r="M924" s="16" t="s">
        <v>2806</v>
      </c>
      <c r="N924" s="3" t="str">
        <f t="shared" si="51"/>
        <v>1  Year</v>
      </c>
      <c r="O924" t="s">
        <v>42</v>
      </c>
      <c r="P924" t="s">
        <v>2778</v>
      </c>
      <c r="Q924">
        <v>2026</v>
      </c>
      <c r="R924" s="29" t="s">
        <v>1981</v>
      </c>
      <c r="S924" s="29" t="s">
        <v>45</v>
      </c>
      <c r="T924" s="4" t="s">
        <v>277</v>
      </c>
    </row>
    <row r="925" spans="2:20" ht="28.8">
      <c r="B925" t="s">
        <v>3143</v>
      </c>
      <c r="C925" s="22" t="s">
        <v>3144</v>
      </c>
      <c r="D925" s="52" t="s">
        <v>3138</v>
      </c>
      <c r="E925" t="s">
        <v>52</v>
      </c>
      <c r="F925" s="68" t="s">
        <v>120</v>
      </c>
      <c r="G925" s="48" t="s">
        <v>2970</v>
      </c>
      <c r="H925" s="5" t="s">
        <v>3112</v>
      </c>
      <c r="I925" s="117" t="s">
        <v>2971</v>
      </c>
      <c r="J925" s="29" t="s">
        <v>57</v>
      </c>
      <c r="K925" s="29" t="s">
        <v>3139</v>
      </c>
      <c r="L925" t="s">
        <v>40</v>
      </c>
      <c r="M925" s="16" t="s">
        <v>2806</v>
      </c>
      <c r="N925" s="3" t="str">
        <f t="shared" si="51"/>
        <v>1  Year</v>
      </c>
      <c r="O925" t="s">
        <v>42</v>
      </c>
      <c r="P925" t="s">
        <v>2778</v>
      </c>
      <c r="Q925">
        <v>2026</v>
      </c>
      <c r="R925" s="29" t="s">
        <v>1981</v>
      </c>
      <c r="S925" s="29" t="s">
        <v>45</v>
      </c>
      <c r="T925" s="4" t="s">
        <v>3140</v>
      </c>
    </row>
    <row r="926" spans="2:20" ht="28.8">
      <c r="B926" t="s">
        <v>3145</v>
      </c>
      <c r="C926" s="22" t="s">
        <v>3146</v>
      </c>
      <c r="D926" s="52" t="s">
        <v>3138</v>
      </c>
      <c r="E926" t="s">
        <v>52</v>
      </c>
      <c r="F926" s="68" t="s">
        <v>120</v>
      </c>
      <c r="G926" s="48" t="s">
        <v>2970</v>
      </c>
      <c r="H926" s="5" t="s">
        <v>3112</v>
      </c>
      <c r="I926" s="117" t="s">
        <v>2971</v>
      </c>
      <c r="J926" s="29" t="s">
        <v>57</v>
      </c>
      <c r="K926" s="29" t="s">
        <v>3139</v>
      </c>
      <c r="L926" t="s">
        <v>40</v>
      </c>
      <c r="M926" s="16" t="s">
        <v>2806</v>
      </c>
      <c r="N926" s="3" t="str">
        <f t="shared" si="51"/>
        <v>1  Year</v>
      </c>
      <c r="O926" t="s">
        <v>42</v>
      </c>
      <c r="P926" t="s">
        <v>2778</v>
      </c>
      <c r="Q926">
        <v>2026</v>
      </c>
      <c r="R926" s="29" t="s">
        <v>1981</v>
      </c>
      <c r="S926" s="29" t="s">
        <v>45</v>
      </c>
      <c r="T926" s="4" t="s">
        <v>3140</v>
      </c>
    </row>
    <row r="927" spans="2:20" ht="28.8">
      <c r="B927" t="s">
        <v>3147</v>
      </c>
      <c r="C927" s="22" t="s">
        <v>3148</v>
      </c>
      <c r="D927" s="52" t="s">
        <v>3138</v>
      </c>
      <c r="E927" t="s">
        <v>52</v>
      </c>
      <c r="F927" s="68" t="s">
        <v>120</v>
      </c>
      <c r="G927" s="48" t="s">
        <v>2970</v>
      </c>
      <c r="H927" s="5" t="s">
        <v>3112</v>
      </c>
      <c r="I927" t="s">
        <v>2971</v>
      </c>
      <c r="J927" s="29" t="s">
        <v>57</v>
      </c>
      <c r="K927" s="29" t="s">
        <v>3149</v>
      </c>
      <c r="L927" t="s">
        <v>40</v>
      </c>
      <c r="M927" s="16" t="s">
        <v>2806</v>
      </c>
      <c r="N927" s="3" t="str">
        <f>IF(L927="New","1  Year",IF(L927="Promotional","15 Weeks",IF(L927="Revalidation","2 Years","")))</f>
        <v>1  Year</v>
      </c>
      <c r="O927" t="s">
        <v>42</v>
      </c>
      <c r="P927" t="s">
        <v>2778</v>
      </c>
      <c r="Q927">
        <v>2026</v>
      </c>
      <c r="R927" s="29" t="s">
        <v>1981</v>
      </c>
      <c r="S927" s="29" t="s">
        <v>45</v>
      </c>
      <c r="T927" s="4" t="s">
        <v>3150</v>
      </c>
    </row>
    <row r="928" spans="2:20" ht="28.8">
      <c r="B928" t="s">
        <v>3151</v>
      </c>
      <c r="C928" s="22" t="s">
        <v>3152</v>
      </c>
      <c r="D928" s="52" t="s">
        <v>3138</v>
      </c>
      <c r="E928" t="s">
        <v>52</v>
      </c>
      <c r="F928" s="68" t="s">
        <v>120</v>
      </c>
      <c r="G928" s="10" t="s">
        <v>2970</v>
      </c>
      <c r="H928" s="5" t="s">
        <v>3112</v>
      </c>
      <c r="I928" s="117" t="s">
        <v>2971</v>
      </c>
      <c r="J928" s="29" t="s">
        <v>57</v>
      </c>
      <c r="K928" s="29" t="s">
        <v>3149</v>
      </c>
      <c r="L928" t="s">
        <v>40</v>
      </c>
      <c r="M928" s="16" t="s">
        <v>2806</v>
      </c>
      <c r="N928" s="3" t="str">
        <f t="shared" si="51"/>
        <v>1  Year</v>
      </c>
      <c r="O928" t="s">
        <v>42</v>
      </c>
      <c r="P928" t="s">
        <v>2778</v>
      </c>
      <c r="Q928">
        <v>2026</v>
      </c>
      <c r="R928" s="29" t="s">
        <v>1981</v>
      </c>
      <c r="S928" s="29" t="s">
        <v>45</v>
      </c>
      <c r="T928" s="4" t="s">
        <v>3150</v>
      </c>
    </row>
    <row r="929" spans="2:20" ht="28.8">
      <c r="B929" t="s">
        <v>3136</v>
      </c>
      <c r="C929" s="22" t="s">
        <v>3137</v>
      </c>
      <c r="D929" s="52" t="s">
        <v>3138</v>
      </c>
      <c r="E929" t="s">
        <v>52</v>
      </c>
      <c r="F929" s="68" t="s">
        <v>120</v>
      </c>
      <c r="G929" s="48" t="s">
        <v>2970</v>
      </c>
      <c r="H929" s="5" t="s">
        <v>3112</v>
      </c>
      <c r="I929" s="117" t="s">
        <v>2971</v>
      </c>
      <c r="J929" s="29" t="s">
        <v>57</v>
      </c>
      <c r="K929" s="29" t="s">
        <v>3149</v>
      </c>
      <c r="L929" t="s">
        <v>40</v>
      </c>
      <c r="M929" s="16" t="s">
        <v>2806</v>
      </c>
      <c r="N929" s="3" t="str">
        <f t="shared" si="51"/>
        <v>1  Year</v>
      </c>
      <c r="O929" t="s">
        <v>42</v>
      </c>
      <c r="P929" t="s">
        <v>2778</v>
      </c>
      <c r="Q929">
        <v>2026</v>
      </c>
      <c r="R929" s="29" t="s">
        <v>1981</v>
      </c>
      <c r="S929" s="29" t="s">
        <v>45</v>
      </c>
      <c r="T929" s="4" t="s">
        <v>3140</v>
      </c>
    </row>
    <row r="930" spans="2:20" ht="28.8">
      <c r="B930" t="s">
        <v>3153</v>
      </c>
      <c r="C930" s="22" t="s">
        <v>3154</v>
      </c>
      <c r="D930" s="52" t="s">
        <v>3138</v>
      </c>
      <c r="E930" t="s">
        <v>52</v>
      </c>
      <c r="F930" s="68" t="s">
        <v>120</v>
      </c>
      <c r="G930" s="48" t="s">
        <v>2970</v>
      </c>
      <c r="H930" s="5" t="s">
        <v>3112</v>
      </c>
      <c r="I930" s="117" t="s">
        <v>2971</v>
      </c>
      <c r="J930" s="29" t="s">
        <v>57</v>
      </c>
      <c r="K930" s="29" t="s">
        <v>3149</v>
      </c>
      <c r="L930" t="s">
        <v>40</v>
      </c>
      <c r="M930" s="16" t="s">
        <v>2806</v>
      </c>
      <c r="N930" s="3" t="str">
        <f t="shared" si="51"/>
        <v>1  Year</v>
      </c>
      <c r="O930" t="s">
        <v>42</v>
      </c>
      <c r="P930" s="37" t="s">
        <v>2778</v>
      </c>
      <c r="Q930">
        <v>2026</v>
      </c>
      <c r="R930" s="29" t="s">
        <v>1981</v>
      </c>
      <c r="S930" s="29" t="s">
        <v>45</v>
      </c>
      <c r="T930" s="4" t="s">
        <v>277</v>
      </c>
    </row>
    <row r="931" spans="2:20" ht="28.8">
      <c r="B931" t="s">
        <v>3155</v>
      </c>
      <c r="C931" s="22" t="s">
        <v>3156</v>
      </c>
      <c r="D931" s="52" t="s">
        <v>3138</v>
      </c>
      <c r="E931" t="s">
        <v>52</v>
      </c>
      <c r="F931" s="68" t="s">
        <v>120</v>
      </c>
      <c r="G931" s="48" t="s">
        <v>2970</v>
      </c>
      <c r="H931" s="5" t="s">
        <v>3112</v>
      </c>
      <c r="I931" s="117" t="s">
        <v>2971</v>
      </c>
      <c r="J931" s="29" t="s">
        <v>57</v>
      </c>
      <c r="K931" s="29" t="s">
        <v>3149</v>
      </c>
      <c r="L931" t="s">
        <v>40</v>
      </c>
      <c r="M931" s="16" t="s">
        <v>2806</v>
      </c>
      <c r="N931" s="3" t="str">
        <f t="shared" si="51"/>
        <v>1  Year</v>
      </c>
      <c r="O931" t="s">
        <v>42</v>
      </c>
      <c r="P931" t="s">
        <v>2778</v>
      </c>
      <c r="Q931">
        <v>2026</v>
      </c>
      <c r="R931" s="29" t="s">
        <v>1981</v>
      </c>
      <c r="S931" s="29" t="s">
        <v>45</v>
      </c>
      <c r="T931" s="4" t="s">
        <v>3140</v>
      </c>
    </row>
    <row r="932" spans="2:20" ht="28.8">
      <c r="B932" t="s">
        <v>3157</v>
      </c>
      <c r="C932" s="22" t="s">
        <v>3158</v>
      </c>
      <c r="D932" s="52" t="s">
        <v>3138</v>
      </c>
      <c r="E932" t="s">
        <v>52</v>
      </c>
      <c r="F932" s="68" t="s">
        <v>120</v>
      </c>
      <c r="G932" s="48" t="s">
        <v>2970</v>
      </c>
      <c r="H932" s="5" t="s">
        <v>3112</v>
      </c>
      <c r="I932" s="117" t="s">
        <v>2971</v>
      </c>
      <c r="J932" s="29" t="s">
        <v>57</v>
      </c>
      <c r="K932" s="29" t="s">
        <v>3149</v>
      </c>
      <c r="L932" t="s">
        <v>40</v>
      </c>
      <c r="M932" s="16" t="s">
        <v>2806</v>
      </c>
      <c r="N932" s="3" t="str">
        <f t="shared" si="51"/>
        <v>1  Year</v>
      </c>
      <c r="O932" t="s">
        <v>42</v>
      </c>
      <c r="P932" t="s">
        <v>2778</v>
      </c>
      <c r="Q932">
        <v>2026</v>
      </c>
      <c r="R932" s="29" t="s">
        <v>1981</v>
      </c>
      <c r="S932" s="29" t="s">
        <v>45</v>
      </c>
      <c r="T932" s="4" t="s">
        <v>3140</v>
      </c>
    </row>
    <row r="933" spans="2:20" ht="28.8">
      <c r="B933" t="s">
        <v>3159</v>
      </c>
      <c r="C933" s="22" t="s">
        <v>3160</v>
      </c>
      <c r="D933" s="52" t="s">
        <v>3138</v>
      </c>
      <c r="E933" t="s">
        <v>52</v>
      </c>
      <c r="F933" s="68" t="s">
        <v>120</v>
      </c>
      <c r="G933" s="48" t="s">
        <v>2970</v>
      </c>
      <c r="H933" s="5" t="s">
        <v>3112</v>
      </c>
      <c r="I933" s="117" t="s">
        <v>2971</v>
      </c>
      <c r="J933" s="29" t="s">
        <v>57</v>
      </c>
      <c r="K933" s="29" t="s">
        <v>3149</v>
      </c>
      <c r="L933" t="s">
        <v>40</v>
      </c>
      <c r="M933" s="16" t="s">
        <v>2806</v>
      </c>
      <c r="N933" s="3" t="str">
        <f t="shared" si="51"/>
        <v>1  Year</v>
      </c>
      <c r="O933" t="s">
        <v>42</v>
      </c>
      <c r="P933" t="s">
        <v>2778</v>
      </c>
      <c r="Q933">
        <v>2026</v>
      </c>
      <c r="R933" s="29" t="s">
        <v>1981</v>
      </c>
      <c r="S933" s="29" t="s">
        <v>45</v>
      </c>
      <c r="T933" s="4" t="s">
        <v>3140</v>
      </c>
    </row>
    <row r="934" spans="2:20" ht="43.2">
      <c r="B934" t="s">
        <v>3161</v>
      </c>
      <c r="C934" s="22" t="s">
        <v>2364</v>
      </c>
      <c r="D934" s="52" t="s">
        <v>2636</v>
      </c>
      <c r="E934" t="s">
        <v>182</v>
      </c>
      <c r="F934" s="68" t="s">
        <v>966</v>
      </c>
      <c r="G934" s="48" t="s">
        <v>3162</v>
      </c>
      <c r="H934" s="5" t="s">
        <v>3163</v>
      </c>
      <c r="I934" s="117" t="s">
        <v>1474</v>
      </c>
      <c r="J934" s="29" t="s">
        <v>145</v>
      </c>
      <c r="K934" s="29" t="s">
        <v>3164</v>
      </c>
      <c r="L934" t="s">
        <v>40</v>
      </c>
      <c r="M934" s="16" t="s">
        <v>2806</v>
      </c>
      <c r="N934" s="3" t="str">
        <f t="shared" si="51"/>
        <v>1  Year</v>
      </c>
      <c r="O934" t="s">
        <v>1910</v>
      </c>
      <c r="P934" t="s">
        <v>2778</v>
      </c>
      <c r="Q934">
        <v>2026</v>
      </c>
      <c r="R934" s="29" t="s">
        <v>1981</v>
      </c>
      <c r="S934" s="29" t="s">
        <v>45</v>
      </c>
      <c r="T934" s="4" t="s">
        <v>3165</v>
      </c>
    </row>
    <row r="935" spans="2:20" ht="43.2">
      <c r="B935" t="s">
        <v>3166</v>
      </c>
      <c r="C935" s="22" t="s">
        <v>2370</v>
      </c>
      <c r="D935" s="52" t="s">
        <v>2636</v>
      </c>
      <c r="E935" t="s">
        <v>182</v>
      </c>
      <c r="F935" s="68" t="s">
        <v>966</v>
      </c>
      <c r="G935" s="48" t="s">
        <v>3162</v>
      </c>
      <c r="H935" s="5" t="s">
        <v>3163</v>
      </c>
      <c r="I935" s="117" t="s">
        <v>1474</v>
      </c>
      <c r="J935" s="29" t="s">
        <v>145</v>
      </c>
      <c r="K935" s="29" t="s">
        <v>3164</v>
      </c>
      <c r="L935" t="s">
        <v>40</v>
      </c>
      <c r="M935" s="16" t="s">
        <v>2806</v>
      </c>
      <c r="N935" s="3" t="str">
        <f t="shared" si="51"/>
        <v>1  Year</v>
      </c>
      <c r="O935" t="s">
        <v>1910</v>
      </c>
      <c r="P935" t="s">
        <v>2778</v>
      </c>
      <c r="Q935">
        <v>2026</v>
      </c>
      <c r="R935" s="29" t="s">
        <v>1981</v>
      </c>
      <c r="S935" s="29" t="s">
        <v>45</v>
      </c>
      <c r="T935" s="4" t="s">
        <v>3165</v>
      </c>
    </row>
    <row r="936" spans="2:20" ht="43.2">
      <c r="B936" t="s">
        <v>3167</v>
      </c>
      <c r="C936" s="22" t="s">
        <v>3168</v>
      </c>
      <c r="D936" s="52" t="s">
        <v>3169</v>
      </c>
      <c r="E936" t="s">
        <v>182</v>
      </c>
      <c r="F936" s="68" t="s">
        <v>3170</v>
      </c>
      <c r="G936" s="48" t="s">
        <v>3171</v>
      </c>
      <c r="H936" s="5" t="s">
        <v>3172</v>
      </c>
      <c r="I936" s="117" t="s">
        <v>3173</v>
      </c>
      <c r="J936" s="29" t="s">
        <v>48</v>
      </c>
      <c r="K936" s="29" t="s">
        <v>3174</v>
      </c>
      <c r="L936" t="s">
        <v>40</v>
      </c>
      <c r="M936" s="16" t="s">
        <v>2806</v>
      </c>
      <c r="N936" s="3" t="str">
        <f t="shared" si="51"/>
        <v>1  Year</v>
      </c>
      <c r="O936" t="s">
        <v>1910</v>
      </c>
      <c r="P936" s="37" t="s">
        <v>2778</v>
      </c>
      <c r="Q936">
        <v>2026</v>
      </c>
      <c r="R936" s="29" t="s">
        <v>44</v>
      </c>
      <c r="S936" s="29" t="s">
        <v>45</v>
      </c>
      <c r="T936" s="4" t="s">
        <v>3175</v>
      </c>
    </row>
    <row r="937" spans="2:20" ht="72">
      <c r="B937" t="s">
        <v>3176</v>
      </c>
      <c r="C937" s="22" t="s">
        <v>3177</v>
      </c>
      <c r="D937" s="52" t="s">
        <v>3169</v>
      </c>
      <c r="E937" t="s">
        <v>182</v>
      </c>
      <c r="F937" s="68" t="s">
        <v>3170</v>
      </c>
      <c r="G937" s="48" t="s">
        <v>3171</v>
      </c>
      <c r="H937" s="5" t="s">
        <v>3178</v>
      </c>
      <c r="I937" s="117" t="s">
        <v>3173</v>
      </c>
      <c r="J937" s="29" t="s">
        <v>48</v>
      </c>
      <c r="K937" s="29" t="s">
        <v>3179</v>
      </c>
      <c r="L937" t="s">
        <v>40</v>
      </c>
      <c r="M937" s="16" t="s">
        <v>2806</v>
      </c>
      <c r="N937" s="3" t="str">
        <f t="shared" si="51"/>
        <v>1  Year</v>
      </c>
      <c r="O937" t="s">
        <v>1910</v>
      </c>
      <c r="P937" t="s">
        <v>2778</v>
      </c>
      <c r="Q937">
        <v>2026</v>
      </c>
      <c r="R937" s="29" t="s">
        <v>44</v>
      </c>
      <c r="S937" s="29" t="s">
        <v>45</v>
      </c>
      <c r="T937" s="4" t="s">
        <v>3175</v>
      </c>
    </row>
    <row r="938" spans="2:20" ht="43.2">
      <c r="B938" t="s">
        <v>3180</v>
      </c>
      <c r="C938" s="22" t="s">
        <v>3181</v>
      </c>
      <c r="D938" s="52" t="s">
        <v>3169</v>
      </c>
      <c r="E938" t="s">
        <v>182</v>
      </c>
      <c r="F938" s="68" t="s">
        <v>3170</v>
      </c>
      <c r="G938" s="48" t="s">
        <v>3171</v>
      </c>
      <c r="H938" s="5" t="s">
        <v>3178</v>
      </c>
      <c r="I938" s="117" t="s">
        <v>3173</v>
      </c>
      <c r="J938" s="29" t="s">
        <v>48</v>
      </c>
      <c r="K938" s="29" t="s">
        <v>3174</v>
      </c>
      <c r="L938" t="s">
        <v>40</v>
      </c>
      <c r="M938" s="16" t="s">
        <v>2806</v>
      </c>
      <c r="N938" s="3" t="str">
        <f t="shared" si="51"/>
        <v>1  Year</v>
      </c>
      <c r="O938" t="s">
        <v>1910</v>
      </c>
      <c r="P938" t="s">
        <v>2778</v>
      </c>
      <c r="Q938">
        <v>2026</v>
      </c>
      <c r="R938" s="29" t="s">
        <v>44</v>
      </c>
      <c r="S938" s="29" t="s">
        <v>45</v>
      </c>
      <c r="T938" s="4" t="s">
        <v>3175</v>
      </c>
    </row>
    <row r="939" spans="2:20" ht="28.8">
      <c r="B939" t="s">
        <v>3182</v>
      </c>
      <c r="C939" s="22" t="s">
        <v>3183</v>
      </c>
      <c r="D939" s="52" t="s">
        <v>369</v>
      </c>
      <c r="E939" t="s">
        <v>182</v>
      </c>
      <c r="F939" s="68" t="s">
        <v>2019</v>
      </c>
      <c r="G939" s="48" t="s">
        <v>3184</v>
      </c>
      <c r="H939" s="5" t="s">
        <v>3185</v>
      </c>
      <c r="I939" s="117" t="s">
        <v>3186</v>
      </c>
      <c r="J939" s="29" t="s">
        <v>88</v>
      </c>
      <c r="K939" s="29" t="s">
        <v>3187</v>
      </c>
      <c r="L939" t="s">
        <v>40</v>
      </c>
      <c r="M939" s="16" t="s">
        <v>2806</v>
      </c>
      <c r="N939" s="3" t="str">
        <f t="shared" si="51"/>
        <v>1  Year</v>
      </c>
      <c r="O939" t="s">
        <v>1910</v>
      </c>
      <c r="P939" t="s">
        <v>2778</v>
      </c>
      <c r="Q939">
        <v>2026</v>
      </c>
      <c r="R939" s="29" t="s">
        <v>1981</v>
      </c>
      <c r="S939" s="29" t="s">
        <v>45</v>
      </c>
      <c r="T939" s="4" t="s">
        <v>3188</v>
      </c>
    </row>
    <row r="940" spans="2:20" ht="28.8">
      <c r="B940" t="s">
        <v>3182</v>
      </c>
      <c r="C940" s="22" t="s">
        <v>3183</v>
      </c>
      <c r="D940" s="52" t="s">
        <v>369</v>
      </c>
      <c r="E940" t="s">
        <v>182</v>
      </c>
      <c r="F940" s="68" t="s">
        <v>2019</v>
      </c>
      <c r="G940" s="48" t="s">
        <v>3184</v>
      </c>
      <c r="H940" s="5" t="s">
        <v>3185</v>
      </c>
      <c r="I940" s="117" t="s">
        <v>3186</v>
      </c>
      <c r="J940" s="29" t="s">
        <v>145</v>
      </c>
      <c r="K940" s="29" t="s">
        <v>3187</v>
      </c>
      <c r="L940" t="s">
        <v>40</v>
      </c>
      <c r="M940" s="16" t="s">
        <v>2806</v>
      </c>
      <c r="N940" s="3" t="str">
        <f t="shared" si="51"/>
        <v>1  Year</v>
      </c>
      <c r="O940" t="s">
        <v>1910</v>
      </c>
      <c r="P940" t="s">
        <v>2778</v>
      </c>
      <c r="Q940">
        <v>2026</v>
      </c>
      <c r="R940" s="29" t="s">
        <v>1981</v>
      </c>
      <c r="S940" s="29" t="s">
        <v>45</v>
      </c>
      <c r="T940" s="4" t="s">
        <v>3188</v>
      </c>
    </row>
    <row r="941" spans="2:20" ht="28.8">
      <c r="B941" t="s">
        <v>2371</v>
      </c>
      <c r="C941" s="22" t="s">
        <v>3189</v>
      </c>
      <c r="D941" s="52" t="s">
        <v>3190</v>
      </c>
      <c r="E941" t="s">
        <v>33</v>
      </c>
      <c r="F941" s="68" t="s">
        <v>966</v>
      </c>
      <c r="G941" s="48" t="s">
        <v>3162</v>
      </c>
      <c r="H941" s="5" t="s">
        <v>3191</v>
      </c>
      <c r="I941" s="117" t="s">
        <v>1474</v>
      </c>
      <c r="J941" s="29" t="s">
        <v>145</v>
      </c>
      <c r="K941" s="29" t="s">
        <v>3192</v>
      </c>
      <c r="L941" t="s">
        <v>40</v>
      </c>
      <c r="M941" s="16" t="s">
        <v>2806</v>
      </c>
      <c r="N941" s="3" t="str">
        <f t="shared" si="51"/>
        <v>1  Year</v>
      </c>
      <c r="O941" t="s">
        <v>42</v>
      </c>
      <c r="P941" t="s">
        <v>2778</v>
      </c>
      <c r="Q941">
        <v>2026</v>
      </c>
      <c r="R941" s="29" t="s">
        <v>1981</v>
      </c>
      <c r="S941" s="29" t="s">
        <v>45</v>
      </c>
      <c r="T941" s="4" t="s">
        <v>3193</v>
      </c>
    </row>
    <row r="942" spans="2:20" ht="86.4">
      <c r="B942" t="s">
        <v>3194</v>
      </c>
      <c r="C942" s="22" t="s">
        <v>3195</v>
      </c>
      <c r="D942" s="52" t="s">
        <v>2636</v>
      </c>
      <c r="E942" t="s">
        <v>182</v>
      </c>
      <c r="F942" s="68" t="s">
        <v>3196</v>
      </c>
      <c r="G942" s="48" t="s">
        <v>3197</v>
      </c>
      <c r="H942" s="5" t="s">
        <v>3198</v>
      </c>
      <c r="J942" s="29" t="s">
        <v>48</v>
      </c>
      <c r="K942" s="29" t="s">
        <v>3199</v>
      </c>
      <c r="L942" t="s">
        <v>40</v>
      </c>
      <c r="M942" s="16" t="s">
        <v>2806</v>
      </c>
      <c r="N942" s="3" t="str">
        <f t="shared" si="51"/>
        <v>1  Year</v>
      </c>
      <c r="O942" t="s">
        <v>1910</v>
      </c>
      <c r="P942" t="s">
        <v>2778</v>
      </c>
      <c r="Q942">
        <v>2026</v>
      </c>
      <c r="R942" s="29" t="s">
        <v>44</v>
      </c>
      <c r="S942" s="29" t="s">
        <v>45</v>
      </c>
      <c r="T942" s="4" t="s">
        <v>3200</v>
      </c>
    </row>
    <row r="943" spans="2:20" ht="86.4">
      <c r="B943" t="s">
        <v>3201</v>
      </c>
      <c r="C943" s="22" t="s">
        <v>3202</v>
      </c>
      <c r="D943" s="52" t="s">
        <v>3203</v>
      </c>
      <c r="E943" t="s">
        <v>182</v>
      </c>
      <c r="F943" s="68" t="s">
        <v>3196</v>
      </c>
      <c r="G943" s="48" t="s">
        <v>3197</v>
      </c>
      <c r="H943" s="5" t="s">
        <v>3198</v>
      </c>
      <c r="J943" s="29" t="s">
        <v>48</v>
      </c>
      <c r="K943" s="29" t="s">
        <v>3199</v>
      </c>
      <c r="L943" t="s">
        <v>40</v>
      </c>
      <c r="M943" s="16" t="s">
        <v>2806</v>
      </c>
      <c r="N943" s="3" t="str">
        <f t="shared" si="51"/>
        <v>1  Year</v>
      </c>
      <c r="O943" t="s">
        <v>1910</v>
      </c>
      <c r="P943" t="s">
        <v>2778</v>
      </c>
      <c r="Q943">
        <v>2026</v>
      </c>
      <c r="R943" s="29" t="s">
        <v>44</v>
      </c>
      <c r="S943" s="29" t="s">
        <v>45</v>
      </c>
      <c r="T943" s="4" t="s">
        <v>3200</v>
      </c>
    </row>
    <row r="944" spans="2:20" ht="86.4">
      <c r="B944" t="s">
        <v>3204</v>
      </c>
      <c r="C944" s="22" t="s">
        <v>3205</v>
      </c>
      <c r="D944" s="52" t="s">
        <v>369</v>
      </c>
      <c r="E944" t="s">
        <v>182</v>
      </c>
      <c r="F944" s="68" t="s">
        <v>3196</v>
      </c>
      <c r="G944" s="48" t="s">
        <v>3197</v>
      </c>
      <c r="H944" s="5" t="s">
        <v>3198</v>
      </c>
      <c r="J944" s="29" t="s">
        <v>48</v>
      </c>
      <c r="K944" s="29" t="s">
        <v>3199</v>
      </c>
      <c r="L944" t="s">
        <v>40</v>
      </c>
      <c r="M944" s="16" t="s">
        <v>2806</v>
      </c>
      <c r="N944" s="3" t="str">
        <f t="shared" si="51"/>
        <v>1  Year</v>
      </c>
      <c r="O944" t="s">
        <v>1910</v>
      </c>
      <c r="P944" t="s">
        <v>2778</v>
      </c>
      <c r="Q944">
        <v>2026</v>
      </c>
      <c r="R944" s="29" t="s">
        <v>44</v>
      </c>
      <c r="S944" s="29" t="s">
        <v>45</v>
      </c>
      <c r="T944" s="4" t="s">
        <v>3200</v>
      </c>
    </row>
    <row r="945" spans="2:20" ht="86.4">
      <c r="B945" t="s">
        <v>3206</v>
      </c>
      <c r="C945" s="22" t="s">
        <v>3207</v>
      </c>
      <c r="D945" s="52" t="s">
        <v>3208</v>
      </c>
      <c r="E945" t="s">
        <v>182</v>
      </c>
      <c r="F945" s="68" t="s">
        <v>3196</v>
      </c>
      <c r="G945" s="48" t="s">
        <v>3197</v>
      </c>
      <c r="H945" s="5" t="s">
        <v>3198</v>
      </c>
      <c r="J945" s="29" t="s">
        <v>48</v>
      </c>
      <c r="K945" s="29" t="s">
        <v>3199</v>
      </c>
      <c r="L945" t="s">
        <v>40</v>
      </c>
      <c r="M945" s="16" t="s">
        <v>2806</v>
      </c>
      <c r="N945" s="3" t="str">
        <f t="shared" si="51"/>
        <v>1  Year</v>
      </c>
      <c r="O945" t="s">
        <v>1910</v>
      </c>
      <c r="P945" t="s">
        <v>2778</v>
      </c>
      <c r="Q945">
        <v>2026</v>
      </c>
      <c r="R945" s="29" t="s">
        <v>44</v>
      </c>
      <c r="S945" s="29" t="s">
        <v>45</v>
      </c>
      <c r="T945" s="4" t="s">
        <v>3209</v>
      </c>
    </row>
    <row r="946" spans="2:20" ht="86.4">
      <c r="B946" t="s">
        <v>3210</v>
      </c>
      <c r="C946" s="22" t="s">
        <v>3211</v>
      </c>
      <c r="D946" s="52" t="s">
        <v>3212</v>
      </c>
      <c r="E946" t="s">
        <v>182</v>
      </c>
      <c r="F946" s="68" t="s">
        <v>3196</v>
      </c>
      <c r="G946" s="48" t="s">
        <v>3197</v>
      </c>
      <c r="H946" s="5" t="s">
        <v>3198</v>
      </c>
      <c r="J946" s="29" t="s">
        <v>48</v>
      </c>
      <c r="K946" s="29" t="s">
        <v>3199</v>
      </c>
      <c r="L946" t="s">
        <v>40</v>
      </c>
      <c r="M946" s="16" t="s">
        <v>2806</v>
      </c>
      <c r="N946" s="3" t="str">
        <f t="shared" si="51"/>
        <v>1  Year</v>
      </c>
      <c r="O946" t="s">
        <v>1910</v>
      </c>
      <c r="P946" t="s">
        <v>2778</v>
      </c>
      <c r="Q946">
        <v>2026</v>
      </c>
      <c r="R946" s="29" t="s">
        <v>44</v>
      </c>
      <c r="S946" s="29" t="s">
        <v>45</v>
      </c>
      <c r="T946" s="4" t="s">
        <v>3209</v>
      </c>
    </row>
    <row r="947" spans="2:20" ht="86.4">
      <c r="B947" t="s">
        <v>3213</v>
      </c>
      <c r="C947" s="22" t="s">
        <v>3214</v>
      </c>
      <c r="D947" s="52" t="s">
        <v>3215</v>
      </c>
      <c r="E947" t="s">
        <v>182</v>
      </c>
      <c r="F947" s="68" t="s">
        <v>3196</v>
      </c>
      <c r="G947" s="48" t="s">
        <v>3197</v>
      </c>
      <c r="H947" s="5" t="s">
        <v>3198</v>
      </c>
      <c r="J947" s="29" t="s">
        <v>48</v>
      </c>
      <c r="K947" s="29" t="s">
        <v>3199</v>
      </c>
      <c r="L947" t="s">
        <v>40</v>
      </c>
      <c r="M947" s="16" t="s">
        <v>2806</v>
      </c>
      <c r="N947" s="3" t="str">
        <f t="shared" si="51"/>
        <v>1  Year</v>
      </c>
      <c r="O947" t="s">
        <v>1910</v>
      </c>
      <c r="P947" t="s">
        <v>2778</v>
      </c>
      <c r="Q947">
        <v>2026</v>
      </c>
      <c r="R947" s="29" t="s">
        <v>44</v>
      </c>
      <c r="S947" s="29" t="s">
        <v>45</v>
      </c>
      <c r="T947" s="4" t="s">
        <v>3209</v>
      </c>
    </row>
    <row r="948" spans="2:20" ht="86.4">
      <c r="B948" s="29" t="s">
        <v>3216</v>
      </c>
      <c r="C948" s="22" t="s">
        <v>3217</v>
      </c>
      <c r="D948" s="52" t="s">
        <v>369</v>
      </c>
      <c r="E948" t="s">
        <v>182</v>
      </c>
      <c r="F948" s="68" t="s">
        <v>3196</v>
      </c>
      <c r="G948" s="48" t="s">
        <v>3197</v>
      </c>
      <c r="H948" s="5" t="s">
        <v>3198</v>
      </c>
      <c r="J948" s="29" t="s">
        <v>48</v>
      </c>
      <c r="K948" s="29" t="s">
        <v>3199</v>
      </c>
      <c r="L948" t="s">
        <v>40</v>
      </c>
      <c r="M948" s="16" t="s">
        <v>2806</v>
      </c>
      <c r="N948" s="3" t="str">
        <f t="shared" ref="N948:N967" si="52">IF(L948="New","1  Year",IF(L948="Promotional","15 Weeks",IF(L948="Revalidation","2 Years","")))</f>
        <v>1  Year</v>
      </c>
      <c r="O948" t="s">
        <v>1910</v>
      </c>
      <c r="P948" t="s">
        <v>2778</v>
      </c>
      <c r="Q948">
        <v>2026</v>
      </c>
      <c r="R948" s="29" t="s">
        <v>44</v>
      </c>
      <c r="S948" s="29" t="s">
        <v>45</v>
      </c>
      <c r="T948" s="4" t="s">
        <v>3209</v>
      </c>
    </row>
    <row r="949" spans="2:20" ht="86.4">
      <c r="B949" s="29" t="s">
        <v>3218</v>
      </c>
      <c r="C949" s="22" t="s">
        <v>3219</v>
      </c>
      <c r="D949" s="52" t="s">
        <v>369</v>
      </c>
      <c r="E949" t="s">
        <v>182</v>
      </c>
      <c r="F949" s="68" t="s">
        <v>3196</v>
      </c>
      <c r="G949" s="48" t="s">
        <v>3197</v>
      </c>
      <c r="H949" s="5" t="s">
        <v>3198</v>
      </c>
      <c r="J949" s="29" t="s">
        <v>48</v>
      </c>
      <c r="K949" s="29" t="s">
        <v>3199</v>
      </c>
      <c r="L949" t="s">
        <v>40</v>
      </c>
      <c r="M949" s="16" t="s">
        <v>2806</v>
      </c>
      <c r="N949" s="3" t="str">
        <f t="shared" si="52"/>
        <v>1  Year</v>
      </c>
      <c r="O949" t="s">
        <v>1910</v>
      </c>
      <c r="P949" t="s">
        <v>2778</v>
      </c>
      <c r="Q949">
        <v>2026</v>
      </c>
      <c r="R949" s="29" t="s">
        <v>44</v>
      </c>
      <c r="S949" s="29" t="s">
        <v>45</v>
      </c>
      <c r="T949" s="4" t="s">
        <v>3209</v>
      </c>
    </row>
    <row r="950" spans="2:20" ht="86.4">
      <c r="B950" t="s">
        <v>3220</v>
      </c>
      <c r="C950" s="22" t="s">
        <v>3221</v>
      </c>
      <c r="D950" s="52" t="s">
        <v>369</v>
      </c>
      <c r="E950" t="s">
        <v>182</v>
      </c>
      <c r="F950" s="68" t="s">
        <v>3196</v>
      </c>
      <c r="G950" s="48" t="s">
        <v>3197</v>
      </c>
      <c r="H950" s="5" t="s">
        <v>3198</v>
      </c>
      <c r="J950" s="29" t="s">
        <v>48</v>
      </c>
      <c r="K950" s="29" t="s">
        <v>3199</v>
      </c>
      <c r="L950" t="s">
        <v>40</v>
      </c>
      <c r="M950" s="16" t="s">
        <v>2806</v>
      </c>
      <c r="N950" s="3" t="str">
        <f t="shared" si="52"/>
        <v>1  Year</v>
      </c>
      <c r="O950" t="s">
        <v>1910</v>
      </c>
      <c r="P950" t="s">
        <v>2778</v>
      </c>
      <c r="Q950">
        <v>2026</v>
      </c>
      <c r="R950" s="29" t="s">
        <v>44</v>
      </c>
      <c r="S950" s="29" t="s">
        <v>45</v>
      </c>
      <c r="T950" s="4" t="s">
        <v>3209</v>
      </c>
    </row>
    <row r="951" spans="2:20" ht="86.4">
      <c r="B951" t="s">
        <v>3222</v>
      </c>
      <c r="C951" s="22" t="s">
        <v>3223</v>
      </c>
      <c r="D951" s="52" t="s">
        <v>369</v>
      </c>
      <c r="E951" t="s">
        <v>182</v>
      </c>
      <c r="F951" s="68" t="s">
        <v>3196</v>
      </c>
      <c r="G951" s="48" t="s">
        <v>3197</v>
      </c>
      <c r="H951" s="5" t="s">
        <v>3198</v>
      </c>
      <c r="J951" s="29" t="s">
        <v>48</v>
      </c>
      <c r="K951" s="29" t="s">
        <v>3199</v>
      </c>
      <c r="L951" t="s">
        <v>40</v>
      </c>
      <c r="M951" s="16" t="s">
        <v>2806</v>
      </c>
      <c r="N951" s="3" t="str">
        <f t="shared" si="52"/>
        <v>1  Year</v>
      </c>
      <c r="O951" t="s">
        <v>1910</v>
      </c>
      <c r="P951" t="s">
        <v>2778</v>
      </c>
      <c r="Q951">
        <v>2026</v>
      </c>
      <c r="R951" s="29" t="s">
        <v>44</v>
      </c>
      <c r="S951" s="29" t="s">
        <v>45</v>
      </c>
      <c r="T951" s="4" t="s">
        <v>3209</v>
      </c>
    </row>
    <row r="952" spans="2:20" ht="86.4">
      <c r="B952" t="s">
        <v>3224</v>
      </c>
      <c r="C952" s="22" t="s">
        <v>3225</v>
      </c>
      <c r="D952" s="52" t="s">
        <v>369</v>
      </c>
      <c r="E952" t="s">
        <v>182</v>
      </c>
      <c r="F952" s="68" t="s">
        <v>3196</v>
      </c>
      <c r="G952" s="48" t="s">
        <v>3197</v>
      </c>
      <c r="H952" s="5" t="s">
        <v>3198</v>
      </c>
      <c r="J952" s="29" t="s">
        <v>48</v>
      </c>
      <c r="K952" s="29" t="s">
        <v>3199</v>
      </c>
      <c r="L952" t="s">
        <v>40</v>
      </c>
      <c r="M952" s="16" t="s">
        <v>2806</v>
      </c>
      <c r="N952" s="3" t="str">
        <f>IF(L952="New","1  Year",IF(L952="Promotional","15 Weeks",IF(L952="Revalidation","2 Years","")))</f>
        <v>1  Year</v>
      </c>
      <c r="O952" t="s">
        <v>1910</v>
      </c>
      <c r="P952" t="s">
        <v>2778</v>
      </c>
      <c r="Q952">
        <v>2026</v>
      </c>
      <c r="R952" s="29" t="s">
        <v>44</v>
      </c>
      <c r="S952" s="29" t="s">
        <v>45</v>
      </c>
      <c r="T952" s="4" t="s">
        <v>3209</v>
      </c>
    </row>
    <row r="953" spans="2:20" ht="86.4">
      <c r="B953" t="s">
        <v>3226</v>
      </c>
      <c r="C953" s="22" t="s">
        <v>3227</v>
      </c>
      <c r="D953" s="52" t="s">
        <v>369</v>
      </c>
      <c r="E953" t="s">
        <v>182</v>
      </c>
      <c r="F953" s="68" t="s">
        <v>3196</v>
      </c>
      <c r="G953" s="48" t="s">
        <v>3197</v>
      </c>
      <c r="H953" s="5" t="s">
        <v>3198</v>
      </c>
      <c r="J953" s="29" t="s">
        <v>48</v>
      </c>
      <c r="K953" s="29" t="s">
        <v>3199</v>
      </c>
      <c r="L953" t="s">
        <v>40</v>
      </c>
      <c r="M953" s="143" t="s">
        <v>2806</v>
      </c>
      <c r="N953" s="3" t="str">
        <f t="shared" si="52"/>
        <v>1  Year</v>
      </c>
      <c r="O953" t="s">
        <v>1910</v>
      </c>
      <c r="P953" t="s">
        <v>2778</v>
      </c>
      <c r="Q953">
        <v>2026</v>
      </c>
      <c r="R953" s="29" t="s">
        <v>44</v>
      </c>
      <c r="S953" s="29" t="s">
        <v>45</v>
      </c>
      <c r="T953" s="4" t="s">
        <v>3209</v>
      </c>
    </row>
    <row r="954" spans="2:20" ht="86.4">
      <c r="B954" t="s">
        <v>3228</v>
      </c>
      <c r="C954" s="22" t="s">
        <v>3229</v>
      </c>
      <c r="D954" s="52" t="s">
        <v>369</v>
      </c>
      <c r="E954" t="s">
        <v>182</v>
      </c>
      <c r="F954" s="68" t="s">
        <v>3196</v>
      </c>
      <c r="G954" s="48" t="s">
        <v>3197</v>
      </c>
      <c r="H954" s="5" t="s">
        <v>3198</v>
      </c>
      <c r="J954" s="29" t="s">
        <v>48</v>
      </c>
      <c r="K954" s="29" t="s">
        <v>3199</v>
      </c>
      <c r="L954" t="s">
        <v>40</v>
      </c>
      <c r="M954" s="16" t="s">
        <v>2806</v>
      </c>
      <c r="N954" s="3" t="str">
        <f t="shared" si="52"/>
        <v>1  Year</v>
      </c>
      <c r="O954" t="s">
        <v>1910</v>
      </c>
      <c r="P954" t="s">
        <v>2778</v>
      </c>
      <c r="Q954">
        <v>2026</v>
      </c>
      <c r="R954" s="29" t="s">
        <v>44</v>
      </c>
      <c r="S954" s="29" t="s">
        <v>45</v>
      </c>
      <c r="T954" s="4" t="s">
        <v>3209</v>
      </c>
    </row>
    <row r="955" spans="2:20" ht="86.4">
      <c r="B955" t="s">
        <v>3230</v>
      </c>
      <c r="C955" s="22" t="s">
        <v>3231</v>
      </c>
      <c r="D955" s="52" t="s">
        <v>369</v>
      </c>
      <c r="E955" t="s">
        <v>182</v>
      </c>
      <c r="F955" s="68" t="s">
        <v>3196</v>
      </c>
      <c r="G955" s="48" t="s">
        <v>3197</v>
      </c>
      <c r="H955" s="5" t="s">
        <v>3198</v>
      </c>
      <c r="J955" s="29" t="s">
        <v>48</v>
      </c>
      <c r="K955" s="29" t="s">
        <v>3199</v>
      </c>
      <c r="L955" t="s">
        <v>40</v>
      </c>
      <c r="M955" s="16" t="s">
        <v>2806</v>
      </c>
      <c r="N955" s="3" t="str">
        <f t="shared" si="52"/>
        <v>1  Year</v>
      </c>
      <c r="O955" t="s">
        <v>1910</v>
      </c>
      <c r="P955" t="s">
        <v>2778</v>
      </c>
      <c r="Q955">
        <v>2026</v>
      </c>
      <c r="R955" s="29" t="s">
        <v>44</v>
      </c>
      <c r="S955" s="29" t="s">
        <v>45</v>
      </c>
      <c r="T955" s="4" t="s">
        <v>3209</v>
      </c>
    </row>
    <row r="956" spans="2:20" ht="21.6">
      <c r="B956" t="s">
        <v>3232</v>
      </c>
      <c r="C956" s="22" t="s">
        <v>3233</v>
      </c>
      <c r="D956" s="52" t="s">
        <v>548</v>
      </c>
      <c r="E956" t="s">
        <v>33</v>
      </c>
      <c r="F956" s="68" t="s">
        <v>141</v>
      </c>
      <c r="G956" s="48" t="s">
        <v>3234</v>
      </c>
      <c r="H956" s="5" t="s">
        <v>143</v>
      </c>
      <c r="I956" s="117" t="s">
        <v>3235</v>
      </c>
      <c r="J956" s="29" t="s">
        <v>48</v>
      </c>
      <c r="K956" s="29" t="s">
        <v>3236</v>
      </c>
      <c r="L956" t="s">
        <v>40</v>
      </c>
      <c r="M956" s="16" t="s">
        <v>2806</v>
      </c>
      <c r="N956" s="3" t="str">
        <f t="shared" si="52"/>
        <v>1  Year</v>
      </c>
      <c r="O956" t="s">
        <v>42</v>
      </c>
      <c r="P956" t="s">
        <v>2778</v>
      </c>
      <c r="Q956">
        <v>2026</v>
      </c>
      <c r="R956" s="29" t="s">
        <v>44</v>
      </c>
      <c r="S956" s="29" t="s">
        <v>45</v>
      </c>
      <c r="T956" s="4" t="s">
        <v>3237</v>
      </c>
    </row>
    <row r="957" spans="2:20" ht="21.6">
      <c r="B957" t="s">
        <v>3232</v>
      </c>
      <c r="C957" s="22" t="s">
        <v>3233</v>
      </c>
      <c r="D957" s="52" t="s">
        <v>548</v>
      </c>
      <c r="E957" t="s">
        <v>33</v>
      </c>
      <c r="F957" s="68" t="s">
        <v>141</v>
      </c>
      <c r="G957" s="48" t="s">
        <v>3234</v>
      </c>
      <c r="H957" s="5" t="s">
        <v>143</v>
      </c>
      <c r="I957" s="117" t="s">
        <v>3238</v>
      </c>
      <c r="J957" s="29" t="s">
        <v>145</v>
      </c>
      <c r="K957" s="37" t="s">
        <v>3236</v>
      </c>
      <c r="L957" t="s">
        <v>40</v>
      </c>
      <c r="M957" s="16" t="s">
        <v>2806</v>
      </c>
      <c r="N957" s="3" t="str">
        <f t="shared" si="52"/>
        <v>1  Year</v>
      </c>
      <c r="O957" t="s">
        <v>42</v>
      </c>
      <c r="P957" t="s">
        <v>2778</v>
      </c>
      <c r="Q957">
        <v>2026</v>
      </c>
      <c r="R957" s="29" t="s">
        <v>44</v>
      </c>
      <c r="S957" s="29" t="s">
        <v>45</v>
      </c>
      <c r="T957" s="4" t="s">
        <v>3237</v>
      </c>
    </row>
    <row r="958" spans="2:20" ht="21.6">
      <c r="B958" t="s">
        <v>3232</v>
      </c>
      <c r="C958" s="22" t="s">
        <v>3233</v>
      </c>
      <c r="D958" s="52" t="s">
        <v>548</v>
      </c>
      <c r="E958" t="s">
        <v>33</v>
      </c>
      <c r="F958" s="68" t="s">
        <v>141</v>
      </c>
      <c r="G958" s="48" t="s">
        <v>3234</v>
      </c>
      <c r="H958" s="5" t="s">
        <v>143</v>
      </c>
      <c r="I958" s="117" t="s">
        <v>3238</v>
      </c>
      <c r="J958" s="29" t="s">
        <v>159</v>
      </c>
      <c r="K958" s="29" t="s">
        <v>3236</v>
      </c>
      <c r="L958" t="s">
        <v>40</v>
      </c>
      <c r="M958" s="16" t="s">
        <v>2806</v>
      </c>
      <c r="N958" s="3" t="str">
        <f t="shared" si="52"/>
        <v>1  Year</v>
      </c>
      <c r="O958" t="s">
        <v>42</v>
      </c>
      <c r="P958" t="s">
        <v>2778</v>
      </c>
      <c r="Q958">
        <v>2026</v>
      </c>
      <c r="R958" s="29" t="s">
        <v>44</v>
      </c>
      <c r="S958" s="29" t="s">
        <v>45</v>
      </c>
      <c r="T958" s="4" t="s">
        <v>3237</v>
      </c>
    </row>
    <row r="959" spans="2:20" ht="21.6">
      <c r="B959" t="s">
        <v>3239</v>
      </c>
      <c r="C959" s="22" t="s">
        <v>3240</v>
      </c>
      <c r="D959" s="52" t="s">
        <v>548</v>
      </c>
      <c r="E959" t="s">
        <v>33</v>
      </c>
      <c r="F959" s="68" t="s">
        <v>141</v>
      </c>
      <c r="G959" s="48" t="s">
        <v>3234</v>
      </c>
      <c r="H959" s="5" t="s">
        <v>143</v>
      </c>
      <c r="I959" s="37" t="s">
        <v>3238</v>
      </c>
      <c r="J959" s="29" t="s">
        <v>48</v>
      </c>
      <c r="K959" s="29" t="s">
        <v>3236</v>
      </c>
      <c r="L959" t="s">
        <v>40</v>
      </c>
      <c r="M959" s="16" t="s">
        <v>2806</v>
      </c>
      <c r="N959" s="3" t="str">
        <f t="shared" si="52"/>
        <v>1  Year</v>
      </c>
      <c r="O959" t="s">
        <v>42</v>
      </c>
      <c r="P959" t="s">
        <v>2778</v>
      </c>
      <c r="Q959">
        <v>2026</v>
      </c>
      <c r="R959" s="29" t="s">
        <v>44</v>
      </c>
      <c r="S959" s="29" t="s">
        <v>45</v>
      </c>
      <c r="T959" s="4" t="s">
        <v>3237</v>
      </c>
    </row>
    <row r="960" spans="2:20" ht="21.6">
      <c r="B960" t="s">
        <v>3239</v>
      </c>
      <c r="C960" s="22" t="s">
        <v>3240</v>
      </c>
      <c r="D960" s="52" t="s">
        <v>548</v>
      </c>
      <c r="E960" t="s">
        <v>33</v>
      </c>
      <c r="F960" s="68" t="s">
        <v>141</v>
      </c>
      <c r="G960" s="48" t="s">
        <v>3234</v>
      </c>
      <c r="H960" s="5" t="s">
        <v>143</v>
      </c>
      <c r="I960" s="117" t="s">
        <v>3238</v>
      </c>
      <c r="J960" s="29" t="s">
        <v>145</v>
      </c>
      <c r="K960" s="29" t="s">
        <v>3236</v>
      </c>
      <c r="L960" t="s">
        <v>40</v>
      </c>
      <c r="M960" s="16" t="s">
        <v>2806</v>
      </c>
      <c r="N960" s="3" t="str">
        <f t="shared" si="52"/>
        <v>1  Year</v>
      </c>
      <c r="O960" t="s">
        <v>42</v>
      </c>
      <c r="P960" t="s">
        <v>2778</v>
      </c>
      <c r="Q960">
        <v>2026</v>
      </c>
      <c r="R960" s="29" t="s">
        <v>44</v>
      </c>
      <c r="S960" s="29" t="s">
        <v>45</v>
      </c>
      <c r="T960" s="4" t="s">
        <v>3237</v>
      </c>
    </row>
    <row r="961" spans="2:29" ht="21.6">
      <c r="B961" t="s">
        <v>3239</v>
      </c>
      <c r="C961" s="127" t="s">
        <v>3240</v>
      </c>
      <c r="D961" s="52" t="s">
        <v>548</v>
      </c>
      <c r="E961" t="s">
        <v>33</v>
      </c>
      <c r="F961" s="68" t="s">
        <v>141</v>
      </c>
      <c r="G961" s="48" t="s">
        <v>3234</v>
      </c>
      <c r="H961" s="5" t="s">
        <v>143</v>
      </c>
      <c r="I961" s="117" t="s">
        <v>3238</v>
      </c>
      <c r="J961" s="29" t="s">
        <v>159</v>
      </c>
      <c r="K961" s="29" t="s">
        <v>3236</v>
      </c>
      <c r="L961" t="s">
        <v>40</v>
      </c>
      <c r="M961" s="16" t="s">
        <v>2806</v>
      </c>
      <c r="N961" s="3" t="str">
        <f t="shared" si="52"/>
        <v>1  Year</v>
      </c>
      <c r="O961" t="s">
        <v>42</v>
      </c>
      <c r="P961" t="s">
        <v>2778</v>
      </c>
      <c r="Q961">
        <v>2026</v>
      </c>
      <c r="R961" s="29" t="s">
        <v>44</v>
      </c>
      <c r="S961" s="29" t="s">
        <v>45</v>
      </c>
      <c r="T961" s="4" t="s">
        <v>3237</v>
      </c>
    </row>
    <row r="962" spans="2:29" ht="21.6">
      <c r="B962" t="s">
        <v>3241</v>
      </c>
      <c r="C962" s="22" t="s">
        <v>3242</v>
      </c>
      <c r="D962" s="52" t="s">
        <v>548</v>
      </c>
      <c r="E962" t="s">
        <v>33</v>
      </c>
      <c r="F962" s="68" t="s">
        <v>141</v>
      </c>
      <c r="G962" s="48" t="s">
        <v>3234</v>
      </c>
      <c r="H962" s="5" t="s">
        <v>143</v>
      </c>
      <c r="I962" s="117" t="s">
        <v>3238</v>
      </c>
      <c r="J962" s="29" t="s">
        <v>48</v>
      </c>
      <c r="K962" s="29" t="s">
        <v>3236</v>
      </c>
      <c r="L962" t="s">
        <v>40</v>
      </c>
      <c r="M962" s="16" t="s">
        <v>2806</v>
      </c>
      <c r="N962" s="3" t="str">
        <f t="shared" si="52"/>
        <v>1  Year</v>
      </c>
      <c r="O962" t="s">
        <v>42</v>
      </c>
      <c r="P962" t="s">
        <v>2778</v>
      </c>
      <c r="Q962">
        <v>2026</v>
      </c>
      <c r="R962" s="29" t="s">
        <v>44</v>
      </c>
      <c r="S962" s="29" t="s">
        <v>45</v>
      </c>
      <c r="T962" s="4" t="s">
        <v>3237</v>
      </c>
    </row>
    <row r="963" spans="2:29" ht="21.6">
      <c r="B963" t="s">
        <v>3241</v>
      </c>
      <c r="C963" s="22" t="s">
        <v>3242</v>
      </c>
      <c r="D963" s="52" t="s">
        <v>548</v>
      </c>
      <c r="E963" t="s">
        <v>33</v>
      </c>
      <c r="F963" s="68" t="s">
        <v>141</v>
      </c>
      <c r="G963" s="48" t="s">
        <v>3234</v>
      </c>
      <c r="H963" s="5" t="s">
        <v>143</v>
      </c>
      <c r="I963" s="117" t="s">
        <v>3238</v>
      </c>
      <c r="J963" s="29" t="s">
        <v>145</v>
      </c>
      <c r="K963" s="29" t="s">
        <v>3236</v>
      </c>
      <c r="L963" t="s">
        <v>40</v>
      </c>
      <c r="M963" s="16" t="s">
        <v>2806</v>
      </c>
      <c r="N963" s="3" t="str">
        <f t="shared" si="52"/>
        <v>1  Year</v>
      </c>
      <c r="O963" t="s">
        <v>42</v>
      </c>
      <c r="P963" t="s">
        <v>2778</v>
      </c>
      <c r="Q963">
        <v>2026</v>
      </c>
      <c r="R963" s="29" t="s">
        <v>44</v>
      </c>
      <c r="S963" s="29" t="s">
        <v>45</v>
      </c>
      <c r="T963" s="4" t="s">
        <v>3237</v>
      </c>
    </row>
    <row r="964" spans="2:29" ht="21.6">
      <c r="B964" t="s">
        <v>3241</v>
      </c>
      <c r="C964" s="22" t="s">
        <v>3242</v>
      </c>
      <c r="D964" s="52" t="s">
        <v>548</v>
      </c>
      <c r="E964" t="s">
        <v>33</v>
      </c>
      <c r="F964" s="68" t="s">
        <v>141</v>
      </c>
      <c r="G964" s="48" t="s">
        <v>3234</v>
      </c>
      <c r="H964" s="5" t="s">
        <v>143</v>
      </c>
      <c r="I964" s="117" t="s">
        <v>3238</v>
      </c>
      <c r="J964" s="29" t="s">
        <v>159</v>
      </c>
      <c r="K964" s="29" t="s">
        <v>3236</v>
      </c>
      <c r="L964" t="s">
        <v>40</v>
      </c>
      <c r="M964" s="16" t="s">
        <v>2806</v>
      </c>
      <c r="N964" s="3" t="str">
        <f t="shared" si="52"/>
        <v>1  Year</v>
      </c>
      <c r="O964" t="s">
        <v>42</v>
      </c>
      <c r="P964" t="s">
        <v>2778</v>
      </c>
      <c r="Q964">
        <v>2026</v>
      </c>
      <c r="R964" s="29" t="s">
        <v>44</v>
      </c>
      <c r="S964" s="29" t="s">
        <v>45</v>
      </c>
      <c r="T964" s="4" t="s">
        <v>3237</v>
      </c>
    </row>
    <row r="965" spans="2:29" ht="21.6">
      <c r="B965" t="s">
        <v>3243</v>
      </c>
      <c r="C965" s="22" t="s">
        <v>3244</v>
      </c>
      <c r="D965" s="52" t="s">
        <v>3245</v>
      </c>
      <c r="E965" t="s">
        <v>33</v>
      </c>
      <c r="F965" s="68" t="s">
        <v>217</v>
      </c>
      <c r="G965" s="48" t="s">
        <v>1997</v>
      </c>
      <c r="H965" s="61" t="s">
        <v>3246</v>
      </c>
      <c r="I965" s="117" t="s">
        <v>1729</v>
      </c>
      <c r="J965" s="29" t="s">
        <v>48</v>
      </c>
      <c r="K965" s="29" t="s">
        <v>3247</v>
      </c>
      <c r="L965" t="s">
        <v>40</v>
      </c>
      <c r="M965" s="16" t="s">
        <v>2806</v>
      </c>
      <c r="N965" s="3" t="str">
        <f t="shared" si="52"/>
        <v>1  Year</v>
      </c>
      <c r="O965" t="s">
        <v>1910</v>
      </c>
      <c r="P965" t="s">
        <v>2778</v>
      </c>
      <c r="Q965">
        <v>2026</v>
      </c>
      <c r="R965" s="29" t="s">
        <v>44</v>
      </c>
      <c r="S965" s="29" t="s">
        <v>45</v>
      </c>
      <c r="T965" s="4" t="s">
        <v>3248</v>
      </c>
    </row>
    <row r="966" spans="2:29" ht="21.6">
      <c r="B966" t="s">
        <v>2001</v>
      </c>
      <c r="C966" s="22" t="s">
        <v>2002</v>
      </c>
      <c r="D966" s="52" t="s">
        <v>726</v>
      </c>
      <c r="E966" t="s">
        <v>33</v>
      </c>
      <c r="F966" s="61" t="s">
        <v>217</v>
      </c>
      <c r="G966" s="48" t="s">
        <v>1997</v>
      </c>
      <c r="H966" s="5" t="s">
        <v>3246</v>
      </c>
      <c r="I966" s="117" t="s">
        <v>1729</v>
      </c>
      <c r="J966" s="29" t="s">
        <v>48</v>
      </c>
      <c r="K966" s="29" t="s">
        <v>3247</v>
      </c>
      <c r="L966" t="s">
        <v>40</v>
      </c>
      <c r="M966" s="16" t="s">
        <v>2806</v>
      </c>
      <c r="N966" s="3" t="str">
        <f t="shared" si="52"/>
        <v>1  Year</v>
      </c>
      <c r="O966" t="s">
        <v>1910</v>
      </c>
      <c r="P966" s="37" t="s">
        <v>2778</v>
      </c>
      <c r="Q966">
        <v>2026</v>
      </c>
      <c r="R966" s="29" t="s">
        <v>44</v>
      </c>
      <c r="S966" s="29" t="s">
        <v>45</v>
      </c>
      <c r="T966" s="4" t="s">
        <v>3248</v>
      </c>
    </row>
    <row r="967" spans="2:29" ht="21.6">
      <c r="B967" t="s">
        <v>668</v>
      </c>
      <c r="C967" s="22" t="s">
        <v>2002</v>
      </c>
      <c r="D967" s="52" t="s">
        <v>670</v>
      </c>
      <c r="E967" t="s">
        <v>33</v>
      </c>
      <c r="F967" s="68" t="s">
        <v>217</v>
      </c>
      <c r="G967" s="48" t="s">
        <v>1997</v>
      </c>
      <c r="H967" s="5" t="s">
        <v>3246</v>
      </c>
      <c r="I967" s="117" t="s">
        <v>1729</v>
      </c>
      <c r="J967" s="29" t="s">
        <v>48</v>
      </c>
      <c r="K967" s="29" t="s">
        <v>3247</v>
      </c>
      <c r="L967" t="s">
        <v>40</v>
      </c>
      <c r="M967" s="16" t="s">
        <v>2806</v>
      </c>
      <c r="N967" s="3" t="str">
        <f t="shared" si="52"/>
        <v>1  Year</v>
      </c>
      <c r="O967" t="s">
        <v>1910</v>
      </c>
      <c r="P967" s="37" t="s">
        <v>2778</v>
      </c>
      <c r="Q967">
        <v>2026</v>
      </c>
      <c r="R967" s="29" t="s">
        <v>44</v>
      </c>
      <c r="S967" s="29" t="s">
        <v>45</v>
      </c>
      <c r="T967" s="4" t="s">
        <v>3248</v>
      </c>
    </row>
    <row r="968" spans="2:29" ht="31.8">
      <c r="B968" s="17" t="s">
        <v>2734</v>
      </c>
      <c r="C968" s="22" t="s">
        <v>2735</v>
      </c>
      <c r="D968" s="52" t="s">
        <v>1697</v>
      </c>
      <c r="E968" t="s">
        <v>182</v>
      </c>
      <c r="F968" s="124" t="s">
        <v>226</v>
      </c>
      <c r="G968" s="48" t="s">
        <v>3249</v>
      </c>
      <c r="H968" s="5" t="s">
        <v>3250</v>
      </c>
      <c r="I968" s="117" t="s">
        <v>3251</v>
      </c>
      <c r="J968" s="29" t="s">
        <v>48</v>
      </c>
      <c r="K968" s="124" t="s">
        <v>3252</v>
      </c>
      <c r="L968" t="s">
        <v>40</v>
      </c>
      <c r="M968" s="16" t="s">
        <v>3253</v>
      </c>
      <c r="N968" s="3" t="str">
        <f t="shared" ref="N968:N1011" si="53">IF(L968="New","1  Year",IF(L968="Promotional","15 Weeks",IF(L968="Revalidation","2 Years","")))</f>
        <v>1  Year</v>
      </c>
      <c r="O968" t="s">
        <v>1910</v>
      </c>
      <c r="P968" t="s">
        <v>43</v>
      </c>
      <c r="Q968">
        <v>2026</v>
      </c>
      <c r="R968" s="29" t="s">
        <v>44</v>
      </c>
      <c r="S968" s="29" t="s">
        <v>45</v>
      </c>
      <c r="T968" s="5" t="s">
        <v>3254</v>
      </c>
      <c r="U968" t="s">
        <v>104</v>
      </c>
      <c r="W968" s="81">
        <v>0.38194444444444442</v>
      </c>
      <c r="X968" t="s">
        <v>104</v>
      </c>
      <c r="Y968" s="94" t="s">
        <v>2319</v>
      </c>
      <c r="Z968" t="s">
        <v>104</v>
      </c>
      <c r="AA968" t="s">
        <v>104</v>
      </c>
      <c r="AB968" t="s">
        <v>165</v>
      </c>
      <c r="AC968" t="s">
        <v>3769</v>
      </c>
    </row>
    <row r="969" spans="2:29" ht="31.8">
      <c r="B969" s="17" t="s">
        <v>2734</v>
      </c>
      <c r="C969" s="22" t="s">
        <v>2735</v>
      </c>
      <c r="D969" s="52" t="s">
        <v>1697</v>
      </c>
      <c r="E969" t="s">
        <v>182</v>
      </c>
      <c r="F969" s="124" t="s">
        <v>226</v>
      </c>
      <c r="G969" s="48" t="s">
        <v>3249</v>
      </c>
      <c r="H969" s="5" t="s">
        <v>3250</v>
      </c>
      <c r="I969" s="117" t="s">
        <v>3251</v>
      </c>
      <c r="J969" s="29" t="s">
        <v>145</v>
      </c>
      <c r="K969" s="124" t="s">
        <v>3252</v>
      </c>
      <c r="L969" t="s">
        <v>40</v>
      </c>
      <c r="M969" s="16" t="s">
        <v>3253</v>
      </c>
      <c r="N969" s="3" t="str">
        <f t="shared" ref="N969" si="54">IF(L969="New","1  Year",IF(L969="Promotional","15 Weeks",IF(L969="Revalidation","2 Years","")))</f>
        <v>1  Year</v>
      </c>
      <c r="O969" t="s">
        <v>1910</v>
      </c>
      <c r="P969" t="s">
        <v>43</v>
      </c>
      <c r="Q969">
        <v>2026</v>
      </c>
      <c r="R969" s="29" t="s">
        <v>44</v>
      </c>
      <c r="S969" s="29" t="s">
        <v>45</v>
      </c>
      <c r="T969" s="5" t="s">
        <v>3254</v>
      </c>
      <c r="U969" t="s">
        <v>162</v>
      </c>
      <c r="W969" s="81">
        <v>0.3923611111111111</v>
      </c>
      <c r="X969" t="s">
        <v>163</v>
      </c>
      <c r="Y969" s="79" t="s">
        <v>103</v>
      </c>
      <c r="Z969" t="s">
        <v>104</v>
      </c>
      <c r="AA969" s="4" t="s">
        <v>3255</v>
      </c>
      <c r="AB969" t="s">
        <v>165</v>
      </c>
      <c r="AC969" t="s">
        <v>3769</v>
      </c>
    </row>
    <row r="970" spans="2:29" ht="31.8">
      <c r="B970" s="17" t="s">
        <v>2734</v>
      </c>
      <c r="C970" s="22" t="s">
        <v>2735</v>
      </c>
      <c r="D970" s="52" t="s">
        <v>1697</v>
      </c>
      <c r="E970" t="s">
        <v>182</v>
      </c>
      <c r="F970" s="124" t="s">
        <v>226</v>
      </c>
      <c r="G970" s="48" t="s">
        <v>3249</v>
      </c>
      <c r="H970" s="5" t="s">
        <v>3250</v>
      </c>
      <c r="I970" s="117" t="s">
        <v>3251</v>
      </c>
      <c r="J970" s="29" t="s">
        <v>88</v>
      </c>
      <c r="K970" s="124" t="s">
        <v>3252</v>
      </c>
      <c r="L970" t="s">
        <v>40</v>
      </c>
      <c r="M970" s="16" t="s">
        <v>3253</v>
      </c>
      <c r="N970" s="3" t="str">
        <f t="shared" ref="N970" si="55">IF(L970="New","1  Year",IF(L970="Promotional","15 Weeks",IF(L970="Revalidation","2 Years","")))</f>
        <v>1  Year</v>
      </c>
      <c r="O970" t="s">
        <v>1910</v>
      </c>
      <c r="P970" t="s">
        <v>43</v>
      </c>
      <c r="Q970">
        <v>2026</v>
      </c>
      <c r="R970" s="29" t="s">
        <v>44</v>
      </c>
      <c r="S970" s="29" t="s">
        <v>45</v>
      </c>
      <c r="T970" s="5" t="s">
        <v>3254</v>
      </c>
      <c r="U970" t="s">
        <v>104</v>
      </c>
      <c r="W970" s="81">
        <v>0.39583333333333331</v>
      </c>
      <c r="X970" t="s">
        <v>104</v>
      </c>
      <c r="Y970" s="94" t="s">
        <v>2319</v>
      </c>
      <c r="Z970" t="s">
        <v>104</v>
      </c>
      <c r="AA970" t="s">
        <v>104</v>
      </c>
      <c r="AB970" t="s">
        <v>165</v>
      </c>
      <c r="AC970" t="s">
        <v>3769</v>
      </c>
    </row>
    <row r="971" spans="2:29" ht="31.8">
      <c r="B971" s="17" t="s">
        <v>2810</v>
      </c>
      <c r="C971" s="17" t="s">
        <v>1292</v>
      </c>
      <c r="D971" s="52">
        <v>23</v>
      </c>
      <c r="E971" t="s">
        <v>182</v>
      </c>
      <c r="F971" s="124" t="s">
        <v>226</v>
      </c>
      <c r="G971" s="48" t="s">
        <v>3249</v>
      </c>
      <c r="H971" s="5" t="s">
        <v>3250</v>
      </c>
      <c r="I971" s="117" t="s">
        <v>3251</v>
      </c>
      <c r="J971" s="29" t="s">
        <v>48</v>
      </c>
      <c r="K971" s="124" t="s">
        <v>3256</v>
      </c>
      <c r="L971" t="s">
        <v>40</v>
      </c>
      <c r="M971" s="16" t="s">
        <v>3253</v>
      </c>
      <c r="N971" s="3" t="str">
        <f t="shared" si="53"/>
        <v>1  Year</v>
      </c>
      <c r="O971" t="s">
        <v>1910</v>
      </c>
      <c r="P971" t="s">
        <v>43</v>
      </c>
      <c r="Q971">
        <v>2026</v>
      </c>
      <c r="R971" s="29" t="s">
        <v>44</v>
      </c>
      <c r="S971" s="29" t="s">
        <v>45</v>
      </c>
      <c r="T971" s="4" t="s">
        <v>3257</v>
      </c>
      <c r="U971" t="s">
        <v>104</v>
      </c>
      <c r="W971" s="81">
        <v>0.43055555555555558</v>
      </c>
      <c r="X971" t="s">
        <v>104</v>
      </c>
      <c r="Y971" s="94" t="s">
        <v>2319</v>
      </c>
      <c r="Z971" t="s">
        <v>104</v>
      </c>
      <c r="AA971" t="s">
        <v>104</v>
      </c>
      <c r="AB971" t="s">
        <v>165</v>
      </c>
      <c r="AC971" t="s">
        <v>3769</v>
      </c>
    </row>
    <row r="972" spans="2:29" ht="31.8">
      <c r="B972" s="17" t="s">
        <v>2810</v>
      </c>
      <c r="C972" s="17" t="s">
        <v>1292</v>
      </c>
      <c r="D972" s="52">
        <v>23</v>
      </c>
      <c r="E972" t="s">
        <v>182</v>
      </c>
      <c r="F972" s="124" t="s">
        <v>226</v>
      </c>
      <c r="G972" s="48" t="s">
        <v>3249</v>
      </c>
      <c r="H972" s="5" t="s">
        <v>3250</v>
      </c>
      <c r="I972" s="117" t="s">
        <v>3251</v>
      </c>
      <c r="J972" s="29" t="s">
        <v>145</v>
      </c>
      <c r="K972" s="124" t="s">
        <v>3256</v>
      </c>
      <c r="L972" t="s">
        <v>40</v>
      </c>
      <c r="M972" s="16" t="s">
        <v>3253</v>
      </c>
      <c r="N972" s="3" t="str">
        <f t="shared" si="53"/>
        <v>1  Year</v>
      </c>
      <c r="O972" t="s">
        <v>1910</v>
      </c>
      <c r="P972" t="s">
        <v>43</v>
      </c>
      <c r="Q972">
        <v>2026</v>
      </c>
      <c r="R972" s="29" t="s">
        <v>44</v>
      </c>
      <c r="S972" s="29" t="s">
        <v>45</v>
      </c>
      <c r="T972" s="4" t="s">
        <v>3257</v>
      </c>
      <c r="U972" t="s">
        <v>104</v>
      </c>
      <c r="W972" s="81">
        <v>0.43194444444444446</v>
      </c>
      <c r="X972" t="s">
        <v>104</v>
      </c>
      <c r="Y972" s="94" t="s">
        <v>2319</v>
      </c>
      <c r="Z972" t="s">
        <v>104</v>
      </c>
      <c r="AA972" t="s">
        <v>104</v>
      </c>
      <c r="AB972" s="158" t="s">
        <v>165</v>
      </c>
      <c r="AC972" t="s">
        <v>3769</v>
      </c>
    </row>
    <row r="973" spans="2:29" ht="31.8">
      <c r="B973" s="17" t="s">
        <v>2810</v>
      </c>
      <c r="C973" s="17" t="s">
        <v>1292</v>
      </c>
      <c r="D973" s="52">
        <v>23</v>
      </c>
      <c r="E973" t="s">
        <v>182</v>
      </c>
      <c r="F973" s="124" t="s">
        <v>226</v>
      </c>
      <c r="G973" s="48" t="s">
        <v>3249</v>
      </c>
      <c r="H973" s="5" t="s">
        <v>3250</v>
      </c>
      <c r="I973" s="117" t="s">
        <v>3251</v>
      </c>
      <c r="J973" s="29" t="s">
        <v>48</v>
      </c>
      <c r="K973" s="124" t="s">
        <v>2812</v>
      </c>
      <c r="L973" t="s">
        <v>40</v>
      </c>
      <c r="M973" s="16" t="s">
        <v>3253</v>
      </c>
      <c r="N973" s="3" t="str">
        <f>IF(L973="New","1  Year",IF(L973="Promotional","15 Weeks",IF(L973="Revalidation","2 Years","")))</f>
        <v>1  Year</v>
      </c>
      <c r="O973" t="s">
        <v>1910</v>
      </c>
      <c r="P973" t="s">
        <v>43</v>
      </c>
      <c r="Q973">
        <v>2026</v>
      </c>
      <c r="R973" s="29" t="s">
        <v>44</v>
      </c>
      <c r="S973" s="29" t="s">
        <v>45</v>
      </c>
      <c r="T973" s="5" t="s">
        <v>3258</v>
      </c>
      <c r="U973" t="s">
        <v>104</v>
      </c>
      <c r="W973" s="93">
        <v>0.4375</v>
      </c>
      <c r="X973" t="s">
        <v>104</v>
      </c>
      <c r="Y973" s="94" t="s">
        <v>2319</v>
      </c>
      <c r="Z973" t="s">
        <v>104</v>
      </c>
      <c r="AA973" t="s">
        <v>104</v>
      </c>
      <c r="AB973" t="s">
        <v>165</v>
      </c>
      <c r="AC973" t="s">
        <v>3769</v>
      </c>
    </row>
    <row r="974" spans="2:29" ht="31.8">
      <c r="B974" s="17" t="s">
        <v>2810</v>
      </c>
      <c r="C974" s="17" t="s">
        <v>1292</v>
      </c>
      <c r="D974" s="52">
        <v>23</v>
      </c>
      <c r="E974" t="s">
        <v>182</v>
      </c>
      <c r="F974" s="124" t="s">
        <v>226</v>
      </c>
      <c r="G974" s="48" t="s">
        <v>3249</v>
      </c>
      <c r="H974" s="5" t="s">
        <v>3250</v>
      </c>
      <c r="I974" s="117" t="s">
        <v>3251</v>
      </c>
      <c r="J974" s="29" t="s">
        <v>145</v>
      </c>
      <c r="K974" s="124" t="s">
        <v>2812</v>
      </c>
      <c r="L974" t="s">
        <v>40</v>
      </c>
      <c r="M974" s="16" t="s">
        <v>3253</v>
      </c>
      <c r="N974" s="3" t="str">
        <f>IF(L974="New","1  Year",IF(L974="Promotional","15 Weeks",IF(L974="Revalidation","2 Years","")))</f>
        <v>1  Year</v>
      </c>
      <c r="O974" t="s">
        <v>1910</v>
      </c>
      <c r="P974" t="s">
        <v>43</v>
      </c>
      <c r="Q974">
        <v>2026</v>
      </c>
      <c r="R974" s="29" t="s">
        <v>44</v>
      </c>
      <c r="S974" s="29" t="s">
        <v>45</v>
      </c>
      <c r="T974" s="5" t="s">
        <v>3258</v>
      </c>
      <c r="U974" t="s">
        <v>104</v>
      </c>
      <c r="W974" s="81">
        <v>0.44305555555555554</v>
      </c>
      <c r="X974" t="s">
        <v>104</v>
      </c>
      <c r="Y974" s="94" t="s">
        <v>2319</v>
      </c>
      <c r="Z974" t="s">
        <v>104</v>
      </c>
      <c r="AA974" t="s">
        <v>104</v>
      </c>
      <c r="AB974" t="s">
        <v>165</v>
      </c>
      <c r="AC974" t="s">
        <v>3769</v>
      </c>
    </row>
    <row r="975" spans="2:29" ht="43.2">
      <c r="B975" s="17" t="s">
        <v>3259</v>
      </c>
      <c r="C975" s="17" t="s">
        <v>340</v>
      </c>
      <c r="D975" s="52" t="s">
        <v>3260</v>
      </c>
      <c r="E975" t="s">
        <v>33</v>
      </c>
      <c r="F975" s="68" t="s">
        <v>3006</v>
      </c>
      <c r="G975" s="48" t="s">
        <v>3261</v>
      </c>
      <c r="H975" s="5" t="s">
        <v>3262</v>
      </c>
      <c r="I975" s="117" t="s">
        <v>3263</v>
      </c>
      <c r="J975" s="29" t="s">
        <v>92</v>
      </c>
      <c r="K975" s="97" t="s">
        <v>3264</v>
      </c>
      <c r="L975" t="s">
        <v>40</v>
      </c>
      <c r="M975" s="16" t="s">
        <v>3253</v>
      </c>
      <c r="N975" s="3" t="str">
        <f t="shared" si="53"/>
        <v>1  Year</v>
      </c>
      <c r="O975" t="s">
        <v>42</v>
      </c>
      <c r="P975" t="s">
        <v>43</v>
      </c>
      <c r="Q975">
        <v>2026</v>
      </c>
      <c r="R975" s="29" t="s">
        <v>1981</v>
      </c>
      <c r="S975" s="29" t="s">
        <v>395</v>
      </c>
      <c r="T975" s="4" t="s">
        <v>3265</v>
      </c>
      <c r="U975" t="s">
        <v>104</v>
      </c>
      <c r="W975" s="81">
        <v>0.47222222222222221</v>
      </c>
      <c r="X975" t="s">
        <v>104</v>
      </c>
      <c r="Y975" s="94" t="s">
        <v>2319</v>
      </c>
      <c r="Z975" t="s">
        <v>104</v>
      </c>
      <c r="AA975" t="s">
        <v>104</v>
      </c>
      <c r="AB975" t="s">
        <v>165</v>
      </c>
      <c r="AC975" t="s">
        <v>3769</v>
      </c>
    </row>
    <row r="976" spans="2:29" ht="43.2">
      <c r="B976" s="17" t="s">
        <v>3259</v>
      </c>
      <c r="C976" s="17" t="s">
        <v>340</v>
      </c>
      <c r="D976" s="52" t="s">
        <v>3260</v>
      </c>
      <c r="E976" t="s">
        <v>33</v>
      </c>
      <c r="F976" s="68" t="s">
        <v>3006</v>
      </c>
      <c r="G976" s="48" t="s">
        <v>3261</v>
      </c>
      <c r="H976" s="5" t="s">
        <v>3262</v>
      </c>
      <c r="I976" s="117" t="s">
        <v>3263</v>
      </c>
      <c r="J976" s="29" t="s">
        <v>92</v>
      </c>
      <c r="K976" s="97" t="s">
        <v>3264</v>
      </c>
      <c r="L976" t="s">
        <v>40</v>
      </c>
      <c r="M976" s="16" t="s">
        <v>3253</v>
      </c>
      <c r="N976" s="3" t="str">
        <f t="shared" ref="N976" si="56">IF(L976="New","1  Year",IF(L976="Promotional","15 Weeks",IF(L976="Revalidation","2 Years","")))</f>
        <v>1  Year</v>
      </c>
      <c r="O976" t="s">
        <v>42</v>
      </c>
      <c r="P976" t="s">
        <v>43</v>
      </c>
      <c r="Q976">
        <v>2026</v>
      </c>
      <c r="R976" s="29" t="s">
        <v>1981</v>
      </c>
      <c r="S976" s="29" t="s">
        <v>356</v>
      </c>
      <c r="T976" s="4" t="s">
        <v>3266</v>
      </c>
      <c r="U976" t="s">
        <v>104</v>
      </c>
      <c r="W976" s="81">
        <v>0.47222222222222221</v>
      </c>
      <c r="X976" t="s">
        <v>104</v>
      </c>
      <c r="Y976" s="94" t="s">
        <v>2319</v>
      </c>
      <c r="Z976" t="s">
        <v>104</v>
      </c>
      <c r="AA976" t="s">
        <v>104</v>
      </c>
      <c r="AB976" t="s">
        <v>165</v>
      </c>
      <c r="AC976" t="s">
        <v>3769</v>
      </c>
    </row>
    <row r="977" spans="2:29" ht="28.8">
      <c r="B977" s="59" t="s">
        <v>3267</v>
      </c>
      <c r="C977" s="59" t="s">
        <v>3268</v>
      </c>
      <c r="D977" s="52" t="s">
        <v>962</v>
      </c>
      <c r="E977" t="s">
        <v>52</v>
      </c>
      <c r="F977" s="68" t="s">
        <v>120</v>
      </c>
      <c r="G977" s="48" t="s">
        <v>121</v>
      </c>
      <c r="H977" s="5" t="s">
        <v>122</v>
      </c>
      <c r="I977" s="117" t="s">
        <v>123</v>
      </c>
      <c r="J977" s="29" t="s">
        <v>124</v>
      </c>
      <c r="K977" s="97" t="s">
        <v>3269</v>
      </c>
      <c r="L977" t="s">
        <v>40</v>
      </c>
      <c r="M977" s="16" t="s">
        <v>3253</v>
      </c>
      <c r="N977" s="3" t="str">
        <f t="shared" ref="N977" si="57">IF(L977="New","1  Year",IF(L977="Promotional","15 Weeks",IF(L977="Revalidation","2 Years","")))</f>
        <v>1  Year</v>
      </c>
      <c r="O977" t="s">
        <v>42</v>
      </c>
      <c r="P977" t="s">
        <v>43</v>
      </c>
      <c r="Q977">
        <v>2026</v>
      </c>
      <c r="R977" s="29" t="s">
        <v>1981</v>
      </c>
      <c r="S977" s="29" t="s">
        <v>45</v>
      </c>
      <c r="T977" s="4" t="s">
        <v>3270</v>
      </c>
      <c r="U977" t="s">
        <v>104</v>
      </c>
      <c r="W977" s="81">
        <v>0.50208333333333333</v>
      </c>
      <c r="X977" t="s">
        <v>104</v>
      </c>
      <c r="Y977" s="94" t="s">
        <v>2319</v>
      </c>
      <c r="Z977" t="s">
        <v>104</v>
      </c>
      <c r="AA977" t="s">
        <v>104</v>
      </c>
      <c r="AB977" t="s">
        <v>165</v>
      </c>
      <c r="AC977" t="s">
        <v>3769</v>
      </c>
    </row>
    <row r="978" spans="2:29" ht="28.8">
      <c r="B978" s="17" t="s">
        <v>3271</v>
      </c>
      <c r="C978" s="22" t="s">
        <v>3272</v>
      </c>
      <c r="D978" s="52" t="s">
        <v>629</v>
      </c>
      <c r="E978" t="s">
        <v>33</v>
      </c>
      <c r="F978" s="124" t="s">
        <v>2820</v>
      </c>
      <c r="G978" s="60" t="s">
        <v>3273</v>
      </c>
      <c r="H978" s="5" t="s">
        <v>2822</v>
      </c>
      <c r="I978" s="120" t="s">
        <v>3274</v>
      </c>
      <c r="J978" s="29" t="s">
        <v>145</v>
      </c>
      <c r="K978" s="97" t="s">
        <v>3275</v>
      </c>
      <c r="L978" t="s">
        <v>40</v>
      </c>
      <c r="M978" s="16" t="s">
        <v>3253</v>
      </c>
      <c r="N978" s="3" t="str">
        <f t="shared" si="53"/>
        <v>1  Year</v>
      </c>
      <c r="O978" t="s">
        <v>811</v>
      </c>
      <c r="P978" t="s">
        <v>43</v>
      </c>
      <c r="Q978">
        <v>2026</v>
      </c>
      <c r="R978" s="29" t="s">
        <v>44</v>
      </c>
      <c r="S978" s="29" t="s">
        <v>45</v>
      </c>
      <c r="T978" s="4" t="s">
        <v>3276</v>
      </c>
      <c r="U978" t="s">
        <v>162</v>
      </c>
      <c r="W978" s="81">
        <v>0.58888888888888891</v>
      </c>
      <c r="X978" t="s">
        <v>163</v>
      </c>
      <c r="Y978" s="79" t="s">
        <v>103</v>
      </c>
      <c r="Z978" t="s">
        <v>104</v>
      </c>
      <c r="AA978" s="4" t="s">
        <v>3771</v>
      </c>
      <c r="AB978" t="s">
        <v>165</v>
      </c>
      <c r="AC978" t="s">
        <v>3769</v>
      </c>
    </row>
    <row r="979" spans="2:29" ht="28.8">
      <c r="B979" s="17" t="s">
        <v>3277</v>
      </c>
      <c r="C979" s="22" t="s">
        <v>3278</v>
      </c>
      <c r="D979" s="52" t="s">
        <v>629</v>
      </c>
      <c r="E979" t="s">
        <v>33</v>
      </c>
      <c r="F979" s="124" t="s">
        <v>2820</v>
      </c>
      <c r="G979" s="60" t="s">
        <v>3273</v>
      </c>
      <c r="H979" s="5" t="s">
        <v>2822</v>
      </c>
      <c r="I979" s="120" t="s">
        <v>3274</v>
      </c>
      <c r="J979" s="29" t="s">
        <v>145</v>
      </c>
      <c r="K979" s="97" t="s">
        <v>3279</v>
      </c>
      <c r="L979" t="s">
        <v>40</v>
      </c>
      <c r="M979" s="16" t="s">
        <v>3253</v>
      </c>
      <c r="N979" s="3" t="str">
        <f t="shared" si="53"/>
        <v>1  Year</v>
      </c>
      <c r="O979" t="s">
        <v>811</v>
      </c>
      <c r="P979" t="s">
        <v>43</v>
      </c>
      <c r="Q979">
        <v>2026</v>
      </c>
      <c r="R979" s="29" t="s">
        <v>44</v>
      </c>
      <c r="S979" s="29" t="s">
        <v>45</v>
      </c>
      <c r="T979" s="4" t="s">
        <v>3280</v>
      </c>
      <c r="U979" t="s">
        <v>162</v>
      </c>
      <c r="W979" s="81">
        <v>0.59791666666666665</v>
      </c>
      <c r="X979" t="s">
        <v>163</v>
      </c>
      <c r="Y979" s="79" t="s">
        <v>103</v>
      </c>
      <c r="Z979" t="s">
        <v>104</v>
      </c>
      <c r="AA979" s="4" t="s">
        <v>3772</v>
      </c>
      <c r="AB979" t="s">
        <v>165</v>
      </c>
      <c r="AC979" t="s">
        <v>3769</v>
      </c>
    </row>
    <row r="980" spans="2:29" ht="28.8">
      <c r="B980" s="17" t="s">
        <v>3281</v>
      </c>
      <c r="C980" s="17" t="s">
        <v>3282</v>
      </c>
      <c r="D980" s="52" t="s">
        <v>629</v>
      </c>
      <c r="E980" t="s">
        <v>33</v>
      </c>
      <c r="F980" s="124" t="s">
        <v>2820</v>
      </c>
      <c r="G980" s="60" t="s">
        <v>3273</v>
      </c>
      <c r="H980" s="5" t="s">
        <v>2822</v>
      </c>
      <c r="I980" s="120" t="s">
        <v>3274</v>
      </c>
      <c r="J980" s="29" t="s">
        <v>145</v>
      </c>
      <c r="K980" s="97" t="s">
        <v>3283</v>
      </c>
      <c r="L980" t="s">
        <v>40</v>
      </c>
      <c r="M980" s="16" t="s">
        <v>3253</v>
      </c>
      <c r="N980" s="3" t="str">
        <f t="shared" si="53"/>
        <v>1  Year</v>
      </c>
      <c r="O980" t="s">
        <v>811</v>
      </c>
      <c r="P980" t="s">
        <v>43</v>
      </c>
      <c r="Q980">
        <v>2026</v>
      </c>
      <c r="R980" s="29" t="s">
        <v>44</v>
      </c>
      <c r="S980" s="29" t="s">
        <v>45</v>
      </c>
      <c r="T980" s="4" t="s">
        <v>3284</v>
      </c>
      <c r="U980" t="s">
        <v>104</v>
      </c>
      <c r="W980" s="81">
        <v>0.60069444444444442</v>
      </c>
      <c r="X980" t="s">
        <v>104</v>
      </c>
      <c r="Y980" s="94" t="s">
        <v>2319</v>
      </c>
      <c r="Z980" t="s">
        <v>104</v>
      </c>
      <c r="AA980" t="s">
        <v>104</v>
      </c>
      <c r="AB980" t="s">
        <v>165</v>
      </c>
      <c r="AC980" t="s">
        <v>3769</v>
      </c>
    </row>
    <row r="981" spans="2:29" ht="28.8">
      <c r="B981" s="17" t="s">
        <v>3285</v>
      </c>
      <c r="C981" s="17" t="s">
        <v>3286</v>
      </c>
      <c r="D981" s="52" t="s">
        <v>629</v>
      </c>
      <c r="E981" t="s">
        <v>33</v>
      </c>
      <c r="F981" s="124" t="s">
        <v>2820</v>
      </c>
      <c r="G981" s="60" t="s">
        <v>3273</v>
      </c>
      <c r="H981" s="5" t="s">
        <v>2822</v>
      </c>
      <c r="I981" s="120" t="s">
        <v>3274</v>
      </c>
      <c r="J981" s="29" t="s">
        <v>145</v>
      </c>
      <c r="K981" s="97" t="s">
        <v>3287</v>
      </c>
      <c r="L981" t="s">
        <v>40</v>
      </c>
      <c r="M981" s="16" t="s">
        <v>3253</v>
      </c>
      <c r="N981" s="3" t="str">
        <f t="shared" si="53"/>
        <v>1  Year</v>
      </c>
      <c r="O981" t="s">
        <v>811</v>
      </c>
      <c r="P981" t="s">
        <v>43</v>
      </c>
      <c r="Q981">
        <v>2026</v>
      </c>
      <c r="R981" s="29" t="s">
        <v>44</v>
      </c>
      <c r="S981" s="29" t="s">
        <v>45</v>
      </c>
      <c r="T981" s="4" t="s">
        <v>3288</v>
      </c>
      <c r="U981" t="s">
        <v>162</v>
      </c>
      <c r="W981" s="81">
        <v>0.60763888888888884</v>
      </c>
      <c r="X981" t="s">
        <v>163</v>
      </c>
      <c r="Y981" s="79" t="s">
        <v>103</v>
      </c>
      <c r="Z981" t="s">
        <v>104</v>
      </c>
      <c r="AA981" s="4" t="s">
        <v>3773</v>
      </c>
      <c r="AB981" t="s">
        <v>165</v>
      </c>
      <c r="AC981" t="s">
        <v>3769</v>
      </c>
    </row>
    <row r="982" spans="2:29">
      <c r="B982" s="17"/>
      <c r="C982" s="17"/>
      <c r="F982" s="124"/>
      <c r="G982" s="60"/>
      <c r="H982" s="5"/>
      <c r="I982" s="120"/>
      <c r="K982" s="97"/>
      <c r="N982" s="3"/>
      <c r="T982" s="4"/>
    </row>
    <row r="983" spans="2:29" ht="52.2">
      <c r="B983" s="17" t="s">
        <v>3289</v>
      </c>
      <c r="C983" s="17" t="s">
        <v>3290</v>
      </c>
      <c r="D983" s="52" t="s">
        <v>831</v>
      </c>
      <c r="E983" t="s">
        <v>33</v>
      </c>
      <c r="F983" s="124" t="s">
        <v>1937</v>
      </c>
      <c r="G983" s="48" t="s">
        <v>3291</v>
      </c>
      <c r="H983" s="5" t="s">
        <v>3292</v>
      </c>
      <c r="I983" s="117" t="s">
        <v>3293</v>
      </c>
      <c r="J983" s="29" t="s">
        <v>48</v>
      </c>
      <c r="K983" s="124" t="s">
        <v>3294</v>
      </c>
      <c r="L983" t="s">
        <v>40</v>
      </c>
      <c r="M983" s="16" t="s">
        <v>3253</v>
      </c>
      <c r="N983" s="3" t="str">
        <f t="shared" si="53"/>
        <v>1  Year</v>
      </c>
      <c r="O983" t="s">
        <v>42</v>
      </c>
      <c r="P983" t="s">
        <v>43</v>
      </c>
      <c r="Q983">
        <v>2026</v>
      </c>
      <c r="R983" s="29" t="s">
        <v>44</v>
      </c>
      <c r="S983" s="29" t="s">
        <v>45</v>
      </c>
      <c r="T983" s="4" t="s">
        <v>3295</v>
      </c>
    </row>
    <row r="984" spans="2:29" ht="52.2">
      <c r="B984" s="17" t="s">
        <v>3289</v>
      </c>
      <c r="C984" s="17" t="s">
        <v>3290</v>
      </c>
      <c r="D984" s="52" t="s">
        <v>831</v>
      </c>
      <c r="E984" t="s">
        <v>33</v>
      </c>
      <c r="F984" s="124" t="s">
        <v>1937</v>
      </c>
      <c r="G984" s="48" t="s">
        <v>3291</v>
      </c>
      <c r="H984" s="5" t="s">
        <v>1939</v>
      </c>
      <c r="I984" s="117" t="s">
        <v>3293</v>
      </c>
      <c r="J984" s="29" t="s">
        <v>57</v>
      </c>
      <c r="K984" s="124" t="s">
        <v>3294</v>
      </c>
      <c r="L984" t="s">
        <v>40</v>
      </c>
      <c r="M984" s="16" t="s">
        <v>3253</v>
      </c>
      <c r="N984" s="3" t="str">
        <f t="shared" ref="N984:N985" si="58">IF(L984="New","1  Year",IF(L984="Promotional","15 Weeks",IF(L984="Revalidation","2 Years","")))</f>
        <v>1  Year</v>
      </c>
      <c r="O984" t="s">
        <v>42</v>
      </c>
      <c r="P984" t="s">
        <v>43</v>
      </c>
      <c r="Q984">
        <v>2026</v>
      </c>
      <c r="R984" s="29" t="s">
        <v>44</v>
      </c>
      <c r="S984" s="29" t="s">
        <v>45</v>
      </c>
      <c r="T984" s="4" t="s">
        <v>3295</v>
      </c>
    </row>
    <row r="985" spans="2:29" ht="52.2">
      <c r="B985" s="17" t="s">
        <v>3289</v>
      </c>
      <c r="C985" s="17" t="s">
        <v>3290</v>
      </c>
      <c r="D985" s="52" t="s">
        <v>831</v>
      </c>
      <c r="E985" t="s">
        <v>33</v>
      </c>
      <c r="F985" s="124" t="s">
        <v>1937</v>
      </c>
      <c r="G985" s="48" t="s">
        <v>3291</v>
      </c>
      <c r="H985" s="5" t="s">
        <v>1939</v>
      </c>
      <c r="I985" s="117" t="s">
        <v>3293</v>
      </c>
      <c r="J985" s="29" t="s">
        <v>145</v>
      </c>
      <c r="K985" s="124" t="s">
        <v>3294</v>
      </c>
      <c r="L985" t="s">
        <v>40</v>
      </c>
      <c r="M985" s="16" t="s">
        <v>3253</v>
      </c>
      <c r="N985" s="3" t="str">
        <f t="shared" si="58"/>
        <v>1  Year</v>
      </c>
      <c r="O985" t="s">
        <v>42</v>
      </c>
      <c r="P985" t="s">
        <v>43</v>
      </c>
      <c r="Q985">
        <v>2026</v>
      </c>
      <c r="R985" s="29" t="s">
        <v>44</v>
      </c>
      <c r="S985" s="29" t="s">
        <v>45</v>
      </c>
      <c r="T985" s="4" t="s">
        <v>3295</v>
      </c>
    </row>
    <row r="986" spans="2:29" ht="28.8">
      <c r="B986" s="17" t="s">
        <v>3296</v>
      </c>
      <c r="C986" s="22" t="s">
        <v>3297</v>
      </c>
      <c r="D986" s="52" t="s">
        <v>3298</v>
      </c>
      <c r="F986" s="124" t="s">
        <v>3118</v>
      </c>
      <c r="G986" s="97" t="s">
        <v>3299</v>
      </c>
      <c r="H986" s="5" t="s">
        <v>3120</v>
      </c>
      <c r="I986" s="117" t="s">
        <v>3121</v>
      </c>
      <c r="J986" s="29" t="s">
        <v>145</v>
      </c>
      <c r="K986" s="97" t="s">
        <v>3300</v>
      </c>
      <c r="L986" t="s">
        <v>40</v>
      </c>
      <c r="M986" s="16" t="s">
        <v>3253</v>
      </c>
      <c r="N986" s="3" t="str">
        <f t="shared" ref="N986" si="59">IF(L986="New","1  Year",IF(L986="Promotional","15 Weeks",IF(L986="Revalidation","2 Years","")))</f>
        <v>1  Year</v>
      </c>
      <c r="O986" t="s">
        <v>811</v>
      </c>
      <c r="P986" t="s">
        <v>43</v>
      </c>
      <c r="Q986">
        <v>2026</v>
      </c>
      <c r="R986" s="29" t="s">
        <v>44</v>
      </c>
      <c r="S986" s="29" t="s">
        <v>45</v>
      </c>
      <c r="T986" s="4" t="s">
        <v>3301</v>
      </c>
    </row>
    <row r="987" spans="2:29">
      <c r="B987" s="17" t="s">
        <v>3302</v>
      </c>
      <c r="C987" s="22" t="s">
        <v>3303</v>
      </c>
      <c r="D987" s="52" t="s">
        <v>2107</v>
      </c>
      <c r="E987" t="s">
        <v>33</v>
      </c>
      <c r="F987" s="124" t="s">
        <v>3304</v>
      </c>
      <c r="G987" s="97" t="s">
        <v>3305</v>
      </c>
      <c r="H987" s="5" t="s">
        <v>3306</v>
      </c>
      <c r="I987" s="117" t="s">
        <v>3307</v>
      </c>
      <c r="J987" s="29" t="s">
        <v>48</v>
      </c>
      <c r="K987" s="124" t="s">
        <v>3308</v>
      </c>
      <c r="L987" t="s">
        <v>40</v>
      </c>
      <c r="M987" s="16" t="s">
        <v>3253</v>
      </c>
      <c r="N987" s="3" t="str">
        <f t="shared" si="53"/>
        <v>1  Year</v>
      </c>
      <c r="O987" t="s">
        <v>42</v>
      </c>
      <c r="P987" t="s">
        <v>43</v>
      </c>
      <c r="Q987">
        <v>2026</v>
      </c>
      <c r="R987" s="29" t="s">
        <v>44</v>
      </c>
      <c r="S987" s="29" t="s">
        <v>45</v>
      </c>
      <c r="T987" s="4" t="s">
        <v>3309</v>
      </c>
    </row>
    <row r="988" spans="2:29">
      <c r="B988" s="17" t="s">
        <v>3310</v>
      </c>
      <c r="C988" s="22" t="s">
        <v>3311</v>
      </c>
      <c r="D988" s="52" t="s">
        <v>2107</v>
      </c>
      <c r="E988" t="s">
        <v>33</v>
      </c>
      <c r="F988" s="124" t="s">
        <v>3304</v>
      </c>
      <c r="G988" s="97" t="s">
        <v>3305</v>
      </c>
      <c r="H988" s="5" t="s">
        <v>3306</v>
      </c>
      <c r="I988" s="117" t="s">
        <v>3307</v>
      </c>
      <c r="J988" s="29" t="s">
        <v>48</v>
      </c>
      <c r="K988" s="124" t="s">
        <v>3308</v>
      </c>
      <c r="L988" t="s">
        <v>40</v>
      </c>
      <c r="M988" s="16" t="s">
        <v>3253</v>
      </c>
      <c r="N988" s="3" t="str">
        <f t="shared" ref="N988" si="60">IF(L988="New","1  Year",IF(L988="Promotional","15 Weeks",IF(L988="Revalidation","2 Years","")))</f>
        <v>1  Year</v>
      </c>
      <c r="O988" t="s">
        <v>42</v>
      </c>
      <c r="P988" t="s">
        <v>43</v>
      </c>
      <c r="Q988">
        <v>2026</v>
      </c>
      <c r="R988" s="29" t="s">
        <v>44</v>
      </c>
      <c r="S988" s="29" t="s">
        <v>45</v>
      </c>
      <c r="T988" s="4" t="s">
        <v>3309</v>
      </c>
    </row>
    <row r="989" spans="2:29">
      <c r="B989" s="17" t="s">
        <v>3312</v>
      </c>
      <c r="C989" s="17" t="s">
        <v>3313</v>
      </c>
      <c r="D989" s="52" t="s">
        <v>3314</v>
      </c>
      <c r="E989" t="s">
        <v>182</v>
      </c>
      <c r="F989" s="124" t="s">
        <v>2820</v>
      </c>
      <c r="G989" s="60" t="s">
        <v>3273</v>
      </c>
      <c r="H989" s="5" t="s">
        <v>2822</v>
      </c>
      <c r="I989" s="117" t="s">
        <v>3274</v>
      </c>
      <c r="J989" s="29" t="s">
        <v>145</v>
      </c>
      <c r="K989" s="97" t="s">
        <v>3315</v>
      </c>
      <c r="L989" t="s">
        <v>40</v>
      </c>
      <c r="M989" s="16" t="s">
        <v>3253</v>
      </c>
      <c r="N989" s="3" t="str">
        <f t="shared" si="53"/>
        <v>1  Year</v>
      </c>
      <c r="O989" t="s">
        <v>1910</v>
      </c>
      <c r="P989" t="s">
        <v>43</v>
      </c>
      <c r="Q989">
        <v>2026</v>
      </c>
      <c r="R989" s="29" t="s">
        <v>44</v>
      </c>
      <c r="S989" s="29" t="s">
        <v>45</v>
      </c>
      <c r="T989" s="4" t="s">
        <v>3316</v>
      </c>
    </row>
    <row r="990" spans="2:29">
      <c r="B990" s="17" t="s">
        <v>3317</v>
      </c>
      <c r="C990" s="17" t="s">
        <v>3318</v>
      </c>
      <c r="D990" s="52" t="s">
        <v>629</v>
      </c>
      <c r="F990" s="124" t="s">
        <v>2820</v>
      </c>
      <c r="G990" s="60" t="s">
        <v>3273</v>
      </c>
      <c r="H990" s="5" t="s">
        <v>2822</v>
      </c>
      <c r="I990" s="117" t="s">
        <v>3274</v>
      </c>
      <c r="J990" s="29" t="s">
        <v>145</v>
      </c>
      <c r="K990" s="124" t="s">
        <v>3319</v>
      </c>
      <c r="L990" t="s">
        <v>40</v>
      </c>
      <c r="M990" s="16" t="s">
        <v>3253</v>
      </c>
      <c r="N990" s="3" t="str">
        <f t="shared" si="53"/>
        <v>1  Year</v>
      </c>
      <c r="O990" t="s">
        <v>811</v>
      </c>
      <c r="P990" t="s">
        <v>43</v>
      </c>
      <c r="Q990">
        <v>2026</v>
      </c>
      <c r="R990" s="29" t="s">
        <v>44</v>
      </c>
      <c r="S990" s="29" t="s">
        <v>45</v>
      </c>
      <c r="T990" s="4" t="s">
        <v>3320</v>
      </c>
    </row>
    <row r="991" spans="2:29" ht="42">
      <c r="B991" s="17" t="s">
        <v>3321</v>
      </c>
      <c r="C991" s="17" t="s">
        <v>2292</v>
      </c>
      <c r="D991" s="52" t="s">
        <v>2280</v>
      </c>
      <c r="E991" t="s">
        <v>33</v>
      </c>
      <c r="F991" s="124" t="s">
        <v>832</v>
      </c>
      <c r="G991" s="65" t="s">
        <v>2461</v>
      </c>
      <c r="H991" s="5" t="s">
        <v>1824</v>
      </c>
      <c r="I991" s="117" t="s">
        <v>2281</v>
      </c>
      <c r="J991" s="29" t="s">
        <v>38</v>
      </c>
      <c r="K991" s="124" t="s">
        <v>2282</v>
      </c>
      <c r="L991" t="s">
        <v>90</v>
      </c>
      <c r="M991" s="16" t="s">
        <v>3253</v>
      </c>
      <c r="N991" s="3" t="str">
        <f t="shared" si="53"/>
        <v>2 Years</v>
      </c>
      <c r="O991" t="s">
        <v>811</v>
      </c>
      <c r="P991" t="s">
        <v>43</v>
      </c>
      <c r="Q991">
        <v>2026</v>
      </c>
      <c r="R991" s="29" t="s">
        <v>44</v>
      </c>
      <c r="S991" s="29" t="s">
        <v>45</v>
      </c>
      <c r="T991" s="4" t="s">
        <v>3322</v>
      </c>
    </row>
    <row r="992" spans="2:29" ht="42">
      <c r="B992" s="17" t="s">
        <v>2287</v>
      </c>
      <c r="C992" s="17" t="s">
        <v>2288</v>
      </c>
      <c r="D992" s="52" t="s">
        <v>2280</v>
      </c>
      <c r="E992" t="s">
        <v>33</v>
      </c>
      <c r="F992" s="124" t="s">
        <v>832</v>
      </c>
      <c r="G992" s="65" t="s">
        <v>2461</v>
      </c>
      <c r="H992" s="5" t="s">
        <v>1824</v>
      </c>
      <c r="I992" s="117" t="s">
        <v>2281</v>
      </c>
      <c r="J992" s="29" t="s">
        <v>38</v>
      </c>
      <c r="K992" s="124" t="s">
        <v>2282</v>
      </c>
      <c r="L992" t="s">
        <v>90</v>
      </c>
      <c r="M992" s="16" t="s">
        <v>3253</v>
      </c>
      <c r="N992" s="3" t="str">
        <f t="shared" si="53"/>
        <v>2 Years</v>
      </c>
      <c r="O992" t="s">
        <v>811</v>
      </c>
      <c r="P992" t="s">
        <v>43</v>
      </c>
      <c r="Q992">
        <v>2026</v>
      </c>
      <c r="R992" s="29" t="s">
        <v>44</v>
      </c>
      <c r="S992" s="29" t="s">
        <v>45</v>
      </c>
      <c r="T992" s="4" t="s">
        <v>2289</v>
      </c>
    </row>
    <row r="993" spans="2:20" ht="28.8">
      <c r="B993" s="17" t="s">
        <v>3323</v>
      </c>
      <c r="C993" s="22" t="s">
        <v>3324</v>
      </c>
      <c r="D993" s="52" t="s">
        <v>3325</v>
      </c>
      <c r="E993" t="s">
        <v>33</v>
      </c>
      <c r="F993" s="124" t="s">
        <v>2820</v>
      </c>
      <c r="G993" s="60" t="s">
        <v>3273</v>
      </c>
      <c r="H993" s="5" t="s">
        <v>2822</v>
      </c>
      <c r="I993" s="117" t="s">
        <v>3274</v>
      </c>
      <c r="J993" s="29" t="s">
        <v>145</v>
      </c>
      <c r="K993" s="29" t="s">
        <v>3326</v>
      </c>
      <c r="L993" t="s">
        <v>40</v>
      </c>
      <c r="M993" s="16" t="s">
        <v>3253</v>
      </c>
      <c r="N993" s="3" t="str">
        <f t="shared" si="53"/>
        <v>1  Year</v>
      </c>
      <c r="O993" t="s">
        <v>811</v>
      </c>
      <c r="P993" t="s">
        <v>43</v>
      </c>
      <c r="Q993">
        <v>2026</v>
      </c>
      <c r="R993" s="29" t="s">
        <v>44</v>
      </c>
      <c r="S993" s="29" t="s">
        <v>45</v>
      </c>
      <c r="T993" s="4" t="s">
        <v>3327</v>
      </c>
    </row>
    <row r="994" spans="2:20">
      <c r="B994" s="17" t="s">
        <v>3328</v>
      </c>
      <c r="C994" s="17" t="s">
        <v>3329</v>
      </c>
      <c r="D994" s="52" t="s">
        <v>629</v>
      </c>
      <c r="E994" t="s">
        <v>33</v>
      </c>
      <c r="F994" s="124" t="s">
        <v>2820</v>
      </c>
      <c r="G994" s="60" t="s">
        <v>3273</v>
      </c>
      <c r="H994" s="5" t="s">
        <v>2822</v>
      </c>
      <c r="I994" s="117" t="s">
        <v>3274</v>
      </c>
      <c r="J994" s="29" t="s">
        <v>145</v>
      </c>
      <c r="K994" s="97" t="s">
        <v>3330</v>
      </c>
      <c r="L994" t="s">
        <v>40</v>
      </c>
      <c r="M994" s="16" t="s">
        <v>3253</v>
      </c>
      <c r="N994" s="3" t="str">
        <f t="shared" si="53"/>
        <v>1  Year</v>
      </c>
      <c r="O994" t="s">
        <v>811</v>
      </c>
      <c r="P994" t="s">
        <v>43</v>
      </c>
      <c r="Q994">
        <v>2026</v>
      </c>
      <c r="R994" s="29" t="s">
        <v>44</v>
      </c>
      <c r="S994" s="29" t="s">
        <v>45</v>
      </c>
      <c r="T994" s="4" t="s">
        <v>3331</v>
      </c>
    </row>
    <row r="995" spans="2:20">
      <c r="B995" s="17" t="s">
        <v>3332</v>
      </c>
      <c r="C995" s="17" t="s">
        <v>3333</v>
      </c>
      <c r="D995" s="52" t="s">
        <v>629</v>
      </c>
      <c r="E995" t="s">
        <v>33</v>
      </c>
      <c r="F995" s="124" t="s">
        <v>2820</v>
      </c>
      <c r="G995" s="60" t="s">
        <v>3273</v>
      </c>
      <c r="H995" s="5" t="s">
        <v>2822</v>
      </c>
      <c r="I995" s="128" t="s">
        <v>3274</v>
      </c>
      <c r="J995" s="29" t="s">
        <v>145</v>
      </c>
      <c r="K995" s="97" t="s">
        <v>3334</v>
      </c>
      <c r="L995" t="s">
        <v>40</v>
      </c>
      <c r="M995" s="16" t="s">
        <v>3253</v>
      </c>
      <c r="N995" s="3" t="str">
        <f t="shared" si="53"/>
        <v>1  Year</v>
      </c>
      <c r="O995" t="s">
        <v>811</v>
      </c>
      <c r="P995" t="s">
        <v>43</v>
      </c>
      <c r="Q995">
        <v>2026</v>
      </c>
      <c r="R995" s="29" t="s">
        <v>44</v>
      </c>
      <c r="S995" s="29" t="s">
        <v>45</v>
      </c>
      <c r="T995" s="4" t="s">
        <v>3335</v>
      </c>
    </row>
    <row r="996" spans="2:20">
      <c r="B996" s="17" t="s">
        <v>3336</v>
      </c>
      <c r="C996" s="17" t="s">
        <v>3337</v>
      </c>
      <c r="D996" s="52" t="s">
        <v>629</v>
      </c>
      <c r="E996" t="s">
        <v>33</v>
      </c>
      <c r="F996" s="124" t="s">
        <v>2820</v>
      </c>
      <c r="G996" s="60" t="s">
        <v>3273</v>
      </c>
      <c r="H996" s="5" t="s">
        <v>2822</v>
      </c>
      <c r="I996" s="128" t="s">
        <v>3274</v>
      </c>
      <c r="J996" s="29" t="s">
        <v>145</v>
      </c>
      <c r="K996" s="97" t="s">
        <v>3338</v>
      </c>
      <c r="L996" t="s">
        <v>40</v>
      </c>
      <c r="M996" s="16" t="s">
        <v>3253</v>
      </c>
      <c r="N996" s="3" t="str">
        <f t="shared" si="53"/>
        <v>1  Year</v>
      </c>
      <c r="O996" t="s">
        <v>811</v>
      </c>
      <c r="P996" t="s">
        <v>43</v>
      </c>
      <c r="Q996">
        <v>2026</v>
      </c>
      <c r="R996" s="29" t="s">
        <v>44</v>
      </c>
      <c r="S996" s="29" t="s">
        <v>45</v>
      </c>
      <c r="T996" s="4" t="s">
        <v>3339</v>
      </c>
    </row>
    <row r="997" spans="2:20">
      <c r="B997" s="17" t="s">
        <v>3340</v>
      </c>
      <c r="C997" s="17" t="s">
        <v>3341</v>
      </c>
      <c r="D997" s="52" t="s">
        <v>3314</v>
      </c>
      <c r="E997" t="s">
        <v>33</v>
      </c>
      <c r="F997" s="124" t="s">
        <v>2820</v>
      </c>
      <c r="G997" s="60" t="s">
        <v>3273</v>
      </c>
      <c r="H997" s="5" t="s">
        <v>2822</v>
      </c>
      <c r="I997" s="128" t="s">
        <v>3274</v>
      </c>
      <c r="J997" s="29" t="s">
        <v>145</v>
      </c>
      <c r="K997" s="97" t="s">
        <v>3342</v>
      </c>
      <c r="L997" t="s">
        <v>40</v>
      </c>
      <c r="M997" s="129" t="s">
        <v>3253</v>
      </c>
      <c r="N997" s="3" t="str">
        <f t="shared" si="53"/>
        <v>1  Year</v>
      </c>
      <c r="O997" t="s">
        <v>811</v>
      </c>
      <c r="P997" t="s">
        <v>43</v>
      </c>
      <c r="Q997">
        <v>2026</v>
      </c>
      <c r="R997" s="29" t="s">
        <v>44</v>
      </c>
      <c r="S997" s="29" t="s">
        <v>45</v>
      </c>
      <c r="T997" s="4" t="s">
        <v>3343</v>
      </c>
    </row>
    <row r="998" spans="2:20">
      <c r="B998" s="17" t="s">
        <v>3344</v>
      </c>
      <c r="C998" s="17" t="s">
        <v>3345</v>
      </c>
      <c r="D998" s="52" t="s">
        <v>629</v>
      </c>
      <c r="E998" t="s">
        <v>33</v>
      </c>
      <c r="F998" s="124" t="s">
        <v>2820</v>
      </c>
      <c r="G998" s="60" t="s">
        <v>3273</v>
      </c>
      <c r="H998" s="5" t="s">
        <v>2822</v>
      </c>
      <c r="I998" s="128" t="s">
        <v>3274</v>
      </c>
      <c r="J998" s="29" t="s">
        <v>145</v>
      </c>
      <c r="K998" s="97" t="s">
        <v>3346</v>
      </c>
      <c r="L998" t="s">
        <v>40</v>
      </c>
      <c r="M998" s="129" t="s">
        <v>3253</v>
      </c>
      <c r="N998" s="3" t="str">
        <f t="shared" ref="N998" si="61">IF(L998="New","1  Year",IF(L998="Promotional","15 Weeks",IF(L998="Revalidation","2 Years","")))</f>
        <v>1  Year</v>
      </c>
      <c r="O998" t="s">
        <v>811</v>
      </c>
      <c r="P998" t="s">
        <v>43</v>
      </c>
      <c r="Q998">
        <v>2026</v>
      </c>
      <c r="R998" s="29" t="s">
        <v>44</v>
      </c>
      <c r="S998" s="29" t="s">
        <v>45</v>
      </c>
      <c r="T998" s="4" t="s">
        <v>3347</v>
      </c>
    </row>
    <row r="999" spans="2:20">
      <c r="B999" s="17" t="s">
        <v>3348</v>
      </c>
      <c r="C999" s="17" t="s">
        <v>3349</v>
      </c>
      <c r="D999" s="52" t="s">
        <v>629</v>
      </c>
      <c r="E999" t="s">
        <v>33</v>
      </c>
      <c r="F999" s="124" t="s">
        <v>2820</v>
      </c>
      <c r="G999" s="60" t="s">
        <v>3273</v>
      </c>
      <c r="H999" s="5" t="s">
        <v>2822</v>
      </c>
      <c r="I999" s="128" t="s">
        <v>3274</v>
      </c>
      <c r="J999" s="29" t="s">
        <v>145</v>
      </c>
      <c r="K999" s="97" t="s">
        <v>3350</v>
      </c>
      <c r="L999" t="s">
        <v>40</v>
      </c>
      <c r="M999" s="129" t="s">
        <v>3253</v>
      </c>
      <c r="N999" s="3" t="str">
        <f t="shared" ref="N999" si="62">IF(L999="New","1  Year",IF(L999="Promotional","15 Weeks",IF(L999="Revalidation","2 Years","")))</f>
        <v>1  Year</v>
      </c>
      <c r="O999" t="s">
        <v>811</v>
      </c>
      <c r="P999" t="s">
        <v>43</v>
      </c>
      <c r="Q999">
        <v>2026</v>
      </c>
      <c r="R999" s="29" t="s">
        <v>44</v>
      </c>
      <c r="S999" s="29" t="s">
        <v>45</v>
      </c>
      <c r="T999" s="4" t="s">
        <v>3351</v>
      </c>
    </row>
    <row r="1000" spans="2:20">
      <c r="B1000" s="17" t="s">
        <v>3352</v>
      </c>
      <c r="C1000" s="17" t="s">
        <v>3353</v>
      </c>
      <c r="D1000" s="72" t="s">
        <v>3314</v>
      </c>
      <c r="E1000" t="s">
        <v>33</v>
      </c>
      <c r="F1000" s="124" t="s">
        <v>2820</v>
      </c>
      <c r="G1000" s="60" t="s">
        <v>3273</v>
      </c>
      <c r="H1000" s="5" t="s">
        <v>2822</v>
      </c>
      <c r="I1000" s="128" t="s">
        <v>3274</v>
      </c>
      <c r="J1000" s="29" t="s">
        <v>145</v>
      </c>
      <c r="K1000" s="97" t="s">
        <v>3354</v>
      </c>
      <c r="L1000" s="26" t="s">
        <v>40</v>
      </c>
      <c r="M1000" s="129" t="s">
        <v>3253</v>
      </c>
      <c r="N1000" s="9" t="s">
        <v>1978</v>
      </c>
      <c r="O1000" s="26" t="s">
        <v>811</v>
      </c>
      <c r="P1000" s="26" t="s">
        <v>43</v>
      </c>
      <c r="Q1000" s="26">
        <v>2026</v>
      </c>
      <c r="R1000" s="96" t="s">
        <v>44</v>
      </c>
      <c r="S1000" s="96" t="s">
        <v>45</v>
      </c>
      <c r="T1000" s="4" t="s">
        <v>3355</v>
      </c>
    </row>
    <row r="1001" spans="2:20">
      <c r="B1001" s="17" t="s">
        <v>3356</v>
      </c>
      <c r="C1001" s="17" t="s">
        <v>3357</v>
      </c>
      <c r="D1001" s="72" t="s">
        <v>629</v>
      </c>
      <c r="E1001" t="s">
        <v>33</v>
      </c>
      <c r="F1001" s="124" t="s">
        <v>2820</v>
      </c>
      <c r="G1001" s="60" t="s">
        <v>3273</v>
      </c>
      <c r="H1001" s="5" t="s">
        <v>2822</v>
      </c>
      <c r="I1001" s="128" t="s">
        <v>3274</v>
      </c>
      <c r="J1001" s="29" t="s">
        <v>145</v>
      </c>
      <c r="K1001" s="124" t="s">
        <v>3358</v>
      </c>
      <c r="L1001" s="26" t="s">
        <v>40</v>
      </c>
      <c r="M1001" s="129" t="s">
        <v>3253</v>
      </c>
      <c r="N1001" s="9" t="s">
        <v>1978</v>
      </c>
      <c r="O1001" s="26" t="s">
        <v>811</v>
      </c>
      <c r="P1001" s="26" t="s">
        <v>43</v>
      </c>
      <c r="Q1001" s="26">
        <v>2026</v>
      </c>
      <c r="R1001" s="96" t="s">
        <v>44</v>
      </c>
      <c r="S1001" s="96" t="s">
        <v>45</v>
      </c>
      <c r="T1001" s="4" t="s">
        <v>3359</v>
      </c>
    </row>
    <row r="1002" spans="2:20">
      <c r="B1002" s="17" t="s">
        <v>3360</v>
      </c>
      <c r="C1002" s="17" t="s">
        <v>3361</v>
      </c>
      <c r="D1002" s="72" t="s">
        <v>629</v>
      </c>
      <c r="E1002" t="s">
        <v>33</v>
      </c>
      <c r="F1002" s="124" t="s">
        <v>2820</v>
      </c>
      <c r="G1002" s="60" t="s">
        <v>3273</v>
      </c>
      <c r="H1002" s="5" t="s">
        <v>2822</v>
      </c>
      <c r="I1002" s="128" t="s">
        <v>3274</v>
      </c>
      <c r="J1002" s="29" t="s">
        <v>145</v>
      </c>
      <c r="K1002" s="97" t="s">
        <v>3362</v>
      </c>
      <c r="L1002" s="26" t="s">
        <v>40</v>
      </c>
      <c r="M1002" s="129" t="s">
        <v>3253</v>
      </c>
      <c r="N1002" s="9" t="s">
        <v>1978</v>
      </c>
      <c r="O1002" s="26" t="s">
        <v>811</v>
      </c>
      <c r="P1002" s="26" t="s">
        <v>43</v>
      </c>
      <c r="Q1002" s="26">
        <v>2026</v>
      </c>
      <c r="R1002" s="96" t="s">
        <v>44</v>
      </c>
      <c r="S1002" s="96" t="s">
        <v>45</v>
      </c>
      <c r="T1002" s="4" t="s">
        <v>3363</v>
      </c>
    </row>
    <row r="1003" spans="2:20">
      <c r="B1003" s="17" t="s">
        <v>3364</v>
      </c>
      <c r="C1003" s="17" t="s">
        <v>3365</v>
      </c>
      <c r="D1003" s="72" t="s">
        <v>629</v>
      </c>
      <c r="E1003" t="s">
        <v>33</v>
      </c>
      <c r="F1003" s="124" t="s">
        <v>2820</v>
      </c>
      <c r="G1003" s="60" t="s">
        <v>3273</v>
      </c>
      <c r="H1003" s="5" t="s">
        <v>2822</v>
      </c>
      <c r="I1003" s="128" t="s">
        <v>3274</v>
      </c>
      <c r="J1003" s="29" t="s">
        <v>145</v>
      </c>
      <c r="K1003" s="97" t="s">
        <v>3366</v>
      </c>
      <c r="L1003" s="26" t="s">
        <v>40</v>
      </c>
      <c r="M1003" s="129" t="s">
        <v>3253</v>
      </c>
      <c r="N1003" s="9" t="s">
        <v>1978</v>
      </c>
      <c r="O1003" s="26" t="s">
        <v>811</v>
      </c>
      <c r="P1003" s="26" t="s">
        <v>43</v>
      </c>
      <c r="Q1003" s="26">
        <v>2026</v>
      </c>
      <c r="R1003" s="96" t="s">
        <v>44</v>
      </c>
      <c r="S1003" s="96" t="s">
        <v>45</v>
      </c>
      <c r="T1003" s="4" t="s">
        <v>3367</v>
      </c>
    </row>
    <row r="1004" spans="2:20">
      <c r="B1004" s="17" t="s">
        <v>3368</v>
      </c>
      <c r="C1004" s="17" t="s">
        <v>3369</v>
      </c>
      <c r="D1004" s="72" t="s">
        <v>3325</v>
      </c>
      <c r="E1004" t="s">
        <v>33</v>
      </c>
      <c r="F1004" s="124" t="s">
        <v>2820</v>
      </c>
      <c r="G1004" s="60" t="s">
        <v>3273</v>
      </c>
      <c r="H1004" s="5" t="s">
        <v>2822</v>
      </c>
      <c r="I1004" s="128" t="s">
        <v>3274</v>
      </c>
      <c r="J1004" s="29" t="s">
        <v>145</v>
      </c>
      <c r="K1004" s="97" t="s">
        <v>3366</v>
      </c>
      <c r="L1004" s="26" t="s">
        <v>40</v>
      </c>
      <c r="M1004" s="129" t="s">
        <v>3253</v>
      </c>
      <c r="N1004" s="9" t="s">
        <v>1978</v>
      </c>
      <c r="O1004" s="26" t="s">
        <v>811</v>
      </c>
      <c r="P1004" s="26" t="s">
        <v>43</v>
      </c>
      <c r="Q1004" s="26">
        <v>2026</v>
      </c>
      <c r="R1004" s="96" t="s">
        <v>44</v>
      </c>
      <c r="S1004" s="96" t="s">
        <v>45</v>
      </c>
      <c r="T1004" s="4" t="s">
        <v>3370</v>
      </c>
    </row>
    <row r="1005" spans="2:20" ht="31.8">
      <c r="B1005" s="17" t="s">
        <v>3371</v>
      </c>
      <c r="C1005" s="17" t="s">
        <v>3372</v>
      </c>
      <c r="D1005" s="52" t="s">
        <v>585</v>
      </c>
      <c r="E1005" t="s">
        <v>52</v>
      </c>
      <c r="F1005" s="68" t="s">
        <v>1223</v>
      </c>
      <c r="G1005" s="48" t="s">
        <v>1224</v>
      </c>
      <c r="H1005" s="5" t="s">
        <v>2498</v>
      </c>
      <c r="I1005" s="117" t="s">
        <v>3373</v>
      </c>
      <c r="J1005" s="29" t="s">
        <v>57</v>
      </c>
      <c r="K1005" s="97" t="s">
        <v>3374</v>
      </c>
      <c r="L1005" s="26" t="s">
        <v>40</v>
      </c>
      <c r="M1005" s="129" t="s">
        <v>3253</v>
      </c>
      <c r="N1005" s="3" t="str">
        <f t="shared" si="53"/>
        <v>1  Year</v>
      </c>
      <c r="O1005" s="26" t="s">
        <v>42</v>
      </c>
      <c r="P1005" s="26" t="s">
        <v>43</v>
      </c>
      <c r="Q1005" s="26">
        <v>2026</v>
      </c>
      <c r="R1005" s="96" t="s">
        <v>44</v>
      </c>
      <c r="S1005" s="29" t="s">
        <v>45</v>
      </c>
      <c r="T1005" s="4" t="s">
        <v>3375</v>
      </c>
    </row>
    <row r="1006" spans="2:20" ht="42">
      <c r="B1006" s="17" t="s">
        <v>3376</v>
      </c>
      <c r="C1006" s="17" t="s">
        <v>3377</v>
      </c>
      <c r="D1006" s="52" t="s">
        <v>3378</v>
      </c>
      <c r="E1006" t="s">
        <v>182</v>
      </c>
      <c r="F1006" s="124" t="s">
        <v>3379</v>
      </c>
      <c r="G1006" s="48" t="s">
        <v>3380</v>
      </c>
      <c r="H1006" s="5" t="s">
        <v>3381</v>
      </c>
      <c r="I1006" s="117" t="s">
        <v>3382</v>
      </c>
      <c r="J1006" s="29" t="s">
        <v>48</v>
      </c>
      <c r="K1006" s="97" t="s">
        <v>3383</v>
      </c>
      <c r="L1006" s="26" t="s">
        <v>90</v>
      </c>
      <c r="M1006" s="129" t="s">
        <v>3253</v>
      </c>
      <c r="N1006" s="3" t="str">
        <f t="shared" ref="N1006" si="63">IF(L1006="New","1  Year",IF(L1006="Promotional","15 Weeks",IF(L1006="Revalidation","2 Years","")))</f>
        <v>2 Years</v>
      </c>
      <c r="O1006" s="26" t="s">
        <v>1910</v>
      </c>
      <c r="P1006" s="26" t="s">
        <v>43</v>
      </c>
      <c r="Q1006" s="26">
        <v>2026</v>
      </c>
      <c r="R1006" s="96" t="s">
        <v>44</v>
      </c>
      <c r="S1006" s="29" t="s">
        <v>45</v>
      </c>
      <c r="T1006" s="4" t="s">
        <v>3384</v>
      </c>
    </row>
    <row r="1007" spans="2:20" ht="42">
      <c r="B1007" s="17" t="s">
        <v>3376</v>
      </c>
      <c r="C1007" s="17" t="s">
        <v>3377</v>
      </c>
      <c r="D1007" s="52" t="s">
        <v>3378</v>
      </c>
      <c r="E1007" t="s">
        <v>182</v>
      </c>
      <c r="F1007" s="124" t="s">
        <v>3379</v>
      </c>
      <c r="G1007" s="48" t="s">
        <v>3380</v>
      </c>
      <c r="H1007" s="5" t="s">
        <v>3381</v>
      </c>
      <c r="I1007" s="117" t="s">
        <v>3385</v>
      </c>
      <c r="J1007" s="29" t="s">
        <v>145</v>
      </c>
      <c r="K1007" s="97" t="s">
        <v>3383</v>
      </c>
      <c r="L1007" s="26" t="s">
        <v>90</v>
      </c>
      <c r="M1007" s="129" t="s">
        <v>3253</v>
      </c>
      <c r="N1007" s="3" t="str">
        <f t="shared" si="53"/>
        <v>2 Years</v>
      </c>
      <c r="O1007" s="26" t="s">
        <v>1910</v>
      </c>
      <c r="P1007" s="26" t="s">
        <v>43</v>
      </c>
      <c r="Q1007" s="26">
        <v>2026</v>
      </c>
      <c r="R1007" s="96" t="s">
        <v>44</v>
      </c>
      <c r="S1007" s="29" t="s">
        <v>45</v>
      </c>
      <c r="T1007" s="4" t="s">
        <v>3384</v>
      </c>
    </row>
    <row r="1008" spans="2:20" ht="31.8">
      <c r="B1008" s="17" t="s">
        <v>3386</v>
      </c>
      <c r="C1008" s="17" t="s">
        <v>3387</v>
      </c>
      <c r="D1008" s="52" t="s">
        <v>3388</v>
      </c>
      <c r="E1008" t="s">
        <v>33</v>
      </c>
      <c r="F1008" s="124" t="s">
        <v>564</v>
      </c>
      <c r="G1008" s="48" t="s">
        <v>3389</v>
      </c>
      <c r="H1008" s="5" t="s">
        <v>1536</v>
      </c>
      <c r="I1008" s="117" t="s">
        <v>3390</v>
      </c>
      <c r="J1008" s="29" t="s">
        <v>145</v>
      </c>
      <c r="K1008" s="97" t="s">
        <v>3391</v>
      </c>
      <c r="L1008" s="26" t="s">
        <v>40</v>
      </c>
      <c r="M1008" s="129" t="s">
        <v>3253</v>
      </c>
      <c r="N1008" s="3" t="str">
        <f t="shared" si="53"/>
        <v>1  Year</v>
      </c>
      <c r="O1008" s="26" t="s">
        <v>811</v>
      </c>
      <c r="P1008" s="26" t="s">
        <v>43</v>
      </c>
      <c r="Q1008" s="26">
        <v>2026</v>
      </c>
      <c r="R1008" s="29" t="s">
        <v>1981</v>
      </c>
      <c r="S1008" s="29" t="s">
        <v>45</v>
      </c>
      <c r="T1008" s="4" t="s">
        <v>3392</v>
      </c>
    </row>
    <row r="1009" spans="2:29" ht="31.8">
      <c r="B1009" s="17" t="s">
        <v>3386</v>
      </c>
      <c r="C1009" s="17" t="s">
        <v>3387</v>
      </c>
      <c r="D1009" s="52" t="s">
        <v>3388</v>
      </c>
      <c r="E1009" t="s">
        <v>33</v>
      </c>
      <c r="F1009" s="124" t="s">
        <v>564</v>
      </c>
      <c r="G1009" s="48" t="s">
        <v>3389</v>
      </c>
      <c r="H1009" s="5" t="s">
        <v>1536</v>
      </c>
      <c r="I1009" s="117" t="s">
        <v>3390</v>
      </c>
      <c r="J1009" s="29" t="s">
        <v>48</v>
      </c>
      <c r="K1009" s="97" t="s">
        <v>3391</v>
      </c>
      <c r="L1009" s="26" t="s">
        <v>40</v>
      </c>
      <c r="M1009" s="129" t="s">
        <v>3253</v>
      </c>
      <c r="N1009" s="3" t="str">
        <f t="shared" si="53"/>
        <v>1  Year</v>
      </c>
      <c r="O1009" s="26" t="s">
        <v>811</v>
      </c>
      <c r="P1009" s="26" t="s">
        <v>43</v>
      </c>
      <c r="Q1009" s="26">
        <v>2026</v>
      </c>
      <c r="R1009" s="29" t="s">
        <v>1981</v>
      </c>
      <c r="S1009" s="29" t="s">
        <v>45</v>
      </c>
      <c r="T1009" s="4" t="s">
        <v>3392</v>
      </c>
    </row>
    <row r="1010" spans="2:29" ht="57.6">
      <c r="B1010" s="17" t="s">
        <v>3393</v>
      </c>
      <c r="C1010" s="22" t="s">
        <v>3394</v>
      </c>
      <c r="D1010" s="52" t="s">
        <v>933</v>
      </c>
      <c r="E1010" t="s">
        <v>33</v>
      </c>
      <c r="F1010" s="97" t="s">
        <v>1887</v>
      </c>
      <c r="G1010" s="97" t="s">
        <v>3395</v>
      </c>
      <c r="H1010" s="4" t="s">
        <v>3396</v>
      </c>
      <c r="I1010" s="117" t="s">
        <v>3397</v>
      </c>
      <c r="J1010" s="29" t="s">
        <v>92</v>
      </c>
      <c r="K1010" s="97" t="s">
        <v>3398</v>
      </c>
      <c r="L1010" s="26" t="s">
        <v>40</v>
      </c>
      <c r="M1010" s="16" t="s">
        <v>3253</v>
      </c>
      <c r="N1010" s="3" t="str">
        <f t="shared" si="53"/>
        <v>1  Year</v>
      </c>
      <c r="O1010" s="26" t="s">
        <v>42</v>
      </c>
      <c r="P1010" s="26" t="s">
        <v>43</v>
      </c>
      <c r="Q1010" s="26">
        <v>2026</v>
      </c>
      <c r="R1010" s="29" t="s">
        <v>1981</v>
      </c>
      <c r="S1010" s="29" t="s">
        <v>3399</v>
      </c>
      <c r="T1010" s="4" t="s">
        <v>3400</v>
      </c>
    </row>
    <row r="1011" spans="2:29" ht="31.8">
      <c r="B1011" s="17" t="s">
        <v>3401</v>
      </c>
      <c r="C1011" s="17" t="s">
        <v>3402</v>
      </c>
      <c r="D1011" s="52" t="s">
        <v>3403</v>
      </c>
      <c r="E1011" t="s">
        <v>33</v>
      </c>
      <c r="F1011" s="124" t="s">
        <v>564</v>
      </c>
      <c r="G1011" s="48" t="s">
        <v>3389</v>
      </c>
      <c r="H1011" s="5" t="s">
        <v>1536</v>
      </c>
      <c r="I1011" s="117" t="s">
        <v>3390</v>
      </c>
      <c r="J1011" s="29" t="s">
        <v>145</v>
      </c>
      <c r="K1011" s="97" t="s">
        <v>3404</v>
      </c>
      <c r="L1011" s="26" t="s">
        <v>40</v>
      </c>
      <c r="M1011" s="16" t="s">
        <v>3405</v>
      </c>
      <c r="N1011" s="3" t="str">
        <f t="shared" si="53"/>
        <v>1  Year</v>
      </c>
      <c r="O1011" s="26" t="s">
        <v>811</v>
      </c>
      <c r="P1011" s="26" t="s">
        <v>43</v>
      </c>
      <c r="Q1011" s="26">
        <v>2026</v>
      </c>
      <c r="R1011" s="29" t="s">
        <v>1981</v>
      </c>
      <c r="S1011" s="29" t="s">
        <v>45</v>
      </c>
      <c r="T1011" s="4" t="s">
        <v>3406</v>
      </c>
    </row>
    <row r="1012" spans="2:29" ht="31.8">
      <c r="B1012" s="17" t="s">
        <v>3401</v>
      </c>
      <c r="C1012" s="17" t="s">
        <v>3402</v>
      </c>
      <c r="D1012" s="52" t="s">
        <v>3403</v>
      </c>
      <c r="E1012" t="s">
        <v>33</v>
      </c>
      <c r="F1012" s="124" t="s">
        <v>564</v>
      </c>
      <c r="G1012" s="48" t="s">
        <v>3389</v>
      </c>
      <c r="H1012" s="5" t="s">
        <v>1536</v>
      </c>
      <c r="I1012" s="117" t="s">
        <v>3390</v>
      </c>
      <c r="J1012" s="29" t="s">
        <v>48</v>
      </c>
      <c r="K1012" s="97" t="s">
        <v>3404</v>
      </c>
      <c r="L1012" s="26" t="s">
        <v>40</v>
      </c>
      <c r="M1012" s="16" t="s">
        <v>3405</v>
      </c>
      <c r="N1012" s="3" t="str">
        <f t="shared" ref="N1012:N1022" si="64">IF(L1012="New","1  Year",IF(L1012="Promotional","15 Weeks",IF(L1012="Revalidation","2 Years","")))</f>
        <v>1  Year</v>
      </c>
      <c r="O1012" s="26" t="s">
        <v>811</v>
      </c>
      <c r="P1012" s="26" t="s">
        <v>43</v>
      </c>
      <c r="Q1012" s="26">
        <v>2026</v>
      </c>
      <c r="R1012" s="29" t="s">
        <v>1981</v>
      </c>
      <c r="S1012" s="29" t="s">
        <v>45</v>
      </c>
      <c r="T1012" s="4" t="s">
        <v>3406</v>
      </c>
    </row>
    <row r="1013" spans="2:29" ht="31.8">
      <c r="B1013" s="17" t="s">
        <v>3407</v>
      </c>
      <c r="C1013" s="22" t="s">
        <v>3408</v>
      </c>
      <c r="D1013" s="52" t="s">
        <v>3409</v>
      </c>
      <c r="E1013" t="s">
        <v>33</v>
      </c>
      <c r="F1013" s="124" t="s">
        <v>564</v>
      </c>
      <c r="G1013" s="48" t="s">
        <v>3389</v>
      </c>
      <c r="H1013" s="5" t="s">
        <v>1536</v>
      </c>
      <c r="I1013" s="117" t="s">
        <v>3390</v>
      </c>
      <c r="J1013" s="29" t="s">
        <v>145</v>
      </c>
      <c r="K1013" s="97" t="s">
        <v>3410</v>
      </c>
      <c r="L1013" s="26" t="s">
        <v>40</v>
      </c>
      <c r="M1013" s="16" t="s">
        <v>3405</v>
      </c>
      <c r="N1013" s="3" t="str">
        <f>IF(L1013="New","1  Year",IF(L1013="Promotional","15 Weeks",IF(L1013="Revalidation","2 Years","")))</f>
        <v>1  Year</v>
      </c>
      <c r="O1013" s="26" t="s">
        <v>811</v>
      </c>
      <c r="P1013" s="26" t="s">
        <v>43</v>
      </c>
      <c r="Q1013" s="26">
        <v>2026</v>
      </c>
      <c r="R1013" s="29" t="s">
        <v>1981</v>
      </c>
      <c r="S1013" s="29" t="s">
        <v>45</v>
      </c>
      <c r="T1013" s="4" t="s">
        <v>3411</v>
      </c>
    </row>
    <row r="1014" spans="2:29" ht="31.8">
      <c r="B1014" s="17" t="s">
        <v>3407</v>
      </c>
      <c r="C1014" s="22" t="s">
        <v>3408</v>
      </c>
      <c r="D1014" s="52" t="s">
        <v>3409</v>
      </c>
      <c r="E1014" t="s">
        <v>33</v>
      </c>
      <c r="F1014" s="124" t="s">
        <v>564</v>
      </c>
      <c r="G1014" s="48" t="s">
        <v>3389</v>
      </c>
      <c r="H1014" s="5" t="s">
        <v>1536</v>
      </c>
      <c r="I1014" s="117" t="s">
        <v>3390</v>
      </c>
      <c r="J1014" s="29" t="s">
        <v>48</v>
      </c>
      <c r="K1014" s="97" t="s">
        <v>3410</v>
      </c>
      <c r="L1014" s="26" t="s">
        <v>40</v>
      </c>
      <c r="M1014" s="16" t="s">
        <v>3405</v>
      </c>
      <c r="N1014" s="3" t="str">
        <f>IF(L1014="New","1  Year",IF(L1014="Promotional","15 Weeks",IF(L1014="Revalidation","2 Years","")))</f>
        <v>1  Year</v>
      </c>
      <c r="O1014" s="26" t="s">
        <v>811</v>
      </c>
      <c r="P1014" s="26" t="s">
        <v>43</v>
      </c>
      <c r="Q1014" s="26">
        <v>2026</v>
      </c>
      <c r="R1014" s="29" t="s">
        <v>1981</v>
      </c>
      <c r="S1014" s="29" t="s">
        <v>45</v>
      </c>
      <c r="T1014" s="4" t="s">
        <v>3411</v>
      </c>
    </row>
    <row r="1015" spans="2:29" ht="31.8">
      <c r="B1015" s="17" t="s">
        <v>3412</v>
      </c>
      <c r="C1015" s="17" t="s">
        <v>3413</v>
      </c>
      <c r="D1015" s="53" t="s">
        <v>3414</v>
      </c>
      <c r="E1015" t="s">
        <v>182</v>
      </c>
      <c r="F1015" s="124" t="s">
        <v>226</v>
      </c>
      <c r="G1015" s="48" t="s">
        <v>3249</v>
      </c>
      <c r="H1015" s="5" t="s">
        <v>3250</v>
      </c>
      <c r="I1015" s="117" t="s">
        <v>3251</v>
      </c>
      <c r="J1015" s="29" t="s">
        <v>145</v>
      </c>
      <c r="K1015" s="97" t="s">
        <v>3252</v>
      </c>
      <c r="L1015" s="26" t="s">
        <v>40</v>
      </c>
      <c r="M1015" s="16" t="s">
        <v>3405</v>
      </c>
      <c r="N1015" s="3" t="str">
        <f t="shared" si="64"/>
        <v>1  Year</v>
      </c>
      <c r="O1015" s="26" t="s">
        <v>1910</v>
      </c>
      <c r="P1015" s="26" t="s">
        <v>43</v>
      </c>
      <c r="Q1015" s="26">
        <v>2026</v>
      </c>
      <c r="R1015" s="29" t="s">
        <v>44</v>
      </c>
      <c r="S1015" s="29" t="s">
        <v>45</v>
      </c>
      <c r="T1015" s="4" t="s">
        <v>3415</v>
      </c>
    </row>
    <row r="1016" spans="2:29" ht="31.8">
      <c r="B1016" s="17" t="s">
        <v>3412</v>
      </c>
      <c r="C1016" s="17" t="s">
        <v>3413</v>
      </c>
      <c r="D1016" s="53" t="s">
        <v>3414</v>
      </c>
      <c r="E1016" t="s">
        <v>182</v>
      </c>
      <c r="F1016" s="124" t="s">
        <v>226</v>
      </c>
      <c r="G1016" s="48" t="s">
        <v>3249</v>
      </c>
      <c r="H1016" s="5" t="s">
        <v>3250</v>
      </c>
      <c r="I1016" s="117" t="s">
        <v>3251</v>
      </c>
      <c r="J1016" s="29" t="s">
        <v>88</v>
      </c>
      <c r="K1016" s="97" t="s">
        <v>3252</v>
      </c>
      <c r="L1016" s="26" t="s">
        <v>40</v>
      </c>
      <c r="M1016" s="16" t="s">
        <v>3405</v>
      </c>
      <c r="N1016" s="3" t="str">
        <f t="shared" si="64"/>
        <v>1  Year</v>
      </c>
      <c r="O1016" s="26" t="s">
        <v>1910</v>
      </c>
      <c r="P1016" s="26" t="s">
        <v>43</v>
      </c>
      <c r="Q1016" s="26">
        <v>2026</v>
      </c>
      <c r="R1016" s="29" t="s">
        <v>44</v>
      </c>
      <c r="S1016" s="29" t="s">
        <v>45</v>
      </c>
      <c r="T1016" s="4" t="s">
        <v>3415</v>
      </c>
    </row>
    <row r="1017" spans="2:29">
      <c r="B1017" s="17" t="s">
        <v>3416</v>
      </c>
      <c r="C1017" s="17" t="s">
        <v>3417</v>
      </c>
      <c r="D1017" s="72" t="s">
        <v>629</v>
      </c>
      <c r="E1017" t="s">
        <v>33</v>
      </c>
      <c r="F1017" s="124" t="s">
        <v>2820</v>
      </c>
      <c r="G1017" s="60" t="s">
        <v>3273</v>
      </c>
      <c r="H1017" s="5" t="s">
        <v>2822</v>
      </c>
      <c r="I1017" s="128" t="s">
        <v>3274</v>
      </c>
      <c r="J1017" s="29" t="s">
        <v>145</v>
      </c>
      <c r="K1017" s="97" t="s">
        <v>3418</v>
      </c>
      <c r="L1017" s="26" t="s">
        <v>40</v>
      </c>
      <c r="M1017" s="16" t="s">
        <v>3405</v>
      </c>
      <c r="N1017" s="3" t="str">
        <f t="shared" ref="N1017" si="65">IF(L1017="New","1  Year",IF(L1017="Promotional","15 Weeks",IF(L1017="Revalidation","2 Years","")))</f>
        <v>1  Year</v>
      </c>
      <c r="O1017" s="26" t="s">
        <v>811</v>
      </c>
      <c r="P1017" s="26" t="s">
        <v>43</v>
      </c>
      <c r="Q1017" s="26">
        <v>2026</v>
      </c>
      <c r="R1017" s="29" t="s">
        <v>44</v>
      </c>
      <c r="S1017" s="29" t="s">
        <v>45</v>
      </c>
      <c r="T1017" s="4" t="s">
        <v>3419</v>
      </c>
    </row>
    <row r="1018" spans="2:29" ht="28.8">
      <c r="B1018" s="17" t="s">
        <v>3420</v>
      </c>
      <c r="C1018" s="22" t="s">
        <v>118</v>
      </c>
      <c r="D1018" s="52" t="s">
        <v>3421</v>
      </c>
      <c r="E1018" t="s">
        <v>52</v>
      </c>
      <c r="F1018" s="68" t="s">
        <v>120</v>
      </c>
      <c r="G1018" s="48" t="s">
        <v>121</v>
      </c>
      <c r="H1018" s="5" t="s">
        <v>122</v>
      </c>
      <c r="I1018" s="117" t="s">
        <v>123</v>
      </c>
      <c r="J1018" s="29" t="s">
        <v>1081</v>
      </c>
      <c r="K1018" s="97" t="s">
        <v>3422</v>
      </c>
      <c r="L1018" s="26" t="s">
        <v>40</v>
      </c>
      <c r="M1018" s="16" t="s">
        <v>3405</v>
      </c>
      <c r="N1018" s="3" t="str">
        <f t="shared" si="64"/>
        <v>1  Year</v>
      </c>
      <c r="O1018" s="26" t="s">
        <v>42</v>
      </c>
      <c r="P1018" s="26" t="s">
        <v>43</v>
      </c>
      <c r="Q1018" s="26">
        <v>2026</v>
      </c>
      <c r="R1018" s="29" t="s">
        <v>1981</v>
      </c>
      <c r="S1018" s="29" t="s">
        <v>45</v>
      </c>
      <c r="T1018" s="4" t="s">
        <v>3423</v>
      </c>
      <c r="U1018" t="s">
        <v>104</v>
      </c>
      <c r="W1018" s="81">
        <v>0.51875000000000004</v>
      </c>
      <c r="X1018" t="s">
        <v>104</v>
      </c>
      <c r="Y1018" s="94" t="s">
        <v>2319</v>
      </c>
      <c r="Z1018" t="s">
        <v>104</v>
      </c>
      <c r="AA1018" t="s">
        <v>104</v>
      </c>
      <c r="AB1018" t="s">
        <v>165</v>
      </c>
      <c r="AC1018" t="s">
        <v>3769</v>
      </c>
    </row>
    <row r="1019" spans="2:29" ht="28.8">
      <c r="B1019" s="17" t="s">
        <v>3424</v>
      </c>
      <c r="C1019" s="22" t="s">
        <v>3425</v>
      </c>
      <c r="D1019" s="17" t="s">
        <v>3426</v>
      </c>
      <c r="E1019" t="s">
        <v>52</v>
      </c>
      <c r="F1019" s="68" t="s">
        <v>120</v>
      </c>
      <c r="G1019" s="48" t="s">
        <v>121</v>
      </c>
      <c r="H1019" s="5" t="s">
        <v>122</v>
      </c>
      <c r="I1019" s="117" t="s">
        <v>123</v>
      </c>
      <c r="J1019" s="29" t="s">
        <v>1081</v>
      </c>
      <c r="K1019" s="97" t="s">
        <v>3427</v>
      </c>
      <c r="L1019" s="26" t="s">
        <v>40</v>
      </c>
      <c r="M1019" s="16" t="s">
        <v>3405</v>
      </c>
      <c r="N1019" s="3" t="str">
        <f t="shared" si="64"/>
        <v>1  Year</v>
      </c>
      <c r="O1019" s="26" t="s">
        <v>42</v>
      </c>
      <c r="P1019" s="26" t="s">
        <v>43</v>
      </c>
      <c r="Q1019" s="26">
        <v>2026</v>
      </c>
      <c r="R1019" s="29" t="s">
        <v>1981</v>
      </c>
      <c r="S1019" s="29" t="s">
        <v>45</v>
      </c>
      <c r="T1019" s="4" t="s">
        <v>3428</v>
      </c>
      <c r="U1019" t="s">
        <v>104</v>
      </c>
      <c r="W1019" s="81">
        <v>0.51944444444444449</v>
      </c>
      <c r="X1019" s="159" t="s">
        <v>104</v>
      </c>
      <c r="Y1019" s="94" t="s">
        <v>2319</v>
      </c>
      <c r="Z1019" t="s">
        <v>104</v>
      </c>
      <c r="AA1019" t="s">
        <v>104</v>
      </c>
      <c r="AB1019" t="s">
        <v>165</v>
      </c>
      <c r="AC1019" t="s">
        <v>3769</v>
      </c>
    </row>
    <row r="1020" spans="2:29" ht="28.8">
      <c r="B1020" s="17" t="s">
        <v>3429</v>
      </c>
      <c r="C1020" s="22" t="s">
        <v>1012</v>
      </c>
      <c r="D1020" s="52" t="s">
        <v>3421</v>
      </c>
      <c r="E1020" t="s">
        <v>52</v>
      </c>
      <c r="F1020" s="68" t="s">
        <v>120</v>
      </c>
      <c r="G1020" s="48" t="s">
        <v>121</v>
      </c>
      <c r="H1020" s="5" t="s">
        <v>122</v>
      </c>
      <c r="I1020" s="117" t="s">
        <v>123</v>
      </c>
      <c r="J1020" s="29" t="s">
        <v>1081</v>
      </c>
      <c r="K1020" s="97" t="s">
        <v>3427</v>
      </c>
      <c r="L1020" s="26" t="s">
        <v>40</v>
      </c>
      <c r="M1020" s="16" t="s">
        <v>3405</v>
      </c>
      <c r="N1020" s="3" t="str">
        <f t="shared" si="64"/>
        <v>1  Year</v>
      </c>
      <c r="O1020" s="26" t="s">
        <v>42</v>
      </c>
      <c r="P1020" s="26" t="s">
        <v>43</v>
      </c>
      <c r="Q1020" s="26">
        <v>2026</v>
      </c>
      <c r="R1020" s="29" t="s">
        <v>1981</v>
      </c>
      <c r="S1020" s="29" t="s">
        <v>45</v>
      </c>
      <c r="T1020" s="4" t="s">
        <v>3428</v>
      </c>
      <c r="U1020" t="s">
        <v>104</v>
      </c>
      <c r="W1020" s="81">
        <v>0.52083333333333337</v>
      </c>
      <c r="X1020" t="s">
        <v>104</v>
      </c>
      <c r="Y1020" s="94" t="s">
        <v>2319</v>
      </c>
      <c r="Z1020" t="s">
        <v>104</v>
      </c>
      <c r="AA1020" t="s">
        <v>104</v>
      </c>
      <c r="AB1020" t="s">
        <v>165</v>
      </c>
      <c r="AC1020" t="s">
        <v>3769</v>
      </c>
    </row>
    <row r="1021" spans="2:29">
      <c r="B1021" t="s">
        <v>3430</v>
      </c>
      <c r="C1021" t="s">
        <v>3431</v>
      </c>
      <c r="D1021" s="52" t="s">
        <v>3432</v>
      </c>
      <c r="E1021" t="s">
        <v>33</v>
      </c>
      <c r="F1021" t="s">
        <v>2820</v>
      </c>
      <c r="G1021" t="s">
        <v>3273</v>
      </c>
      <c r="H1021" s="5" t="s">
        <v>2822</v>
      </c>
      <c r="I1021" t="s">
        <v>3274</v>
      </c>
      <c r="J1021" t="s">
        <v>145</v>
      </c>
      <c r="K1021" t="s">
        <v>3433</v>
      </c>
      <c r="L1021" t="s">
        <v>40</v>
      </c>
      <c r="M1021" t="s">
        <v>3434</v>
      </c>
      <c r="N1021" s="3" t="str">
        <f t="shared" si="64"/>
        <v>1  Year</v>
      </c>
      <c r="O1021" t="s">
        <v>811</v>
      </c>
      <c r="P1021" t="s">
        <v>43</v>
      </c>
      <c r="Q1021">
        <v>2026</v>
      </c>
      <c r="R1021" s="29" t="s">
        <v>44</v>
      </c>
      <c r="S1021" s="29" t="s">
        <v>45</v>
      </c>
      <c r="T1021" s="4" t="s">
        <v>3435</v>
      </c>
    </row>
    <row r="1022" spans="2:29">
      <c r="B1022" t="s">
        <v>3436</v>
      </c>
      <c r="C1022" t="s">
        <v>3437</v>
      </c>
      <c r="D1022" s="52" t="s">
        <v>3325</v>
      </c>
      <c r="E1022" t="s">
        <v>33</v>
      </c>
      <c r="F1022" t="s">
        <v>2820</v>
      </c>
      <c r="G1022" t="s">
        <v>3273</v>
      </c>
      <c r="H1022" s="5" t="s">
        <v>2822</v>
      </c>
      <c r="I1022" t="s">
        <v>3274</v>
      </c>
      <c r="J1022" t="s">
        <v>145</v>
      </c>
      <c r="K1022" t="s">
        <v>3438</v>
      </c>
      <c r="L1022" t="s">
        <v>40</v>
      </c>
      <c r="M1022" t="s">
        <v>3253</v>
      </c>
      <c r="N1022" s="3" t="str">
        <f t="shared" si="64"/>
        <v>1  Year</v>
      </c>
      <c r="O1022" t="s">
        <v>811</v>
      </c>
      <c r="P1022" t="s">
        <v>43</v>
      </c>
      <c r="Q1022">
        <v>2026</v>
      </c>
      <c r="R1022" s="29" t="s">
        <v>44</v>
      </c>
      <c r="S1022" s="29" t="s">
        <v>45</v>
      </c>
      <c r="T1022" s="4" t="s">
        <v>3439</v>
      </c>
    </row>
    <row r="1023" spans="2:29">
      <c r="B1023" t="s">
        <v>3440</v>
      </c>
      <c r="C1023" t="s">
        <v>2307</v>
      </c>
      <c r="D1023" t="s">
        <v>2187</v>
      </c>
      <c r="E1023" t="s">
        <v>182</v>
      </c>
      <c r="F1023" t="s">
        <v>197</v>
      </c>
      <c r="G1023" t="s">
        <v>3441</v>
      </c>
      <c r="H1023" s="5" t="s">
        <v>199</v>
      </c>
      <c r="I1023" s="117" t="s">
        <v>3442</v>
      </c>
      <c r="J1023" t="s">
        <v>145</v>
      </c>
      <c r="K1023" t="s">
        <v>3443</v>
      </c>
      <c r="L1023" t="s">
        <v>40</v>
      </c>
      <c r="M1023" t="s">
        <v>3253</v>
      </c>
      <c r="N1023" s="3" t="str">
        <f t="shared" ref="N1023:N1028" si="66">IF(L1023="New","1  Year",IF(L1023="Promotional","15 Weeks",IF(L1023="Revalidation","2 Years","")))</f>
        <v>1  Year</v>
      </c>
      <c r="O1023" t="s">
        <v>1910</v>
      </c>
      <c r="P1023" t="s">
        <v>43</v>
      </c>
      <c r="Q1023">
        <v>2026</v>
      </c>
      <c r="R1023" t="s">
        <v>1981</v>
      </c>
      <c r="S1023" s="29" t="s">
        <v>45</v>
      </c>
      <c r="T1023" s="4" t="s">
        <v>3444</v>
      </c>
    </row>
    <row r="1024" spans="2:29">
      <c r="B1024" t="s">
        <v>3445</v>
      </c>
      <c r="C1024" t="s">
        <v>3446</v>
      </c>
      <c r="D1024" t="s">
        <v>3447</v>
      </c>
      <c r="E1024" t="s">
        <v>182</v>
      </c>
      <c r="F1024" t="s">
        <v>197</v>
      </c>
      <c r="G1024" t="s">
        <v>3441</v>
      </c>
      <c r="H1024" s="5" t="s">
        <v>199</v>
      </c>
      <c r="I1024" s="117" t="s">
        <v>3442</v>
      </c>
      <c r="J1024" t="s">
        <v>145</v>
      </c>
      <c r="K1024" t="s">
        <v>3443</v>
      </c>
      <c r="L1024" t="s">
        <v>40</v>
      </c>
      <c r="M1024" t="s">
        <v>3253</v>
      </c>
      <c r="N1024" s="3" t="str">
        <f t="shared" si="66"/>
        <v>1  Year</v>
      </c>
      <c r="O1024" t="s">
        <v>1910</v>
      </c>
      <c r="P1024" t="s">
        <v>43</v>
      </c>
      <c r="Q1024">
        <v>2026</v>
      </c>
      <c r="R1024" t="s">
        <v>1981</v>
      </c>
      <c r="S1024" s="29" t="s">
        <v>45</v>
      </c>
      <c r="T1024" s="4" t="s">
        <v>3444</v>
      </c>
    </row>
    <row r="1025" spans="2:20">
      <c r="B1025" t="s">
        <v>3448</v>
      </c>
      <c r="C1025" t="s">
        <v>2317</v>
      </c>
      <c r="D1025" t="s">
        <v>2318</v>
      </c>
      <c r="E1025" t="s">
        <v>182</v>
      </c>
      <c r="F1025" t="s">
        <v>197</v>
      </c>
      <c r="G1025" t="s">
        <v>3441</v>
      </c>
      <c r="H1025" s="5" t="s">
        <v>199</v>
      </c>
      <c r="I1025" s="117" t="s">
        <v>3442</v>
      </c>
      <c r="J1025" t="s">
        <v>145</v>
      </c>
      <c r="K1025" t="s">
        <v>3443</v>
      </c>
      <c r="L1025" t="s">
        <v>40</v>
      </c>
      <c r="M1025" t="s">
        <v>3253</v>
      </c>
      <c r="N1025" s="3" t="str">
        <f t="shared" si="66"/>
        <v>1  Year</v>
      </c>
      <c r="O1025" t="s">
        <v>1910</v>
      </c>
      <c r="P1025" t="s">
        <v>43</v>
      </c>
      <c r="Q1025">
        <v>2026</v>
      </c>
      <c r="R1025" t="s">
        <v>1981</v>
      </c>
      <c r="S1025" s="29" t="s">
        <v>45</v>
      </c>
      <c r="T1025" s="4" t="s">
        <v>3444</v>
      </c>
    </row>
    <row r="1026" spans="2:20">
      <c r="B1026" t="s">
        <v>3449</v>
      </c>
      <c r="C1026" t="s">
        <v>2322</v>
      </c>
      <c r="D1026" t="s">
        <v>3450</v>
      </c>
      <c r="E1026" t="s">
        <v>182</v>
      </c>
      <c r="F1026" t="s">
        <v>197</v>
      </c>
      <c r="G1026" t="s">
        <v>3441</v>
      </c>
      <c r="H1026" s="5" t="s">
        <v>199</v>
      </c>
      <c r="I1026" s="117" t="s">
        <v>3442</v>
      </c>
      <c r="J1026" t="s">
        <v>145</v>
      </c>
      <c r="K1026" t="s">
        <v>3443</v>
      </c>
      <c r="L1026" t="s">
        <v>40</v>
      </c>
      <c r="M1026" t="s">
        <v>3253</v>
      </c>
      <c r="N1026" s="3" t="str">
        <f t="shared" si="66"/>
        <v>1  Year</v>
      </c>
      <c r="O1026" t="s">
        <v>1910</v>
      </c>
      <c r="P1026" t="s">
        <v>43</v>
      </c>
      <c r="Q1026">
        <v>2026</v>
      </c>
      <c r="R1026" t="s">
        <v>1981</v>
      </c>
      <c r="S1026" s="29" t="s">
        <v>45</v>
      </c>
      <c r="T1026" s="4" t="s">
        <v>3444</v>
      </c>
    </row>
    <row r="1027" spans="2:20">
      <c r="B1027" t="s">
        <v>3451</v>
      </c>
      <c r="C1027" t="s">
        <v>2325</v>
      </c>
      <c r="D1027" t="s">
        <v>3452</v>
      </c>
      <c r="E1027" t="s">
        <v>182</v>
      </c>
      <c r="F1027" t="s">
        <v>197</v>
      </c>
      <c r="G1027" t="s">
        <v>3441</v>
      </c>
      <c r="H1027" s="5" t="s">
        <v>199</v>
      </c>
      <c r="I1027" s="117" t="s">
        <v>3442</v>
      </c>
      <c r="J1027" t="s">
        <v>145</v>
      </c>
      <c r="K1027" t="s">
        <v>3443</v>
      </c>
      <c r="L1027" t="s">
        <v>40</v>
      </c>
      <c r="M1027" t="s">
        <v>3253</v>
      </c>
      <c r="N1027" s="3" t="str">
        <f t="shared" si="66"/>
        <v>1  Year</v>
      </c>
      <c r="O1027" t="s">
        <v>1910</v>
      </c>
      <c r="P1027" t="s">
        <v>43</v>
      </c>
      <c r="Q1027">
        <v>2026</v>
      </c>
      <c r="R1027" t="s">
        <v>1981</v>
      </c>
      <c r="S1027" s="29" t="s">
        <v>45</v>
      </c>
      <c r="T1027" s="4" t="s">
        <v>3444</v>
      </c>
    </row>
    <row r="1028" spans="2:20">
      <c r="B1028" t="s">
        <v>3453</v>
      </c>
      <c r="C1028" t="s">
        <v>195</v>
      </c>
      <c r="D1028" t="s">
        <v>196</v>
      </c>
      <c r="E1028" t="s">
        <v>182</v>
      </c>
      <c r="F1028" t="s">
        <v>197</v>
      </c>
      <c r="G1028" t="s">
        <v>3441</v>
      </c>
      <c r="H1028" s="5" t="s">
        <v>199</v>
      </c>
      <c r="I1028" s="117" t="s">
        <v>3442</v>
      </c>
      <c r="J1028" t="s">
        <v>145</v>
      </c>
      <c r="K1028" t="s">
        <v>3443</v>
      </c>
      <c r="L1028" t="s">
        <v>40</v>
      </c>
      <c r="M1028" t="s">
        <v>3253</v>
      </c>
      <c r="N1028" s="3" t="str">
        <f t="shared" si="66"/>
        <v>1  Year</v>
      </c>
      <c r="O1028" t="s">
        <v>1910</v>
      </c>
      <c r="P1028" t="s">
        <v>43</v>
      </c>
      <c r="Q1028">
        <v>2026</v>
      </c>
      <c r="R1028" t="s">
        <v>1981</v>
      </c>
      <c r="S1028" s="29" t="s">
        <v>45</v>
      </c>
      <c r="T1028" s="4" t="s">
        <v>3444</v>
      </c>
    </row>
    <row r="1029" spans="2:20">
      <c r="B1029" s="37" t="s">
        <v>3454</v>
      </c>
      <c r="C1029" s="149" t="s">
        <v>3455</v>
      </c>
      <c r="D1029" s="37" t="s">
        <v>3456</v>
      </c>
      <c r="E1029" t="s">
        <v>182</v>
      </c>
      <c r="F1029" t="s">
        <v>197</v>
      </c>
      <c r="G1029" t="s">
        <v>3441</v>
      </c>
      <c r="H1029" s="5" t="s">
        <v>199</v>
      </c>
      <c r="I1029" s="117" t="s">
        <v>3442</v>
      </c>
      <c r="J1029" t="s">
        <v>145</v>
      </c>
      <c r="K1029" s="37" t="s">
        <v>3457</v>
      </c>
      <c r="L1029" t="s">
        <v>40</v>
      </c>
      <c r="M1029" t="s">
        <v>3253</v>
      </c>
      <c r="N1029" s="3" t="str">
        <f t="shared" ref="N1029:N1066" si="67">IF(L1029="New","1  Year",IF(L1029="Promotional","15 Weeks",IF(L1029="Revalidation","2 Years","")))</f>
        <v>1  Year</v>
      </c>
      <c r="O1029" t="s">
        <v>1910</v>
      </c>
      <c r="P1029" t="s">
        <v>43</v>
      </c>
      <c r="Q1029">
        <v>2026</v>
      </c>
      <c r="R1029" t="s">
        <v>1981</v>
      </c>
      <c r="S1029" s="29" t="s">
        <v>45</v>
      </c>
      <c r="T1029" s="4" t="s">
        <v>3458</v>
      </c>
    </row>
    <row r="1030" spans="2:20">
      <c r="B1030" s="37" t="s">
        <v>3459</v>
      </c>
      <c r="C1030" s="117" t="s">
        <v>3460</v>
      </c>
      <c r="D1030" s="37" t="s">
        <v>3461</v>
      </c>
      <c r="E1030" t="s">
        <v>182</v>
      </c>
      <c r="F1030" t="s">
        <v>197</v>
      </c>
      <c r="G1030" t="s">
        <v>3441</v>
      </c>
      <c r="H1030" s="5" t="s">
        <v>199</v>
      </c>
      <c r="I1030" s="117" t="s">
        <v>3442</v>
      </c>
      <c r="J1030" t="s">
        <v>145</v>
      </c>
      <c r="K1030" s="37" t="s">
        <v>3457</v>
      </c>
      <c r="L1030" t="s">
        <v>40</v>
      </c>
      <c r="M1030" t="s">
        <v>3253</v>
      </c>
      <c r="N1030" s="3" t="str">
        <f t="shared" si="67"/>
        <v>1  Year</v>
      </c>
      <c r="O1030" t="s">
        <v>1910</v>
      </c>
      <c r="P1030" t="s">
        <v>43</v>
      </c>
      <c r="Q1030">
        <v>2026</v>
      </c>
      <c r="R1030" t="s">
        <v>1981</v>
      </c>
      <c r="S1030" s="29" t="s">
        <v>45</v>
      </c>
      <c r="T1030" s="4" t="s">
        <v>3458</v>
      </c>
    </row>
    <row r="1031" spans="2:20" ht="28.8">
      <c r="B1031" t="s">
        <v>3462</v>
      </c>
      <c r="C1031" s="141" t="s">
        <v>3463</v>
      </c>
      <c r="D1031" s="37" t="s">
        <v>3464</v>
      </c>
      <c r="E1031" t="s">
        <v>182</v>
      </c>
      <c r="F1031" s="141" t="s">
        <v>1441</v>
      </c>
      <c r="G1031" s="141" t="s">
        <v>3465</v>
      </c>
      <c r="H1031" s="4" t="s">
        <v>1443</v>
      </c>
      <c r="J1031" s="29" t="s">
        <v>88</v>
      </c>
      <c r="K1031" s="29" t="s">
        <v>3466</v>
      </c>
      <c r="L1031" t="s">
        <v>40</v>
      </c>
      <c r="M1031" t="s">
        <v>3253</v>
      </c>
      <c r="N1031" s="3" t="str">
        <f t="shared" si="67"/>
        <v>1  Year</v>
      </c>
      <c r="O1031" t="s">
        <v>1520</v>
      </c>
      <c r="P1031" t="s">
        <v>43</v>
      </c>
      <c r="Q1031">
        <v>2026</v>
      </c>
      <c r="R1031" t="s">
        <v>1981</v>
      </c>
      <c r="S1031" s="29" t="s">
        <v>45</v>
      </c>
      <c r="T1031" s="5" t="s">
        <v>1445</v>
      </c>
    </row>
    <row r="1032" spans="2:20" ht="28.8">
      <c r="B1032" t="s">
        <v>3462</v>
      </c>
      <c r="C1032" s="141" t="s">
        <v>3463</v>
      </c>
      <c r="D1032" s="37" t="s">
        <v>3464</v>
      </c>
      <c r="E1032" t="s">
        <v>182</v>
      </c>
      <c r="F1032" s="141" t="s">
        <v>1441</v>
      </c>
      <c r="G1032" s="141" t="s">
        <v>3465</v>
      </c>
      <c r="H1032" s="4" t="s">
        <v>1443</v>
      </c>
      <c r="J1032" s="29" t="s">
        <v>145</v>
      </c>
      <c r="K1032" s="29" t="s">
        <v>3466</v>
      </c>
      <c r="L1032" t="s">
        <v>40</v>
      </c>
      <c r="M1032" t="s">
        <v>3253</v>
      </c>
      <c r="N1032" s="3" t="str">
        <f>IF(L1032="New","1  Year",IF(L1032="Promotional","15 Weeks",IF(L1032="Revalidation","2 Years","")))</f>
        <v>1  Year</v>
      </c>
      <c r="O1032" t="s">
        <v>1520</v>
      </c>
      <c r="P1032" t="s">
        <v>43</v>
      </c>
      <c r="Q1032">
        <v>2026</v>
      </c>
      <c r="R1032" t="s">
        <v>1981</v>
      </c>
      <c r="S1032" s="29" t="s">
        <v>45</v>
      </c>
      <c r="T1032" s="5" t="s">
        <v>1445</v>
      </c>
    </row>
    <row r="1033" spans="2:20" ht="28.8">
      <c r="B1033" t="s">
        <v>3462</v>
      </c>
      <c r="C1033" s="141" t="s">
        <v>3467</v>
      </c>
      <c r="D1033" s="37" t="s">
        <v>3468</v>
      </c>
      <c r="E1033" t="s">
        <v>182</v>
      </c>
      <c r="F1033" s="141" t="s">
        <v>1441</v>
      </c>
      <c r="G1033" s="141" t="s">
        <v>3469</v>
      </c>
      <c r="H1033" s="4" t="s">
        <v>1443</v>
      </c>
      <c r="J1033" s="29" t="s">
        <v>88</v>
      </c>
      <c r="K1033" s="29" t="s">
        <v>3466</v>
      </c>
      <c r="L1033" t="s">
        <v>40</v>
      </c>
      <c r="M1033" t="s">
        <v>3253</v>
      </c>
      <c r="N1033" s="3" t="str">
        <f t="shared" si="67"/>
        <v>1  Year</v>
      </c>
      <c r="O1033" t="s">
        <v>1520</v>
      </c>
      <c r="P1033" t="s">
        <v>43</v>
      </c>
      <c r="Q1033">
        <v>2026</v>
      </c>
      <c r="R1033" t="s">
        <v>1981</v>
      </c>
      <c r="S1033" s="29" t="s">
        <v>45</v>
      </c>
      <c r="T1033" s="5" t="s">
        <v>1445</v>
      </c>
    </row>
    <row r="1034" spans="2:20" ht="28.8">
      <c r="B1034" t="s">
        <v>3462</v>
      </c>
      <c r="C1034" s="141" t="s">
        <v>3467</v>
      </c>
      <c r="D1034" s="37" t="s">
        <v>3468</v>
      </c>
      <c r="E1034" t="s">
        <v>182</v>
      </c>
      <c r="F1034" s="141" t="s">
        <v>1441</v>
      </c>
      <c r="G1034" s="141" t="s">
        <v>3469</v>
      </c>
      <c r="H1034" s="4" t="s">
        <v>1443</v>
      </c>
      <c r="J1034" s="29" t="s">
        <v>145</v>
      </c>
      <c r="K1034" s="29" t="s">
        <v>3466</v>
      </c>
      <c r="L1034" t="s">
        <v>40</v>
      </c>
      <c r="M1034" t="s">
        <v>3253</v>
      </c>
      <c r="N1034" s="3" t="str">
        <f>IF(L1034="New","1  Year",IF(L1034="Promotional","15 Weeks",IF(L1034="Revalidation","2 Years","")))</f>
        <v>1  Year</v>
      </c>
      <c r="O1034" t="s">
        <v>1520</v>
      </c>
      <c r="P1034" t="s">
        <v>43</v>
      </c>
      <c r="Q1034">
        <v>2026</v>
      </c>
      <c r="R1034" t="s">
        <v>1981</v>
      </c>
      <c r="S1034" s="29" t="s">
        <v>45</v>
      </c>
      <c r="T1034" s="5" t="s">
        <v>1445</v>
      </c>
    </row>
    <row r="1035" spans="2:20" ht="28.8">
      <c r="B1035" t="s">
        <v>3470</v>
      </c>
      <c r="C1035" s="141" t="s">
        <v>1439</v>
      </c>
      <c r="D1035" s="37" t="s">
        <v>3471</v>
      </c>
      <c r="E1035" t="s">
        <v>182</v>
      </c>
      <c r="F1035" s="141" t="s">
        <v>1441</v>
      </c>
      <c r="G1035" s="141" t="s">
        <v>3465</v>
      </c>
      <c r="H1035" s="4" t="s">
        <v>1443</v>
      </c>
      <c r="J1035" s="29" t="s">
        <v>88</v>
      </c>
      <c r="K1035" s="29" t="s">
        <v>3466</v>
      </c>
      <c r="L1035" t="s">
        <v>40</v>
      </c>
      <c r="M1035" t="s">
        <v>3253</v>
      </c>
      <c r="N1035" s="3" t="str">
        <f t="shared" si="67"/>
        <v>1  Year</v>
      </c>
      <c r="O1035" t="s">
        <v>1520</v>
      </c>
      <c r="P1035" t="s">
        <v>43</v>
      </c>
      <c r="Q1035">
        <v>2026</v>
      </c>
      <c r="R1035" t="s">
        <v>1981</v>
      </c>
      <c r="S1035" s="29" t="s">
        <v>45</v>
      </c>
      <c r="T1035" s="5" t="s">
        <v>1445</v>
      </c>
    </row>
    <row r="1036" spans="2:20" ht="28.8">
      <c r="B1036" t="s">
        <v>3470</v>
      </c>
      <c r="C1036" s="141" t="s">
        <v>1439</v>
      </c>
      <c r="D1036" s="37" t="s">
        <v>3471</v>
      </c>
      <c r="E1036" t="s">
        <v>182</v>
      </c>
      <c r="F1036" s="141" t="s">
        <v>1441</v>
      </c>
      <c r="G1036" s="141" t="s">
        <v>3465</v>
      </c>
      <c r="H1036" s="4" t="s">
        <v>1443</v>
      </c>
      <c r="J1036" s="29" t="s">
        <v>145</v>
      </c>
      <c r="K1036" s="29" t="s">
        <v>3466</v>
      </c>
      <c r="L1036" t="s">
        <v>40</v>
      </c>
      <c r="M1036" t="s">
        <v>3253</v>
      </c>
      <c r="N1036" s="3" t="str">
        <f t="shared" si="67"/>
        <v>1  Year</v>
      </c>
      <c r="O1036" t="s">
        <v>1520</v>
      </c>
      <c r="P1036" t="s">
        <v>43</v>
      </c>
      <c r="Q1036">
        <v>2026</v>
      </c>
      <c r="R1036" t="s">
        <v>1981</v>
      </c>
      <c r="S1036" s="29" t="s">
        <v>45</v>
      </c>
      <c r="T1036" s="5" t="s">
        <v>1445</v>
      </c>
    </row>
    <row r="1037" spans="2:20" ht="28.8">
      <c r="B1037" s="61" t="s">
        <v>3472</v>
      </c>
      <c r="C1037" s="141" t="s">
        <v>3473</v>
      </c>
      <c r="D1037" s="141" t="s">
        <v>3474</v>
      </c>
      <c r="E1037" t="s">
        <v>33</v>
      </c>
      <c r="F1037" s="124" t="s">
        <v>2820</v>
      </c>
      <c r="G1037" s="60" t="s">
        <v>3273</v>
      </c>
      <c r="H1037" s="5" t="s">
        <v>2822</v>
      </c>
      <c r="I1037" s="117" t="s">
        <v>3274</v>
      </c>
      <c r="J1037" s="29" t="s">
        <v>145</v>
      </c>
      <c r="K1037" s="29" t="s">
        <v>3475</v>
      </c>
      <c r="L1037" t="s">
        <v>40</v>
      </c>
      <c r="M1037" t="s">
        <v>3253</v>
      </c>
      <c r="N1037" s="3" t="str">
        <f t="shared" ref="N1037:N1060" si="68">IF(L1037="New","1  Year",IF(L1037="Promotional","15 Weeks",IF(L1037="Revalidation","2 Years","")))</f>
        <v>1  Year</v>
      </c>
      <c r="O1037" t="s">
        <v>811</v>
      </c>
      <c r="P1037" t="s">
        <v>43</v>
      </c>
      <c r="Q1037">
        <v>2026</v>
      </c>
      <c r="R1037" t="s">
        <v>44</v>
      </c>
      <c r="S1037" s="29" t="s">
        <v>45</v>
      </c>
      <c r="T1037" s="4" t="s">
        <v>3476</v>
      </c>
    </row>
    <row r="1038" spans="2:20">
      <c r="B1038" s="61" t="s">
        <v>3477</v>
      </c>
      <c r="C1038" s="141" t="s">
        <v>3478</v>
      </c>
      <c r="D1038" s="52" t="s">
        <v>3479</v>
      </c>
      <c r="E1038" t="s">
        <v>33</v>
      </c>
      <c r="F1038" s="124" t="s">
        <v>2820</v>
      </c>
      <c r="G1038" s="60" t="s">
        <v>3273</v>
      </c>
      <c r="H1038" s="5" t="s">
        <v>2822</v>
      </c>
      <c r="I1038" s="117" t="s">
        <v>3274</v>
      </c>
      <c r="J1038" s="29" t="s">
        <v>145</v>
      </c>
      <c r="K1038" s="60" t="s">
        <v>3480</v>
      </c>
      <c r="L1038" t="s">
        <v>40</v>
      </c>
      <c r="M1038" s="16" t="s">
        <v>3253</v>
      </c>
      <c r="N1038" s="3" t="str">
        <f t="shared" si="68"/>
        <v>1  Year</v>
      </c>
      <c r="O1038" t="s">
        <v>811</v>
      </c>
      <c r="P1038" t="s">
        <v>43</v>
      </c>
      <c r="Q1038">
        <v>2026</v>
      </c>
      <c r="R1038" t="s">
        <v>44</v>
      </c>
      <c r="S1038" s="29" t="s">
        <v>45</v>
      </c>
      <c r="T1038" s="4" t="s">
        <v>3481</v>
      </c>
    </row>
    <row r="1039" spans="2:20">
      <c r="B1039" s="61" t="s">
        <v>3482</v>
      </c>
      <c r="C1039" s="141" t="s">
        <v>3483</v>
      </c>
      <c r="D1039" s="61" t="s">
        <v>3484</v>
      </c>
      <c r="E1039" t="s">
        <v>33</v>
      </c>
      <c r="F1039" s="124" t="s">
        <v>2820</v>
      </c>
      <c r="G1039" s="60" t="s">
        <v>3273</v>
      </c>
      <c r="H1039" s="5" t="s">
        <v>2822</v>
      </c>
      <c r="I1039" s="117" t="s">
        <v>3274</v>
      </c>
      <c r="J1039" s="29" t="s">
        <v>145</v>
      </c>
      <c r="K1039" s="60" t="s">
        <v>3485</v>
      </c>
      <c r="L1039" t="s">
        <v>40</v>
      </c>
      <c r="M1039" s="16" t="s">
        <v>3253</v>
      </c>
      <c r="N1039" s="3" t="str">
        <f t="shared" si="68"/>
        <v>1  Year</v>
      </c>
      <c r="O1039" t="s">
        <v>811</v>
      </c>
      <c r="P1039" t="s">
        <v>3486</v>
      </c>
      <c r="Q1039">
        <v>2026</v>
      </c>
      <c r="R1039" t="s">
        <v>44</v>
      </c>
      <c r="S1039" s="29" t="s">
        <v>45</v>
      </c>
      <c r="T1039" s="4" t="s">
        <v>3487</v>
      </c>
    </row>
    <row r="1040" spans="2:20">
      <c r="B1040" t="s">
        <v>3488</v>
      </c>
      <c r="C1040" s="142" t="s">
        <v>3489</v>
      </c>
      <c r="D1040" s="61" t="s">
        <v>3479</v>
      </c>
      <c r="E1040" t="s">
        <v>33</v>
      </c>
      <c r="F1040" s="124" t="s">
        <v>2820</v>
      </c>
      <c r="G1040" s="60" t="s">
        <v>3273</v>
      </c>
      <c r="H1040" s="5" t="s">
        <v>2822</v>
      </c>
      <c r="I1040" s="117" t="s">
        <v>3274</v>
      </c>
      <c r="J1040" s="29" t="s">
        <v>145</v>
      </c>
      <c r="K1040" s="60" t="s">
        <v>3490</v>
      </c>
      <c r="L1040" t="s">
        <v>40</v>
      </c>
      <c r="M1040" s="16" t="s">
        <v>3253</v>
      </c>
      <c r="N1040" s="3" t="str">
        <f t="shared" si="68"/>
        <v>1  Year</v>
      </c>
      <c r="O1040" t="s">
        <v>811</v>
      </c>
      <c r="P1040" t="s">
        <v>3486</v>
      </c>
      <c r="Q1040">
        <v>2026</v>
      </c>
      <c r="R1040" s="29" t="s">
        <v>44</v>
      </c>
      <c r="S1040" s="29" t="s">
        <v>45</v>
      </c>
      <c r="T1040" s="4" t="s">
        <v>3491</v>
      </c>
    </row>
    <row r="1041" spans="2:20">
      <c r="N1041" s="3" t="str">
        <f t="shared" si="68"/>
        <v/>
      </c>
    </row>
    <row r="1042" spans="2:20">
      <c r="F1042"/>
      <c r="N1042" s="3" t="str">
        <f t="shared" si="68"/>
        <v/>
      </c>
    </row>
    <row r="1043" spans="2:20">
      <c r="N1043" s="3" t="str">
        <f t="shared" si="68"/>
        <v/>
      </c>
    </row>
    <row r="1044" spans="2:20">
      <c r="N1044" s="3" t="str">
        <f t="shared" si="68"/>
        <v/>
      </c>
      <c r="T1044" s="61" t="s">
        <v>3492</v>
      </c>
    </row>
    <row r="1045" spans="2:20">
      <c r="N1045" s="3" t="str">
        <f t="shared" si="68"/>
        <v/>
      </c>
    </row>
    <row r="1046" spans="2:20">
      <c r="N1046" s="3" t="str">
        <f t="shared" si="68"/>
        <v/>
      </c>
    </row>
    <row r="1047" spans="2:20">
      <c r="N1047" s="3" t="str">
        <f t="shared" si="68"/>
        <v/>
      </c>
    </row>
    <row r="1048" spans="2:20">
      <c r="N1048" s="3" t="str">
        <f t="shared" si="68"/>
        <v/>
      </c>
    </row>
    <row r="1049" spans="2:20">
      <c r="N1049" s="3" t="str">
        <f t="shared" si="68"/>
        <v/>
      </c>
    </row>
    <row r="1050" spans="2:20">
      <c r="N1050" s="3" t="str">
        <f t="shared" si="68"/>
        <v/>
      </c>
    </row>
    <row r="1051" spans="2:20">
      <c r="N1051" s="3" t="str">
        <f t="shared" si="68"/>
        <v/>
      </c>
    </row>
    <row r="1052" spans="2:20">
      <c r="N1052" s="3" t="str">
        <f t="shared" si="68"/>
        <v/>
      </c>
    </row>
    <row r="1053" spans="2:20">
      <c r="N1053" s="3" t="str">
        <f t="shared" si="68"/>
        <v/>
      </c>
    </row>
    <row r="1054" spans="2:20">
      <c r="B1054" s="17"/>
      <c r="C1054" s="17"/>
      <c r="F1054" s="124"/>
      <c r="H1054" s="5"/>
      <c r="K1054" s="97"/>
      <c r="M1054"/>
      <c r="N1054" s="3" t="str">
        <f t="shared" si="68"/>
        <v/>
      </c>
      <c r="R1054"/>
      <c r="T1054" s="4"/>
    </row>
    <row r="1055" spans="2:20">
      <c r="N1055" s="3" t="str">
        <f t="shared" si="68"/>
        <v/>
      </c>
    </row>
    <row r="1056" spans="2:20">
      <c r="N1056" s="3" t="str">
        <f t="shared" si="68"/>
        <v/>
      </c>
    </row>
    <row r="1057" spans="14:14">
      <c r="N1057" s="3" t="str">
        <f t="shared" si="68"/>
        <v/>
      </c>
    </row>
    <row r="1058" spans="14:14">
      <c r="N1058" s="3" t="str">
        <f t="shared" si="68"/>
        <v/>
      </c>
    </row>
    <row r="1059" spans="14:14">
      <c r="N1059" s="3" t="str">
        <f t="shared" si="68"/>
        <v/>
      </c>
    </row>
    <row r="1060" spans="14:14">
      <c r="N1060" s="3" t="str">
        <f t="shared" si="68"/>
        <v/>
      </c>
    </row>
    <row r="1061" spans="14:14">
      <c r="N1061" s="3" t="str">
        <f t="shared" si="67"/>
        <v/>
      </c>
    </row>
    <row r="1062" spans="14:14">
      <c r="N1062" s="3" t="str">
        <f t="shared" si="67"/>
        <v/>
      </c>
    </row>
    <row r="1063" spans="14:14">
      <c r="N1063" s="3" t="str">
        <f t="shared" si="67"/>
        <v/>
      </c>
    </row>
    <row r="1064" spans="14:14">
      <c r="N1064" s="3" t="str">
        <f t="shared" si="67"/>
        <v/>
      </c>
    </row>
    <row r="1065" spans="14:14">
      <c r="N1065" s="3" t="str">
        <f t="shared" si="67"/>
        <v/>
      </c>
    </row>
    <row r="1066" spans="14:14">
      <c r="N1066" s="3" t="str">
        <f t="shared" si="67"/>
        <v/>
      </c>
    </row>
    <row r="1067" spans="14:14">
      <c r="N1067" s="3" t="str">
        <f t="shared" ref="N1067:N1130" si="69">IF(L1067="New","1  Year",IF(L1067="Promotional","15 Weeks",IF(L1067="Revalidation","2 Years","")))</f>
        <v/>
      </c>
    </row>
    <row r="1068" spans="14:14">
      <c r="N1068" s="3" t="str">
        <f t="shared" si="69"/>
        <v/>
      </c>
    </row>
    <row r="1069" spans="14:14">
      <c r="N1069" s="3" t="str">
        <f t="shared" si="69"/>
        <v/>
      </c>
    </row>
    <row r="1070" spans="14:14">
      <c r="N1070" s="3" t="str">
        <f t="shared" si="69"/>
        <v/>
      </c>
    </row>
    <row r="1071" spans="14:14">
      <c r="N1071" s="3" t="str">
        <f t="shared" si="69"/>
        <v/>
      </c>
    </row>
    <row r="1072" spans="14:14">
      <c r="N1072" s="3" t="str">
        <f t="shared" si="69"/>
        <v/>
      </c>
    </row>
    <row r="1073" spans="2:20">
      <c r="N1073" s="3" t="str">
        <f t="shared" si="69"/>
        <v/>
      </c>
    </row>
    <row r="1074" spans="2:20">
      <c r="N1074" s="3" t="str">
        <f t="shared" si="69"/>
        <v/>
      </c>
    </row>
    <row r="1075" spans="2:20">
      <c r="N1075" s="3" t="str">
        <f t="shared" si="69"/>
        <v/>
      </c>
    </row>
    <row r="1076" spans="2:20">
      <c r="N1076" s="3" t="str">
        <f t="shared" si="69"/>
        <v/>
      </c>
    </row>
    <row r="1077" spans="2:20">
      <c r="N1077" s="3" t="str">
        <f t="shared" si="69"/>
        <v/>
      </c>
    </row>
    <row r="1078" spans="2:20">
      <c r="N1078" s="3" t="str">
        <f t="shared" si="69"/>
        <v/>
      </c>
    </row>
    <row r="1079" spans="2:20">
      <c r="N1079" s="3" t="str">
        <f t="shared" si="69"/>
        <v/>
      </c>
    </row>
    <row r="1080" spans="2:20">
      <c r="N1080" s="3" t="str">
        <f t="shared" si="69"/>
        <v/>
      </c>
    </row>
    <row r="1081" spans="2:20">
      <c r="N1081" s="3" t="str">
        <f t="shared" si="69"/>
        <v/>
      </c>
    </row>
    <row r="1082" spans="2:20">
      <c r="N1082" s="3" t="str">
        <f t="shared" si="69"/>
        <v/>
      </c>
    </row>
    <row r="1083" spans="2:20">
      <c r="N1083" s="3" t="str">
        <f t="shared" si="69"/>
        <v/>
      </c>
    </row>
    <row r="1084" spans="2:20" ht="31.8">
      <c r="B1084" s="17" t="s">
        <v>3493</v>
      </c>
      <c r="C1084" s="17" t="s">
        <v>3494</v>
      </c>
      <c r="D1084" s="52" t="s">
        <v>621</v>
      </c>
      <c r="E1084" t="s">
        <v>33</v>
      </c>
      <c r="F1084" s="124" t="s">
        <v>564</v>
      </c>
      <c r="G1084" s="48" t="s">
        <v>3389</v>
      </c>
      <c r="H1084" s="5" t="s">
        <v>1536</v>
      </c>
      <c r="I1084" s="117" t="s">
        <v>3390</v>
      </c>
      <c r="J1084" s="29" t="s">
        <v>145</v>
      </c>
      <c r="K1084" s="97" t="s">
        <v>3495</v>
      </c>
      <c r="L1084" t="s">
        <v>40</v>
      </c>
      <c r="M1084" t="s">
        <v>3253</v>
      </c>
      <c r="N1084" s="3" t="str">
        <f t="shared" si="69"/>
        <v>1  Year</v>
      </c>
      <c r="O1084" t="s">
        <v>811</v>
      </c>
      <c r="P1084" t="s">
        <v>43</v>
      </c>
      <c r="Q1084">
        <v>2026</v>
      </c>
      <c r="R1084" t="s">
        <v>1981</v>
      </c>
      <c r="S1084" s="29" t="s">
        <v>45</v>
      </c>
      <c r="T1084" s="4" t="s">
        <v>3496</v>
      </c>
    </row>
    <row r="1085" spans="2:20" ht="31.8">
      <c r="B1085" s="17" t="s">
        <v>3412</v>
      </c>
      <c r="C1085" s="17" t="s">
        <v>3413</v>
      </c>
      <c r="D1085" s="53" t="s">
        <v>3414</v>
      </c>
      <c r="E1085" t="s">
        <v>182</v>
      </c>
      <c r="F1085" s="124" t="s">
        <v>226</v>
      </c>
      <c r="G1085" s="48" t="s">
        <v>3249</v>
      </c>
      <c r="H1085" s="5" t="s">
        <v>3250</v>
      </c>
      <c r="I1085" s="117" t="s">
        <v>3251</v>
      </c>
      <c r="J1085" s="29" t="s">
        <v>88</v>
      </c>
      <c r="K1085" s="97" t="s">
        <v>3252</v>
      </c>
      <c r="L1085" s="26" t="s">
        <v>40</v>
      </c>
      <c r="M1085" s="16" t="s">
        <v>3405</v>
      </c>
      <c r="N1085" s="3" t="str">
        <f t="shared" si="69"/>
        <v>1  Year</v>
      </c>
      <c r="O1085" s="26" t="s">
        <v>1910</v>
      </c>
      <c r="P1085" s="26" t="s">
        <v>43</v>
      </c>
      <c r="Q1085" s="26">
        <v>2026</v>
      </c>
      <c r="R1085" s="29" t="s">
        <v>44</v>
      </c>
      <c r="S1085" s="29" t="s">
        <v>45</v>
      </c>
      <c r="T1085" s="4" t="s">
        <v>3415</v>
      </c>
    </row>
    <row r="1086" spans="2:20" ht="31.8">
      <c r="B1086" s="17" t="s">
        <v>3497</v>
      </c>
      <c r="C1086" s="17" t="s">
        <v>3498</v>
      </c>
      <c r="D1086" s="52" t="s">
        <v>3499</v>
      </c>
      <c r="E1086" t="s">
        <v>33</v>
      </c>
      <c r="F1086" s="124" t="s">
        <v>564</v>
      </c>
      <c r="G1086" s="48" t="s">
        <v>3389</v>
      </c>
      <c r="H1086" s="5" t="s">
        <v>1536</v>
      </c>
      <c r="I1086" s="117" t="s">
        <v>3390</v>
      </c>
      <c r="J1086" s="29" t="s">
        <v>145</v>
      </c>
      <c r="K1086" s="97" t="s">
        <v>3500</v>
      </c>
      <c r="L1086" t="s">
        <v>40</v>
      </c>
      <c r="M1086" s="16" t="s">
        <v>3405</v>
      </c>
      <c r="N1086" s="3" t="str">
        <f t="shared" si="69"/>
        <v>1  Year</v>
      </c>
      <c r="O1086" t="s">
        <v>811</v>
      </c>
      <c r="P1086" t="s">
        <v>43</v>
      </c>
      <c r="Q1086">
        <v>2026</v>
      </c>
      <c r="R1086" t="s">
        <v>1981</v>
      </c>
      <c r="S1086" s="29" t="s">
        <v>45</v>
      </c>
      <c r="T1086" s="4" t="s">
        <v>3501</v>
      </c>
    </row>
    <row r="1087" spans="2:20" ht="31.8">
      <c r="B1087" s="17" t="s">
        <v>3497</v>
      </c>
      <c r="C1087" s="17" t="s">
        <v>3498</v>
      </c>
      <c r="D1087" s="52" t="s">
        <v>3499</v>
      </c>
      <c r="E1087" t="s">
        <v>33</v>
      </c>
      <c r="F1087" s="124" t="s">
        <v>564</v>
      </c>
      <c r="G1087" s="48" t="s">
        <v>3389</v>
      </c>
      <c r="H1087" s="5" t="s">
        <v>1536</v>
      </c>
      <c r="I1087" s="117" t="s">
        <v>3390</v>
      </c>
      <c r="J1087" s="29" t="s">
        <v>48</v>
      </c>
      <c r="K1087" s="97" t="s">
        <v>3500</v>
      </c>
      <c r="L1087" t="s">
        <v>40</v>
      </c>
      <c r="M1087" s="16" t="s">
        <v>3405</v>
      </c>
      <c r="N1087" s="3" t="str">
        <f t="shared" ref="N1087" si="70">IF(L1087="New","1  Year",IF(L1087="Promotional","15 Weeks",IF(L1087="Revalidation","2 Years","")))</f>
        <v>1  Year</v>
      </c>
      <c r="O1087" t="s">
        <v>811</v>
      </c>
      <c r="P1087" t="s">
        <v>43</v>
      </c>
      <c r="Q1087">
        <v>2026</v>
      </c>
      <c r="R1087" t="s">
        <v>1981</v>
      </c>
      <c r="S1087" s="29" t="s">
        <v>45</v>
      </c>
      <c r="T1087" s="4" t="s">
        <v>3501</v>
      </c>
    </row>
    <row r="1088" spans="2:20" ht="28.8">
      <c r="B1088" s="17" t="s">
        <v>3502</v>
      </c>
      <c r="C1088" s="17" t="s">
        <v>3503</v>
      </c>
      <c r="D1088" s="17" t="s">
        <v>3504</v>
      </c>
      <c r="E1088" s="17" t="s">
        <v>182</v>
      </c>
      <c r="F1088" s="68" t="s">
        <v>966</v>
      </c>
      <c r="G1088" s="48" t="s">
        <v>527</v>
      </c>
      <c r="H1088" s="5" t="s">
        <v>2365</v>
      </c>
      <c r="I1088" s="116" t="s">
        <v>529</v>
      </c>
      <c r="J1088" s="29" t="s">
        <v>145</v>
      </c>
      <c r="K1088" s="97" t="s">
        <v>3505</v>
      </c>
      <c r="L1088" t="s">
        <v>40</v>
      </c>
      <c r="M1088" s="16" t="s">
        <v>3405</v>
      </c>
      <c r="N1088" s="3" t="str">
        <f t="shared" ref="N1088" si="71">IF(L1088="New","1  Year",IF(L1088="Promotional","15 Weeks",IF(L1088="Revalidation","2 Years","")))</f>
        <v>1  Year</v>
      </c>
      <c r="O1088" t="s">
        <v>1910</v>
      </c>
      <c r="P1088" t="s">
        <v>43</v>
      </c>
      <c r="Q1088">
        <v>2026</v>
      </c>
      <c r="R1088" t="s">
        <v>1981</v>
      </c>
      <c r="S1088" s="29" t="s">
        <v>45</v>
      </c>
      <c r="T1088" s="4" t="s">
        <v>3506</v>
      </c>
    </row>
    <row r="1089" spans="2:20" ht="28.8">
      <c r="B1089" s="17" t="s">
        <v>3507</v>
      </c>
      <c r="C1089" s="17" t="s">
        <v>279</v>
      </c>
      <c r="D1089" s="52" t="s">
        <v>3508</v>
      </c>
      <c r="E1089" t="s">
        <v>33</v>
      </c>
      <c r="F1089" s="97" t="s">
        <v>3509</v>
      </c>
      <c r="G1089" s="97" t="s">
        <v>3510</v>
      </c>
      <c r="H1089" s="5" t="s">
        <v>3511</v>
      </c>
      <c r="I1089" s="117" t="s">
        <v>3512</v>
      </c>
      <c r="J1089" s="29" t="s">
        <v>145</v>
      </c>
      <c r="K1089" s="97" t="s">
        <v>3513</v>
      </c>
      <c r="L1089" t="s">
        <v>40</v>
      </c>
      <c r="M1089" s="16" t="s">
        <v>3405</v>
      </c>
      <c r="N1089" s="3" t="str">
        <f t="shared" ref="N1089:N1092" si="72">IF(L1089="New","1  Year",IF(L1089="Promotional","15 Weeks",IF(L1089="Revalidation","2 Years","")))</f>
        <v>1  Year</v>
      </c>
      <c r="O1089" t="s">
        <v>42</v>
      </c>
      <c r="P1089" t="s">
        <v>43</v>
      </c>
      <c r="Q1089">
        <v>2026</v>
      </c>
      <c r="R1089" t="s">
        <v>44</v>
      </c>
      <c r="S1089" s="29" t="s">
        <v>45</v>
      </c>
      <c r="T1089" s="4" t="s">
        <v>3514</v>
      </c>
    </row>
    <row r="1090" spans="2:20" ht="28.8">
      <c r="B1090" s="17" t="s">
        <v>3420</v>
      </c>
      <c r="C1090" s="22" t="s">
        <v>118</v>
      </c>
      <c r="D1090" s="52" t="s">
        <v>3421</v>
      </c>
      <c r="E1090" t="s">
        <v>52</v>
      </c>
      <c r="F1090" s="68" t="s">
        <v>120</v>
      </c>
      <c r="G1090" s="48" t="s">
        <v>121</v>
      </c>
      <c r="H1090" s="5" t="s">
        <v>122</v>
      </c>
      <c r="I1090" s="117" t="s">
        <v>123</v>
      </c>
      <c r="J1090" s="29" t="s">
        <v>1081</v>
      </c>
      <c r="K1090" s="97" t="s">
        <v>3515</v>
      </c>
      <c r="L1090" s="26" t="s">
        <v>40</v>
      </c>
      <c r="M1090" s="16" t="s">
        <v>3405</v>
      </c>
      <c r="N1090" s="3" t="str">
        <f t="shared" si="72"/>
        <v>1  Year</v>
      </c>
      <c r="O1090" s="26" t="s">
        <v>42</v>
      </c>
      <c r="P1090" s="26" t="s">
        <v>43</v>
      </c>
      <c r="Q1090" s="26">
        <v>2026</v>
      </c>
      <c r="R1090" s="29" t="s">
        <v>1981</v>
      </c>
      <c r="S1090" s="29" t="s">
        <v>45</v>
      </c>
      <c r="T1090" s="4" t="s">
        <v>3516</v>
      </c>
    </row>
    <row r="1091" spans="2:20" ht="28.8">
      <c r="B1091" s="17" t="s">
        <v>3424</v>
      </c>
      <c r="C1091" s="22" t="s">
        <v>3425</v>
      </c>
      <c r="D1091" s="17" t="s">
        <v>3426</v>
      </c>
      <c r="E1091" t="s">
        <v>52</v>
      </c>
      <c r="F1091" s="68" t="s">
        <v>120</v>
      </c>
      <c r="G1091" s="48" t="s">
        <v>121</v>
      </c>
      <c r="H1091" s="5" t="s">
        <v>122</v>
      </c>
      <c r="I1091" s="117" t="s">
        <v>123</v>
      </c>
      <c r="J1091" s="29" t="s">
        <v>1081</v>
      </c>
      <c r="K1091" s="97" t="s">
        <v>3515</v>
      </c>
      <c r="L1091" s="26" t="s">
        <v>40</v>
      </c>
      <c r="M1091" s="16" t="s">
        <v>3405</v>
      </c>
      <c r="N1091" s="3" t="str">
        <f t="shared" si="72"/>
        <v>1  Year</v>
      </c>
      <c r="O1091" s="26" t="s">
        <v>42</v>
      </c>
      <c r="P1091" s="26" t="s">
        <v>43</v>
      </c>
      <c r="Q1091" s="26">
        <v>2026</v>
      </c>
      <c r="R1091" s="29" t="s">
        <v>1981</v>
      </c>
      <c r="S1091" s="29" t="s">
        <v>45</v>
      </c>
      <c r="T1091" s="4" t="s">
        <v>3516</v>
      </c>
    </row>
    <row r="1092" spans="2:20" ht="28.8">
      <c r="B1092" s="17" t="s">
        <v>3429</v>
      </c>
      <c r="C1092" s="22" t="s">
        <v>1012</v>
      </c>
      <c r="D1092" s="52" t="s">
        <v>3421</v>
      </c>
      <c r="E1092" t="s">
        <v>52</v>
      </c>
      <c r="F1092" s="68" t="s">
        <v>120</v>
      </c>
      <c r="G1092" s="48" t="s">
        <v>121</v>
      </c>
      <c r="H1092" s="5" t="s">
        <v>122</v>
      </c>
      <c r="I1092" s="117" t="s">
        <v>123</v>
      </c>
      <c r="J1092" s="29" t="s">
        <v>1081</v>
      </c>
      <c r="K1092" s="97" t="s">
        <v>3515</v>
      </c>
      <c r="L1092" s="26" t="s">
        <v>40</v>
      </c>
      <c r="M1092" s="16" t="s">
        <v>3405</v>
      </c>
      <c r="N1092" s="3" t="str">
        <f t="shared" si="72"/>
        <v>1  Year</v>
      </c>
      <c r="O1092" s="26" t="s">
        <v>42</v>
      </c>
      <c r="P1092" s="26" t="s">
        <v>43</v>
      </c>
      <c r="Q1092" s="26">
        <v>2026</v>
      </c>
      <c r="R1092" s="29" t="s">
        <v>1981</v>
      </c>
      <c r="S1092" s="29" t="s">
        <v>45</v>
      </c>
      <c r="T1092" s="4" t="s">
        <v>3516</v>
      </c>
    </row>
    <row r="1093" spans="2:20" ht="31.8">
      <c r="B1093" s="59" t="s">
        <v>3517</v>
      </c>
      <c r="C1093" s="17" t="s">
        <v>3518</v>
      </c>
      <c r="D1093" s="52" t="s">
        <v>3519</v>
      </c>
      <c r="E1093" t="s">
        <v>33</v>
      </c>
      <c r="F1093" s="124" t="s">
        <v>564</v>
      </c>
      <c r="G1093" s="48" t="s">
        <v>3389</v>
      </c>
      <c r="H1093" s="5" t="s">
        <v>1536</v>
      </c>
      <c r="I1093" s="117" t="s">
        <v>3390</v>
      </c>
      <c r="J1093" s="29" t="s">
        <v>48</v>
      </c>
      <c r="K1093" s="97" t="s">
        <v>3520</v>
      </c>
      <c r="L1093" s="26" t="s">
        <v>40</v>
      </c>
      <c r="M1093" s="16" t="s">
        <v>3405</v>
      </c>
      <c r="N1093" s="3" t="str">
        <f t="shared" ref="N1093" si="73">IF(L1093="New","1  Year",IF(L1093="Promotional","15 Weeks",IF(L1093="Revalidation","2 Years","")))</f>
        <v>1  Year</v>
      </c>
      <c r="O1093" s="26" t="s">
        <v>811</v>
      </c>
      <c r="P1093" s="26" t="s">
        <v>43</v>
      </c>
      <c r="Q1093" s="26">
        <v>2026</v>
      </c>
      <c r="R1093" s="29" t="s">
        <v>1981</v>
      </c>
      <c r="S1093" s="29" t="s">
        <v>45</v>
      </c>
      <c r="T1093" s="4" t="s">
        <v>3521</v>
      </c>
    </row>
    <row r="1094" spans="2:20">
      <c r="J1094" s="29" t="s">
        <v>145</v>
      </c>
      <c r="N1094" s="3" t="str">
        <f t="shared" si="69"/>
        <v/>
      </c>
    </row>
    <row r="1095" spans="2:20">
      <c r="N1095" s="3" t="str">
        <f t="shared" si="69"/>
        <v/>
      </c>
    </row>
    <row r="1096" spans="2:20">
      <c r="N1096" s="3" t="str">
        <f t="shared" si="69"/>
        <v/>
      </c>
    </row>
    <row r="1097" spans="2:20">
      <c r="N1097" s="3" t="str">
        <f t="shared" si="69"/>
        <v/>
      </c>
    </row>
    <row r="1098" spans="2:20">
      <c r="N1098" s="3" t="str">
        <f t="shared" si="69"/>
        <v/>
      </c>
    </row>
    <row r="1099" spans="2:20">
      <c r="N1099" s="3" t="str">
        <f t="shared" si="69"/>
        <v/>
      </c>
    </row>
    <row r="1100" spans="2:20">
      <c r="N1100" s="3" t="str">
        <f t="shared" si="69"/>
        <v/>
      </c>
    </row>
    <row r="1101" spans="2:20">
      <c r="N1101" s="3" t="str">
        <f t="shared" si="69"/>
        <v/>
      </c>
    </row>
    <row r="1102" spans="2:20">
      <c r="N1102" s="3" t="str">
        <f t="shared" si="69"/>
        <v/>
      </c>
    </row>
    <row r="1103" spans="2:20">
      <c r="N1103" s="3" t="str">
        <f t="shared" si="69"/>
        <v/>
      </c>
    </row>
    <row r="1104" spans="2:20">
      <c r="N1104" s="3" t="str">
        <f t="shared" si="69"/>
        <v/>
      </c>
    </row>
    <row r="1105" spans="14:14">
      <c r="N1105" s="3" t="str">
        <f t="shared" si="69"/>
        <v/>
      </c>
    </row>
    <row r="1106" spans="14:14">
      <c r="N1106" s="3" t="str">
        <f t="shared" si="69"/>
        <v/>
      </c>
    </row>
    <row r="1107" spans="14:14">
      <c r="N1107" s="3" t="str">
        <f t="shared" si="69"/>
        <v/>
      </c>
    </row>
    <row r="1108" spans="14:14">
      <c r="N1108" s="3" t="str">
        <f t="shared" si="69"/>
        <v/>
      </c>
    </row>
    <row r="1109" spans="14:14">
      <c r="N1109" s="3" t="str">
        <f t="shared" si="69"/>
        <v/>
      </c>
    </row>
    <row r="1110" spans="14:14">
      <c r="N1110" s="3" t="str">
        <f t="shared" si="69"/>
        <v/>
      </c>
    </row>
    <row r="1111" spans="14:14">
      <c r="N1111" s="3" t="str">
        <f t="shared" si="69"/>
        <v/>
      </c>
    </row>
    <row r="1112" spans="14:14">
      <c r="N1112" s="3" t="str">
        <f t="shared" si="69"/>
        <v/>
      </c>
    </row>
    <row r="1113" spans="14:14">
      <c r="N1113" s="3" t="str">
        <f t="shared" si="69"/>
        <v/>
      </c>
    </row>
    <row r="1114" spans="14:14">
      <c r="N1114" s="3" t="str">
        <f t="shared" si="69"/>
        <v/>
      </c>
    </row>
    <row r="1115" spans="14:14">
      <c r="N1115" s="3" t="str">
        <f t="shared" si="69"/>
        <v/>
      </c>
    </row>
    <row r="1116" spans="14:14">
      <c r="N1116" s="3" t="str">
        <f t="shared" si="69"/>
        <v/>
      </c>
    </row>
    <row r="1117" spans="14:14">
      <c r="N1117" s="3" t="str">
        <f t="shared" si="69"/>
        <v/>
      </c>
    </row>
    <row r="1118" spans="14:14">
      <c r="N1118" s="3" t="str">
        <f t="shared" si="69"/>
        <v/>
      </c>
    </row>
    <row r="1119" spans="14:14">
      <c r="N1119" s="3" t="str">
        <f t="shared" si="69"/>
        <v/>
      </c>
    </row>
    <row r="1120" spans="14:14">
      <c r="N1120" s="3" t="str">
        <f t="shared" si="69"/>
        <v/>
      </c>
    </row>
    <row r="1121" spans="14:14">
      <c r="N1121" s="3" t="str">
        <f t="shared" si="69"/>
        <v/>
      </c>
    </row>
    <row r="1122" spans="14:14">
      <c r="N1122" s="3" t="str">
        <f t="shared" si="69"/>
        <v/>
      </c>
    </row>
    <row r="1123" spans="14:14">
      <c r="N1123" s="3" t="str">
        <f t="shared" si="69"/>
        <v/>
      </c>
    </row>
    <row r="1124" spans="14:14">
      <c r="N1124" s="3" t="str">
        <f t="shared" si="69"/>
        <v/>
      </c>
    </row>
    <row r="1125" spans="14:14">
      <c r="N1125" s="3" t="str">
        <f t="shared" si="69"/>
        <v/>
      </c>
    </row>
    <row r="1126" spans="14:14">
      <c r="N1126" s="3" t="str">
        <f t="shared" si="69"/>
        <v/>
      </c>
    </row>
    <row r="1127" spans="14:14">
      <c r="N1127" s="3" t="str">
        <f t="shared" si="69"/>
        <v/>
      </c>
    </row>
    <row r="1128" spans="14:14">
      <c r="N1128" s="3" t="str">
        <f t="shared" si="69"/>
        <v/>
      </c>
    </row>
    <row r="1129" spans="14:14">
      <c r="N1129" s="3" t="str">
        <f t="shared" si="69"/>
        <v/>
      </c>
    </row>
    <row r="1130" spans="14:14">
      <c r="N1130" s="3" t="str">
        <f t="shared" si="69"/>
        <v/>
      </c>
    </row>
    <row r="1131" spans="14:14">
      <c r="N1131" s="3" t="str">
        <f t="shared" ref="N1131:N1194" si="74">IF(L1131="New","1  Year",IF(L1131="Promotional","15 Weeks",IF(L1131="Revalidation","2 Years","")))</f>
        <v/>
      </c>
    </row>
    <row r="1132" spans="14:14">
      <c r="N1132" s="3" t="str">
        <f t="shared" si="74"/>
        <v/>
      </c>
    </row>
    <row r="1133" spans="14:14">
      <c r="N1133" s="3" t="str">
        <f t="shared" si="74"/>
        <v/>
      </c>
    </row>
    <row r="1134" spans="14:14">
      <c r="N1134" s="3" t="str">
        <f t="shared" si="74"/>
        <v/>
      </c>
    </row>
    <row r="1135" spans="14:14">
      <c r="N1135" s="3" t="str">
        <f t="shared" si="74"/>
        <v/>
      </c>
    </row>
    <row r="1136" spans="14:14">
      <c r="N1136" s="3" t="str">
        <f t="shared" si="74"/>
        <v/>
      </c>
    </row>
    <row r="1137" spans="14:14">
      <c r="N1137" s="3" t="str">
        <f t="shared" si="74"/>
        <v/>
      </c>
    </row>
    <row r="1138" spans="14:14">
      <c r="N1138" s="3" t="str">
        <f t="shared" si="74"/>
        <v/>
      </c>
    </row>
    <row r="1139" spans="14:14">
      <c r="N1139" s="3" t="str">
        <f t="shared" si="74"/>
        <v/>
      </c>
    </row>
    <row r="1140" spans="14:14">
      <c r="N1140" s="3" t="str">
        <f t="shared" si="74"/>
        <v/>
      </c>
    </row>
    <row r="1141" spans="14:14">
      <c r="N1141" s="3" t="str">
        <f t="shared" si="74"/>
        <v/>
      </c>
    </row>
    <row r="1142" spans="14:14">
      <c r="N1142" s="3" t="str">
        <f t="shared" si="74"/>
        <v/>
      </c>
    </row>
    <row r="1143" spans="14:14">
      <c r="N1143" s="3" t="str">
        <f t="shared" si="74"/>
        <v/>
      </c>
    </row>
    <row r="1144" spans="14:14">
      <c r="N1144" s="3" t="str">
        <f t="shared" si="74"/>
        <v/>
      </c>
    </row>
    <row r="1145" spans="14:14">
      <c r="N1145" s="3" t="str">
        <f t="shared" si="74"/>
        <v/>
      </c>
    </row>
    <row r="1146" spans="14:14">
      <c r="N1146" s="3" t="str">
        <f t="shared" si="74"/>
        <v/>
      </c>
    </row>
    <row r="1147" spans="14:14">
      <c r="N1147" s="3" t="str">
        <f t="shared" si="74"/>
        <v/>
      </c>
    </row>
    <row r="1148" spans="14:14">
      <c r="N1148" s="3" t="str">
        <f t="shared" si="74"/>
        <v/>
      </c>
    </row>
    <row r="1149" spans="14:14">
      <c r="N1149" s="3" t="str">
        <f t="shared" si="74"/>
        <v/>
      </c>
    </row>
    <row r="1150" spans="14:14">
      <c r="N1150" s="3" t="str">
        <f t="shared" si="74"/>
        <v/>
      </c>
    </row>
    <row r="1151" spans="14:14">
      <c r="N1151" s="3" t="str">
        <f t="shared" si="74"/>
        <v/>
      </c>
    </row>
    <row r="1152" spans="14:14">
      <c r="N1152" s="3" t="str">
        <f t="shared" si="74"/>
        <v/>
      </c>
    </row>
    <row r="1153" spans="14:14">
      <c r="N1153" s="3" t="str">
        <f t="shared" si="74"/>
        <v/>
      </c>
    </row>
    <row r="1154" spans="14:14">
      <c r="N1154" s="3" t="str">
        <f t="shared" si="74"/>
        <v/>
      </c>
    </row>
    <row r="1155" spans="14:14">
      <c r="N1155" s="3" t="str">
        <f t="shared" si="74"/>
        <v/>
      </c>
    </row>
    <row r="1156" spans="14:14">
      <c r="N1156" s="3" t="str">
        <f t="shared" si="74"/>
        <v/>
      </c>
    </row>
    <row r="1157" spans="14:14">
      <c r="N1157" s="3" t="str">
        <f t="shared" si="74"/>
        <v/>
      </c>
    </row>
    <row r="1158" spans="14:14">
      <c r="N1158" s="3" t="str">
        <f t="shared" si="74"/>
        <v/>
      </c>
    </row>
    <row r="1159" spans="14:14">
      <c r="N1159" s="3" t="str">
        <f t="shared" si="74"/>
        <v/>
      </c>
    </row>
    <row r="1160" spans="14:14">
      <c r="N1160" s="3" t="str">
        <f t="shared" si="74"/>
        <v/>
      </c>
    </row>
    <row r="1161" spans="14:14">
      <c r="N1161" s="3" t="str">
        <f t="shared" si="74"/>
        <v/>
      </c>
    </row>
    <row r="1162" spans="14:14">
      <c r="N1162" s="3" t="str">
        <f t="shared" si="74"/>
        <v/>
      </c>
    </row>
    <row r="1163" spans="14:14">
      <c r="N1163" s="3" t="str">
        <f t="shared" si="74"/>
        <v/>
      </c>
    </row>
    <row r="1164" spans="14:14">
      <c r="N1164" s="3" t="str">
        <f t="shared" si="74"/>
        <v/>
      </c>
    </row>
    <row r="1165" spans="14:14">
      <c r="N1165" s="3" t="str">
        <f t="shared" si="74"/>
        <v/>
      </c>
    </row>
    <row r="1166" spans="14:14">
      <c r="N1166" s="3" t="str">
        <f t="shared" si="74"/>
        <v/>
      </c>
    </row>
    <row r="1167" spans="14:14">
      <c r="N1167" s="3" t="str">
        <f t="shared" si="74"/>
        <v/>
      </c>
    </row>
    <row r="1168" spans="14:14">
      <c r="N1168" s="3" t="str">
        <f t="shared" si="74"/>
        <v/>
      </c>
    </row>
    <row r="1169" spans="14:14">
      <c r="N1169" s="3" t="str">
        <f t="shared" si="74"/>
        <v/>
      </c>
    </row>
    <row r="1170" spans="14:14">
      <c r="N1170" s="3" t="str">
        <f t="shared" si="74"/>
        <v/>
      </c>
    </row>
    <row r="1171" spans="14:14">
      <c r="N1171" s="3" t="str">
        <f t="shared" si="74"/>
        <v/>
      </c>
    </row>
    <row r="1172" spans="14:14">
      <c r="N1172" s="3" t="str">
        <f t="shared" si="74"/>
        <v/>
      </c>
    </row>
    <row r="1173" spans="14:14">
      <c r="N1173" s="3" t="str">
        <f t="shared" si="74"/>
        <v/>
      </c>
    </row>
    <row r="1174" spans="14:14">
      <c r="N1174" s="3" t="str">
        <f t="shared" si="74"/>
        <v/>
      </c>
    </row>
    <row r="1175" spans="14:14">
      <c r="N1175" s="3" t="str">
        <f t="shared" si="74"/>
        <v/>
      </c>
    </row>
    <row r="1176" spans="14:14">
      <c r="N1176" s="3" t="str">
        <f t="shared" si="74"/>
        <v/>
      </c>
    </row>
    <row r="1177" spans="14:14">
      <c r="N1177" s="3" t="str">
        <f t="shared" si="74"/>
        <v/>
      </c>
    </row>
    <row r="1178" spans="14:14">
      <c r="N1178" s="3" t="str">
        <f t="shared" si="74"/>
        <v/>
      </c>
    </row>
    <row r="1179" spans="14:14">
      <c r="N1179" s="3" t="str">
        <f t="shared" si="74"/>
        <v/>
      </c>
    </row>
    <row r="1180" spans="14:14">
      <c r="N1180" s="3" t="str">
        <f t="shared" si="74"/>
        <v/>
      </c>
    </row>
    <row r="1181" spans="14:14">
      <c r="N1181" s="3" t="str">
        <f t="shared" si="74"/>
        <v/>
      </c>
    </row>
    <row r="1182" spans="14:14">
      <c r="N1182" s="3" t="str">
        <f t="shared" si="74"/>
        <v/>
      </c>
    </row>
    <row r="1183" spans="14:14">
      <c r="N1183" s="3" t="str">
        <f t="shared" si="74"/>
        <v/>
      </c>
    </row>
    <row r="1184" spans="14:14">
      <c r="N1184" s="3" t="str">
        <f t="shared" si="74"/>
        <v/>
      </c>
    </row>
    <row r="1185" spans="14:14">
      <c r="N1185" s="3" t="str">
        <f t="shared" si="74"/>
        <v/>
      </c>
    </row>
    <row r="1186" spans="14:14">
      <c r="N1186" s="3" t="str">
        <f t="shared" si="74"/>
        <v/>
      </c>
    </row>
    <row r="1187" spans="14:14">
      <c r="N1187" s="3" t="str">
        <f t="shared" si="74"/>
        <v/>
      </c>
    </row>
    <row r="1188" spans="14:14">
      <c r="N1188" s="3" t="str">
        <f t="shared" si="74"/>
        <v/>
      </c>
    </row>
    <row r="1189" spans="14:14">
      <c r="N1189" s="3" t="str">
        <f t="shared" si="74"/>
        <v/>
      </c>
    </row>
    <row r="1190" spans="14:14">
      <c r="N1190" s="3" t="str">
        <f t="shared" si="74"/>
        <v/>
      </c>
    </row>
    <row r="1191" spans="14:14">
      <c r="N1191" s="3" t="str">
        <f t="shared" si="74"/>
        <v/>
      </c>
    </row>
    <row r="1192" spans="14:14">
      <c r="N1192" s="3" t="str">
        <f t="shared" si="74"/>
        <v/>
      </c>
    </row>
    <row r="1193" spans="14:14">
      <c r="N1193" s="3" t="str">
        <f t="shared" si="74"/>
        <v/>
      </c>
    </row>
    <row r="1194" spans="14:14">
      <c r="N1194" s="3" t="str">
        <f t="shared" si="74"/>
        <v/>
      </c>
    </row>
    <row r="1195" spans="14:14">
      <c r="N1195" s="3" t="str">
        <f t="shared" ref="N1195:N1258" si="75">IF(L1195="New","1  Year",IF(L1195="Promotional","15 Weeks",IF(L1195="Revalidation","2 Years","")))</f>
        <v/>
      </c>
    </row>
    <row r="1196" spans="14:14">
      <c r="N1196" s="3" t="str">
        <f t="shared" si="75"/>
        <v/>
      </c>
    </row>
    <row r="1197" spans="14:14">
      <c r="N1197" s="3" t="str">
        <f t="shared" si="75"/>
        <v/>
      </c>
    </row>
    <row r="1198" spans="14:14">
      <c r="N1198" s="3" t="str">
        <f t="shared" si="75"/>
        <v/>
      </c>
    </row>
    <row r="1199" spans="14:14">
      <c r="N1199" s="3" t="str">
        <f t="shared" si="75"/>
        <v/>
      </c>
    </row>
    <row r="1200" spans="14:14">
      <c r="N1200" s="3" t="str">
        <f t="shared" si="75"/>
        <v/>
      </c>
    </row>
    <row r="1201" spans="14:14">
      <c r="N1201" s="3" t="str">
        <f t="shared" si="75"/>
        <v/>
      </c>
    </row>
    <row r="1202" spans="14:14">
      <c r="N1202" s="3" t="str">
        <f t="shared" si="75"/>
        <v/>
      </c>
    </row>
    <row r="1203" spans="14:14">
      <c r="N1203" s="3" t="str">
        <f t="shared" si="75"/>
        <v/>
      </c>
    </row>
    <row r="1204" spans="14:14">
      <c r="N1204" s="3" t="str">
        <f t="shared" si="75"/>
        <v/>
      </c>
    </row>
    <row r="1205" spans="14:14">
      <c r="N1205" s="3" t="str">
        <f t="shared" si="75"/>
        <v/>
      </c>
    </row>
    <row r="1206" spans="14:14">
      <c r="N1206" s="3" t="str">
        <f t="shared" si="75"/>
        <v/>
      </c>
    </row>
    <row r="1207" spans="14:14">
      <c r="N1207" s="3" t="str">
        <f t="shared" si="75"/>
        <v/>
      </c>
    </row>
    <row r="1208" spans="14:14">
      <c r="N1208" s="3" t="str">
        <f t="shared" si="75"/>
        <v/>
      </c>
    </row>
    <row r="1209" spans="14:14">
      <c r="N1209" s="3" t="str">
        <f t="shared" si="75"/>
        <v/>
      </c>
    </row>
    <row r="1210" spans="14:14">
      <c r="N1210" s="3" t="str">
        <f t="shared" si="75"/>
        <v/>
      </c>
    </row>
    <row r="1211" spans="14:14">
      <c r="N1211" s="3" t="str">
        <f t="shared" si="75"/>
        <v/>
      </c>
    </row>
    <row r="1212" spans="14:14">
      <c r="N1212" s="3" t="str">
        <f t="shared" si="75"/>
        <v/>
      </c>
    </row>
    <row r="1213" spans="14:14">
      <c r="N1213" s="3" t="str">
        <f t="shared" si="75"/>
        <v/>
      </c>
    </row>
    <row r="1214" spans="14:14">
      <c r="N1214" s="3" t="str">
        <f t="shared" si="75"/>
        <v/>
      </c>
    </row>
    <row r="1215" spans="14:14">
      <c r="N1215" s="3" t="str">
        <f t="shared" si="75"/>
        <v/>
      </c>
    </row>
    <row r="1216" spans="14:14">
      <c r="N1216" s="3" t="str">
        <f t="shared" si="75"/>
        <v/>
      </c>
    </row>
    <row r="1217" spans="14:14">
      <c r="N1217" s="3" t="str">
        <f t="shared" si="75"/>
        <v/>
      </c>
    </row>
    <row r="1218" spans="14:14">
      <c r="N1218" s="3" t="str">
        <f t="shared" si="75"/>
        <v/>
      </c>
    </row>
    <row r="1219" spans="14:14">
      <c r="N1219" s="3" t="str">
        <f t="shared" si="75"/>
        <v/>
      </c>
    </row>
    <row r="1220" spans="14:14">
      <c r="N1220" s="3" t="str">
        <f t="shared" si="75"/>
        <v/>
      </c>
    </row>
    <row r="1221" spans="14:14">
      <c r="N1221" s="3" t="str">
        <f t="shared" si="75"/>
        <v/>
      </c>
    </row>
    <row r="1222" spans="14:14">
      <c r="N1222" s="3" t="str">
        <f t="shared" si="75"/>
        <v/>
      </c>
    </row>
    <row r="1223" spans="14:14">
      <c r="N1223" s="3" t="str">
        <f t="shared" si="75"/>
        <v/>
      </c>
    </row>
    <row r="1224" spans="14:14">
      <c r="N1224" s="3" t="str">
        <f t="shared" si="75"/>
        <v/>
      </c>
    </row>
    <row r="1225" spans="14:14">
      <c r="N1225" s="3" t="str">
        <f t="shared" si="75"/>
        <v/>
      </c>
    </row>
    <row r="1226" spans="14:14">
      <c r="N1226" s="3" t="str">
        <f t="shared" si="75"/>
        <v/>
      </c>
    </row>
    <row r="1227" spans="14:14">
      <c r="N1227" s="3" t="str">
        <f t="shared" si="75"/>
        <v/>
      </c>
    </row>
    <row r="1228" spans="14:14">
      <c r="N1228" s="3" t="str">
        <f t="shared" si="75"/>
        <v/>
      </c>
    </row>
    <row r="1229" spans="14:14">
      <c r="N1229" s="3" t="str">
        <f t="shared" si="75"/>
        <v/>
      </c>
    </row>
    <row r="1230" spans="14:14">
      <c r="N1230" s="3" t="str">
        <f t="shared" si="75"/>
        <v/>
      </c>
    </row>
    <row r="1231" spans="14:14">
      <c r="N1231" s="3" t="str">
        <f t="shared" si="75"/>
        <v/>
      </c>
    </row>
    <row r="1232" spans="14:14">
      <c r="N1232" s="3" t="str">
        <f t="shared" si="75"/>
        <v/>
      </c>
    </row>
    <row r="1233" spans="14:14">
      <c r="N1233" s="3" t="str">
        <f t="shared" si="75"/>
        <v/>
      </c>
    </row>
    <row r="1234" spans="14:14">
      <c r="N1234" s="3" t="str">
        <f t="shared" si="75"/>
        <v/>
      </c>
    </row>
    <row r="1235" spans="14:14">
      <c r="N1235" s="3" t="str">
        <f t="shared" si="75"/>
        <v/>
      </c>
    </row>
    <row r="1236" spans="14:14">
      <c r="N1236" s="3" t="str">
        <f t="shared" si="75"/>
        <v/>
      </c>
    </row>
    <row r="1237" spans="14:14">
      <c r="N1237" s="3" t="str">
        <f t="shared" si="75"/>
        <v/>
      </c>
    </row>
    <row r="1238" spans="14:14">
      <c r="N1238" s="3" t="str">
        <f t="shared" si="75"/>
        <v/>
      </c>
    </row>
    <row r="1239" spans="14:14">
      <c r="N1239" s="3" t="str">
        <f t="shared" si="75"/>
        <v/>
      </c>
    </row>
    <row r="1240" spans="14:14">
      <c r="N1240" s="3" t="str">
        <f t="shared" si="75"/>
        <v/>
      </c>
    </row>
    <row r="1241" spans="14:14">
      <c r="N1241" s="3" t="str">
        <f t="shared" si="75"/>
        <v/>
      </c>
    </row>
    <row r="1242" spans="14:14">
      <c r="N1242" s="3" t="str">
        <f t="shared" si="75"/>
        <v/>
      </c>
    </row>
    <row r="1243" spans="14:14">
      <c r="N1243" s="3" t="str">
        <f t="shared" si="75"/>
        <v/>
      </c>
    </row>
    <row r="1244" spans="14:14">
      <c r="N1244" s="3" t="str">
        <f t="shared" si="75"/>
        <v/>
      </c>
    </row>
    <row r="1245" spans="14:14">
      <c r="N1245" s="3" t="str">
        <f t="shared" si="75"/>
        <v/>
      </c>
    </row>
    <row r="1246" spans="14:14">
      <c r="N1246" s="3" t="str">
        <f t="shared" si="75"/>
        <v/>
      </c>
    </row>
    <row r="1247" spans="14:14">
      <c r="N1247" s="3" t="str">
        <f t="shared" si="75"/>
        <v/>
      </c>
    </row>
    <row r="1248" spans="14:14">
      <c r="N1248" s="3" t="str">
        <f t="shared" si="75"/>
        <v/>
      </c>
    </row>
    <row r="1249" spans="14:14">
      <c r="N1249" s="3" t="str">
        <f t="shared" si="75"/>
        <v/>
      </c>
    </row>
    <row r="1250" spans="14:14">
      <c r="N1250" s="3" t="str">
        <f t="shared" si="75"/>
        <v/>
      </c>
    </row>
    <row r="1251" spans="14:14">
      <c r="N1251" s="3" t="str">
        <f t="shared" si="75"/>
        <v/>
      </c>
    </row>
    <row r="1252" spans="14:14">
      <c r="N1252" s="3" t="str">
        <f t="shared" si="75"/>
        <v/>
      </c>
    </row>
    <row r="1253" spans="14:14">
      <c r="N1253" s="3" t="str">
        <f t="shared" si="75"/>
        <v/>
      </c>
    </row>
    <row r="1254" spans="14:14">
      <c r="N1254" s="3" t="str">
        <f t="shared" si="75"/>
        <v/>
      </c>
    </row>
    <row r="1255" spans="14:14">
      <c r="N1255" s="3" t="str">
        <f t="shared" si="75"/>
        <v/>
      </c>
    </row>
    <row r="1256" spans="14:14">
      <c r="N1256" s="3" t="str">
        <f t="shared" si="75"/>
        <v/>
      </c>
    </row>
    <row r="1257" spans="14:14">
      <c r="N1257" s="3" t="str">
        <f t="shared" si="75"/>
        <v/>
      </c>
    </row>
    <row r="1258" spans="14:14">
      <c r="N1258" s="3" t="str">
        <f t="shared" si="75"/>
        <v/>
      </c>
    </row>
    <row r="1259" spans="14:14">
      <c r="N1259" s="3" t="str">
        <f t="shared" ref="N1259:N1322" si="76">IF(L1259="New","1  Year",IF(L1259="Promotional","15 Weeks",IF(L1259="Revalidation","2 Years","")))</f>
        <v/>
      </c>
    </row>
    <row r="1260" spans="14:14">
      <c r="N1260" s="3" t="str">
        <f t="shared" si="76"/>
        <v/>
      </c>
    </row>
    <row r="1261" spans="14:14">
      <c r="N1261" s="3" t="str">
        <f t="shared" si="76"/>
        <v/>
      </c>
    </row>
    <row r="1262" spans="14:14">
      <c r="N1262" s="3" t="str">
        <f t="shared" si="76"/>
        <v/>
      </c>
    </row>
    <row r="1263" spans="14:14">
      <c r="N1263" s="3" t="str">
        <f t="shared" si="76"/>
        <v/>
      </c>
    </row>
    <row r="1264" spans="14:14">
      <c r="N1264" s="3" t="str">
        <f t="shared" si="76"/>
        <v/>
      </c>
    </row>
    <row r="1265" spans="14:14">
      <c r="N1265" s="3" t="str">
        <f t="shared" si="76"/>
        <v/>
      </c>
    </row>
    <row r="1266" spans="14:14">
      <c r="N1266" s="3" t="str">
        <f t="shared" si="76"/>
        <v/>
      </c>
    </row>
    <row r="1267" spans="14:14">
      <c r="N1267" s="3" t="str">
        <f t="shared" si="76"/>
        <v/>
      </c>
    </row>
    <row r="1268" spans="14:14">
      <c r="N1268" s="3" t="str">
        <f t="shared" si="76"/>
        <v/>
      </c>
    </row>
    <row r="1269" spans="14:14">
      <c r="N1269" s="3" t="str">
        <f t="shared" si="76"/>
        <v/>
      </c>
    </row>
    <row r="1270" spans="14:14">
      <c r="N1270" s="3" t="str">
        <f t="shared" si="76"/>
        <v/>
      </c>
    </row>
    <row r="1271" spans="14:14">
      <c r="N1271" s="3" t="str">
        <f t="shared" si="76"/>
        <v/>
      </c>
    </row>
    <row r="1272" spans="14:14">
      <c r="N1272" s="3" t="str">
        <f t="shared" si="76"/>
        <v/>
      </c>
    </row>
    <row r="1273" spans="14:14">
      <c r="N1273" s="3" t="str">
        <f t="shared" si="76"/>
        <v/>
      </c>
    </row>
    <row r="1274" spans="14:14">
      <c r="N1274" s="3" t="str">
        <f t="shared" si="76"/>
        <v/>
      </c>
    </row>
    <row r="1275" spans="14:14">
      <c r="N1275" s="3" t="str">
        <f t="shared" si="76"/>
        <v/>
      </c>
    </row>
    <row r="1276" spans="14:14">
      <c r="N1276" s="3" t="str">
        <f t="shared" si="76"/>
        <v/>
      </c>
    </row>
    <row r="1277" spans="14:14">
      <c r="N1277" s="3" t="str">
        <f t="shared" si="76"/>
        <v/>
      </c>
    </row>
    <row r="1278" spans="14:14">
      <c r="N1278" s="3" t="str">
        <f t="shared" si="76"/>
        <v/>
      </c>
    </row>
    <row r="1279" spans="14:14">
      <c r="N1279" s="3" t="str">
        <f t="shared" si="76"/>
        <v/>
      </c>
    </row>
    <row r="1280" spans="14:14">
      <c r="N1280" s="3" t="str">
        <f t="shared" si="76"/>
        <v/>
      </c>
    </row>
    <row r="1281" spans="14:14">
      <c r="N1281" s="3" t="str">
        <f t="shared" si="76"/>
        <v/>
      </c>
    </row>
    <row r="1282" spans="14:14">
      <c r="N1282" s="3" t="str">
        <f t="shared" si="76"/>
        <v/>
      </c>
    </row>
    <row r="1283" spans="14:14">
      <c r="N1283" s="3" t="str">
        <f t="shared" si="76"/>
        <v/>
      </c>
    </row>
    <row r="1284" spans="14:14">
      <c r="N1284" s="3" t="str">
        <f t="shared" si="76"/>
        <v/>
      </c>
    </row>
    <row r="1285" spans="14:14">
      <c r="N1285" s="3" t="str">
        <f t="shared" si="76"/>
        <v/>
      </c>
    </row>
    <row r="1286" spans="14:14">
      <c r="N1286" s="3" t="str">
        <f t="shared" si="76"/>
        <v/>
      </c>
    </row>
    <row r="1287" spans="14:14">
      <c r="N1287" s="3" t="str">
        <f t="shared" si="76"/>
        <v/>
      </c>
    </row>
    <row r="1288" spans="14:14">
      <c r="N1288" s="3" t="str">
        <f t="shared" si="76"/>
        <v/>
      </c>
    </row>
    <row r="1289" spans="14:14">
      <c r="N1289" s="3" t="str">
        <f t="shared" si="76"/>
        <v/>
      </c>
    </row>
    <row r="1290" spans="14:14">
      <c r="N1290" s="3" t="str">
        <f t="shared" si="76"/>
        <v/>
      </c>
    </row>
    <row r="1291" spans="14:14">
      <c r="N1291" s="3" t="str">
        <f t="shared" si="76"/>
        <v/>
      </c>
    </row>
    <row r="1292" spans="14:14">
      <c r="N1292" s="3" t="str">
        <f t="shared" si="76"/>
        <v/>
      </c>
    </row>
    <row r="1293" spans="14:14">
      <c r="N1293" s="3" t="str">
        <f t="shared" si="76"/>
        <v/>
      </c>
    </row>
    <row r="1294" spans="14:14">
      <c r="N1294" s="3" t="str">
        <f t="shared" si="76"/>
        <v/>
      </c>
    </row>
    <row r="1295" spans="14:14">
      <c r="N1295" s="3" t="str">
        <f t="shared" si="76"/>
        <v/>
      </c>
    </row>
    <row r="1296" spans="14:14">
      <c r="N1296" s="3" t="str">
        <f t="shared" si="76"/>
        <v/>
      </c>
    </row>
    <row r="1297" spans="14:14">
      <c r="N1297" s="3" t="str">
        <f t="shared" si="76"/>
        <v/>
      </c>
    </row>
    <row r="1298" spans="14:14">
      <c r="N1298" s="3" t="str">
        <f t="shared" si="76"/>
        <v/>
      </c>
    </row>
    <row r="1299" spans="14:14">
      <c r="N1299" s="3" t="str">
        <f t="shared" si="76"/>
        <v/>
      </c>
    </row>
    <row r="1300" spans="14:14">
      <c r="N1300" s="3" t="str">
        <f t="shared" si="76"/>
        <v/>
      </c>
    </row>
    <row r="1301" spans="14:14">
      <c r="N1301" s="3" t="str">
        <f t="shared" si="76"/>
        <v/>
      </c>
    </row>
    <row r="1302" spans="14:14">
      <c r="N1302" s="3" t="str">
        <f t="shared" si="76"/>
        <v/>
      </c>
    </row>
    <row r="1303" spans="14:14">
      <c r="N1303" s="3" t="str">
        <f t="shared" si="76"/>
        <v/>
      </c>
    </row>
    <row r="1304" spans="14:14">
      <c r="N1304" s="3" t="str">
        <f t="shared" si="76"/>
        <v/>
      </c>
    </row>
    <row r="1305" spans="14:14">
      <c r="N1305" s="3" t="str">
        <f t="shared" si="76"/>
        <v/>
      </c>
    </row>
    <row r="1306" spans="14:14">
      <c r="N1306" s="3" t="str">
        <f t="shared" si="76"/>
        <v/>
      </c>
    </row>
    <row r="1307" spans="14:14">
      <c r="N1307" s="3" t="str">
        <f t="shared" si="76"/>
        <v/>
      </c>
    </row>
    <row r="1308" spans="14:14">
      <c r="N1308" s="3" t="str">
        <f t="shared" si="76"/>
        <v/>
      </c>
    </row>
    <row r="1309" spans="14:14">
      <c r="N1309" s="3" t="str">
        <f t="shared" si="76"/>
        <v/>
      </c>
    </row>
    <row r="1310" spans="14:14">
      <c r="N1310" s="3" t="str">
        <f t="shared" si="76"/>
        <v/>
      </c>
    </row>
    <row r="1311" spans="14:14">
      <c r="N1311" s="3" t="str">
        <f t="shared" si="76"/>
        <v/>
      </c>
    </row>
    <row r="1312" spans="14:14">
      <c r="N1312" s="3" t="str">
        <f t="shared" si="76"/>
        <v/>
      </c>
    </row>
    <row r="1313" spans="14:14">
      <c r="N1313" s="3" t="str">
        <f t="shared" si="76"/>
        <v/>
      </c>
    </row>
    <row r="1314" spans="14:14">
      <c r="N1314" s="3" t="str">
        <f t="shared" si="76"/>
        <v/>
      </c>
    </row>
    <row r="1315" spans="14:14">
      <c r="N1315" s="3" t="str">
        <f t="shared" si="76"/>
        <v/>
      </c>
    </row>
    <row r="1316" spans="14:14">
      <c r="N1316" s="3" t="str">
        <f t="shared" si="76"/>
        <v/>
      </c>
    </row>
    <row r="1317" spans="14:14">
      <c r="N1317" s="3" t="str">
        <f t="shared" si="76"/>
        <v/>
      </c>
    </row>
    <row r="1318" spans="14:14">
      <c r="N1318" s="3" t="str">
        <f t="shared" si="76"/>
        <v/>
      </c>
    </row>
    <row r="1319" spans="14:14">
      <c r="N1319" s="3" t="str">
        <f t="shared" si="76"/>
        <v/>
      </c>
    </row>
    <row r="1320" spans="14:14">
      <c r="N1320" s="3" t="str">
        <f t="shared" si="76"/>
        <v/>
      </c>
    </row>
    <row r="1321" spans="14:14">
      <c r="N1321" s="3" t="str">
        <f t="shared" si="76"/>
        <v/>
      </c>
    </row>
    <row r="1322" spans="14:14">
      <c r="N1322" s="3" t="str">
        <f t="shared" si="76"/>
        <v/>
      </c>
    </row>
    <row r="1323" spans="14:14">
      <c r="N1323" s="3" t="str">
        <f t="shared" ref="N1323:N1386" si="77">IF(L1323="New","1  Year",IF(L1323="Promotional","15 Weeks",IF(L1323="Revalidation","2 Years","")))</f>
        <v/>
      </c>
    </row>
    <row r="1324" spans="14:14">
      <c r="N1324" s="3" t="str">
        <f t="shared" si="77"/>
        <v/>
      </c>
    </row>
    <row r="1325" spans="14:14">
      <c r="N1325" s="3" t="str">
        <f t="shared" si="77"/>
        <v/>
      </c>
    </row>
    <row r="1326" spans="14:14">
      <c r="N1326" s="3" t="str">
        <f t="shared" si="77"/>
        <v/>
      </c>
    </row>
    <row r="1327" spans="14:14">
      <c r="N1327" s="3" t="str">
        <f t="shared" si="77"/>
        <v/>
      </c>
    </row>
    <row r="1328" spans="14:14">
      <c r="N1328" s="3" t="str">
        <f t="shared" si="77"/>
        <v/>
      </c>
    </row>
    <row r="1329" spans="14:14">
      <c r="N1329" s="3" t="str">
        <f t="shared" si="77"/>
        <v/>
      </c>
    </row>
    <row r="1330" spans="14:14">
      <c r="N1330" s="3" t="str">
        <f t="shared" si="77"/>
        <v/>
      </c>
    </row>
    <row r="1331" spans="14:14">
      <c r="N1331" s="3" t="str">
        <f t="shared" si="77"/>
        <v/>
      </c>
    </row>
    <row r="1332" spans="14:14">
      <c r="N1332" s="3" t="str">
        <f t="shared" si="77"/>
        <v/>
      </c>
    </row>
    <row r="1333" spans="14:14">
      <c r="N1333" s="3" t="str">
        <f t="shared" si="77"/>
        <v/>
      </c>
    </row>
    <row r="1334" spans="14:14">
      <c r="N1334" s="3" t="str">
        <f t="shared" si="77"/>
        <v/>
      </c>
    </row>
    <row r="1335" spans="14:14">
      <c r="N1335" s="3" t="str">
        <f t="shared" si="77"/>
        <v/>
      </c>
    </row>
    <row r="1336" spans="14:14">
      <c r="N1336" s="3" t="str">
        <f t="shared" si="77"/>
        <v/>
      </c>
    </row>
    <row r="1337" spans="14:14">
      <c r="N1337" s="3" t="str">
        <f t="shared" si="77"/>
        <v/>
      </c>
    </row>
    <row r="1338" spans="14:14">
      <c r="N1338" s="3" t="str">
        <f t="shared" si="77"/>
        <v/>
      </c>
    </row>
    <row r="1339" spans="14:14">
      <c r="N1339" s="3" t="str">
        <f t="shared" si="77"/>
        <v/>
      </c>
    </row>
    <row r="1340" spans="14:14">
      <c r="N1340" s="3" t="str">
        <f t="shared" si="77"/>
        <v/>
      </c>
    </row>
    <row r="1341" spans="14:14">
      <c r="N1341" s="3" t="str">
        <f t="shared" si="77"/>
        <v/>
      </c>
    </row>
    <row r="1342" spans="14:14">
      <c r="N1342" s="3" t="str">
        <f t="shared" si="77"/>
        <v/>
      </c>
    </row>
    <row r="1343" spans="14:14">
      <c r="N1343" s="3" t="str">
        <f t="shared" si="77"/>
        <v/>
      </c>
    </row>
    <row r="1344" spans="14:14">
      <c r="N1344" s="3" t="str">
        <f t="shared" si="77"/>
        <v/>
      </c>
    </row>
    <row r="1345" spans="14:14">
      <c r="N1345" s="3" t="str">
        <f t="shared" si="77"/>
        <v/>
      </c>
    </row>
    <row r="1346" spans="14:14">
      <c r="N1346" s="3" t="str">
        <f t="shared" si="77"/>
        <v/>
      </c>
    </row>
    <row r="1347" spans="14:14">
      <c r="N1347" s="3" t="str">
        <f t="shared" si="77"/>
        <v/>
      </c>
    </row>
    <row r="1348" spans="14:14">
      <c r="N1348" s="3" t="str">
        <f t="shared" si="77"/>
        <v/>
      </c>
    </row>
    <row r="1349" spans="14:14">
      <c r="N1349" s="3" t="str">
        <f t="shared" si="77"/>
        <v/>
      </c>
    </row>
    <row r="1350" spans="14:14">
      <c r="N1350" s="3" t="str">
        <f t="shared" si="77"/>
        <v/>
      </c>
    </row>
    <row r="1351" spans="14:14">
      <c r="N1351" s="3" t="str">
        <f t="shared" si="77"/>
        <v/>
      </c>
    </row>
    <row r="1352" spans="14:14">
      <c r="N1352" s="3" t="str">
        <f t="shared" si="77"/>
        <v/>
      </c>
    </row>
    <row r="1353" spans="14:14">
      <c r="N1353" s="3" t="str">
        <f t="shared" si="77"/>
        <v/>
      </c>
    </row>
    <row r="1354" spans="14:14">
      <c r="N1354" s="3" t="str">
        <f t="shared" si="77"/>
        <v/>
      </c>
    </row>
    <row r="1355" spans="14:14">
      <c r="N1355" s="3" t="str">
        <f t="shared" si="77"/>
        <v/>
      </c>
    </row>
    <row r="1356" spans="14:14">
      <c r="N1356" s="3" t="str">
        <f t="shared" si="77"/>
        <v/>
      </c>
    </row>
    <row r="1357" spans="14:14">
      <c r="N1357" s="3" t="str">
        <f t="shared" si="77"/>
        <v/>
      </c>
    </row>
    <row r="1358" spans="14:14">
      <c r="N1358" s="3" t="str">
        <f t="shared" si="77"/>
        <v/>
      </c>
    </row>
    <row r="1359" spans="14:14">
      <c r="N1359" s="3" t="str">
        <f t="shared" si="77"/>
        <v/>
      </c>
    </row>
    <row r="1360" spans="14:14">
      <c r="N1360" s="3" t="str">
        <f t="shared" si="77"/>
        <v/>
      </c>
    </row>
    <row r="1361" spans="14:14">
      <c r="N1361" s="3" t="str">
        <f t="shared" si="77"/>
        <v/>
      </c>
    </row>
    <row r="1362" spans="14:14">
      <c r="N1362" s="3" t="str">
        <f t="shared" si="77"/>
        <v/>
      </c>
    </row>
    <row r="1363" spans="14:14">
      <c r="N1363" s="3" t="str">
        <f t="shared" si="77"/>
        <v/>
      </c>
    </row>
    <row r="1364" spans="14:14">
      <c r="N1364" s="3" t="str">
        <f t="shared" si="77"/>
        <v/>
      </c>
    </row>
    <row r="1365" spans="14:14">
      <c r="N1365" s="3" t="str">
        <f t="shared" si="77"/>
        <v/>
      </c>
    </row>
    <row r="1366" spans="14:14">
      <c r="N1366" s="3" t="str">
        <f t="shared" si="77"/>
        <v/>
      </c>
    </row>
    <row r="1367" spans="14:14">
      <c r="N1367" s="3" t="str">
        <f t="shared" si="77"/>
        <v/>
      </c>
    </row>
    <row r="1368" spans="14:14">
      <c r="N1368" s="3" t="str">
        <f t="shared" si="77"/>
        <v/>
      </c>
    </row>
    <row r="1369" spans="14:14">
      <c r="N1369" s="3" t="str">
        <f t="shared" si="77"/>
        <v/>
      </c>
    </row>
    <row r="1370" spans="14:14">
      <c r="N1370" s="3" t="str">
        <f t="shared" si="77"/>
        <v/>
      </c>
    </row>
    <row r="1371" spans="14:14">
      <c r="N1371" s="3" t="str">
        <f t="shared" si="77"/>
        <v/>
      </c>
    </row>
    <row r="1372" spans="14:14">
      <c r="N1372" s="3" t="str">
        <f t="shared" si="77"/>
        <v/>
      </c>
    </row>
    <row r="1373" spans="14:14">
      <c r="N1373" s="3" t="str">
        <f t="shared" si="77"/>
        <v/>
      </c>
    </row>
    <row r="1374" spans="14:14">
      <c r="N1374" s="3" t="str">
        <f t="shared" si="77"/>
        <v/>
      </c>
    </row>
    <row r="1375" spans="14:14">
      <c r="N1375" s="3" t="str">
        <f t="shared" si="77"/>
        <v/>
      </c>
    </row>
    <row r="1376" spans="14:14">
      <c r="N1376" s="3" t="str">
        <f t="shared" si="77"/>
        <v/>
      </c>
    </row>
    <row r="1377" spans="14:14">
      <c r="N1377" s="3" t="str">
        <f t="shared" si="77"/>
        <v/>
      </c>
    </row>
    <row r="1378" spans="14:14">
      <c r="N1378" s="3" t="str">
        <f t="shared" si="77"/>
        <v/>
      </c>
    </row>
    <row r="1379" spans="14:14">
      <c r="N1379" s="3" t="str">
        <f t="shared" si="77"/>
        <v/>
      </c>
    </row>
    <row r="1380" spans="14:14">
      <c r="N1380" s="3" t="str">
        <f t="shared" si="77"/>
        <v/>
      </c>
    </row>
    <row r="1381" spans="14:14">
      <c r="N1381" s="3" t="str">
        <f t="shared" si="77"/>
        <v/>
      </c>
    </row>
    <row r="1382" spans="14:14">
      <c r="N1382" s="3" t="str">
        <f t="shared" si="77"/>
        <v/>
      </c>
    </row>
    <row r="1383" spans="14:14">
      <c r="N1383" s="3" t="str">
        <f t="shared" si="77"/>
        <v/>
      </c>
    </row>
    <row r="1384" spans="14:14">
      <c r="N1384" s="3" t="str">
        <f t="shared" si="77"/>
        <v/>
      </c>
    </row>
    <row r="1385" spans="14:14">
      <c r="N1385" s="3" t="str">
        <f t="shared" si="77"/>
        <v/>
      </c>
    </row>
    <row r="1386" spans="14:14">
      <c r="N1386" s="3" t="str">
        <f t="shared" si="77"/>
        <v/>
      </c>
    </row>
    <row r="1387" spans="14:14">
      <c r="N1387" s="3" t="str">
        <f t="shared" ref="N1387:N1395" si="78">IF(L1387="New","1  Year",IF(L1387="Promotional","15 Weeks",IF(L1387="Revalidation","2 Years","")))</f>
        <v/>
      </c>
    </row>
    <row r="1388" spans="14:14">
      <c r="N1388" s="3" t="str">
        <f t="shared" si="78"/>
        <v/>
      </c>
    </row>
    <row r="1389" spans="14:14">
      <c r="N1389" s="3" t="str">
        <f t="shared" si="78"/>
        <v/>
      </c>
    </row>
    <row r="1390" spans="14:14">
      <c r="N1390" s="3" t="str">
        <f t="shared" si="78"/>
        <v/>
      </c>
    </row>
    <row r="1391" spans="14:14">
      <c r="N1391" s="3" t="str">
        <f t="shared" si="78"/>
        <v/>
      </c>
    </row>
    <row r="1392" spans="14:14">
      <c r="N1392" s="3" t="str">
        <f t="shared" si="78"/>
        <v/>
      </c>
    </row>
    <row r="1393" spans="14:14">
      <c r="N1393" s="3" t="str">
        <f t="shared" si="78"/>
        <v/>
      </c>
    </row>
    <row r="1394" spans="14:14">
      <c r="N1394" s="3" t="str">
        <f t="shared" si="78"/>
        <v/>
      </c>
    </row>
    <row r="1395" spans="14:14">
      <c r="N1395" s="3" t="str">
        <f t="shared" si="78"/>
        <v/>
      </c>
    </row>
  </sheetData>
  <autoFilter ref="J1:J866" xr:uid="{00000000-0001-0000-0000-000000000000}"/>
  <phoneticPr fontId="6" type="noConversion"/>
  <dataValidations count="6">
    <dataValidation type="list" allowBlank="1" showInputMessage="1" showErrorMessage="1" sqref="L2:L999 L1005:L1395" xr:uid="{F4CB3779-8B43-47E8-A86D-22643F047DE6}">
      <formula1>"New,Revalidation,Promotional,Others"</formula1>
    </dataValidation>
    <dataValidation type="list" allowBlank="1" showInputMessage="1" showErrorMessage="1" sqref="Y2:Y562 Y565:Y984" xr:uid="{2A87172F-6052-4784-96A9-8DBB75F7E156}">
      <formula1>"Compliant,Non-Compliant,Not Started,Unable to Monitor"</formula1>
    </dataValidation>
    <dataValidation type="list" allowBlank="1" showInputMessage="1" showErrorMessage="1" sqref="R1084:R1093 R1054 R2:R999 R1008:R1039" xr:uid="{559547D5-1F0F-4869-B4AF-A618D6A7D934}">
      <formula1>"FAST TRACK,NORMAL"</formula1>
    </dataValidation>
    <dataValidation type="list" allowBlank="1" showInputMessage="1" showErrorMessage="1" sqref="O2:O999 O1005:O1454" xr:uid="{6DC9453F-8016-4450-8C25-2A53DAE44C57}">
      <formula1>"Cosmetics, Drug, Food, Herbal, Nutraceuticals"</formula1>
    </dataValidation>
    <dataValidation type="list" allowBlank="1" showInputMessage="1" showErrorMessage="1" sqref="J2:J894 J896:J1395" xr:uid="{651B2F33-84A6-4995-A82E-BAE702B87D17}">
      <formula1>"MEDICAL JOURNAL,OUT-OF-HOME (OOH),LEAVE BEHIND,TELEVISION COMMERCIAL (TVC),RADIO,E-DETAILING AID,ONLINE,PRINT MEDIA,ONLINE (HCP WEBSITE PORTAL),DETAILING AID,DIGITAL EMAIL COMMUNICATION AID"</formula1>
    </dataValidation>
    <dataValidation type="list" allowBlank="1" showInputMessage="1" showErrorMessage="1" sqref="E1088:E1395 E2:E103 E105:E288 E290:E964 E966:E1085" xr:uid="{D96ECCC8-AD0C-48E4-8791-32F67F3C195D}">
      <formula1>"NA,OTC,POM"</formula1>
    </dataValidation>
  </dataValidations>
  <hyperlinks>
    <hyperlink ref="T3" r:id="rId1" xr:uid="{3F5FCAEA-18C9-45A1-A69B-ADF45EA04E56}"/>
    <hyperlink ref="T10" r:id="rId2" xr:uid="{DF38D599-2A4F-45FC-A4F2-2BF3F2E8E77E}"/>
    <hyperlink ref="T12" r:id="rId3" xr:uid="{A5A5348F-C6E8-4780-BA11-E3836A5EE861}"/>
    <hyperlink ref="T14" r:id="rId4" xr:uid="{04D19718-85BA-4939-82E7-94CF781F7327}"/>
    <hyperlink ref="T48" r:id="rId5" xr:uid="{C9E7B9E0-B50D-4DEB-9BBF-291FF38B5E0A}"/>
    <hyperlink ref="T51" r:id="rId6" xr:uid="{CE30758E-C54A-42C5-8FFA-178B7A2B8442}"/>
    <hyperlink ref="T49" r:id="rId7" xr:uid="{92A26C9A-1B6E-4292-A593-166FD70B2B4C}"/>
    <hyperlink ref="T52" r:id="rId8" xr:uid="{8B79E633-3C5B-4DD2-A64C-D9A331DAA3EF}"/>
    <hyperlink ref="T53" r:id="rId9" xr:uid="{781E4632-D281-4A2E-A957-E5AD9CAA0C95}"/>
    <hyperlink ref="T54" r:id="rId10" xr:uid="{DEFD5A5D-992B-420D-8DEB-2D40E967525B}"/>
    <hyperlink ref="T55" r:id="rId11" xr:uid="{EA1779CC-7DE4-481A-8A14-94DC0417C2D0}"/>
    <hyperlink ref="T33" r:id="rId12" display="https://nafdacng-my.sharepoint.com/:b:/g/personal/adekunle_adeniran_nafdac_gov_ng/IQBwFxHVzP_yRLqWDp8_aLcyAX3eal-y80hDsIg2Sx1EcUI?e=PhTOiN" xr:uid="{31029071-622D-48E8-849E-E89B7F85A2F3}"/>
    <hyperlink ref="T34" r:id="rId13" display="https://nafdacng-my.sharepoint.com/:b:/g/personal/adekunle_adeniran_nafdac_gov_ng/IQBwFxHVzP_yRLqWDp8_aLcyAX3eal-y80hDsIg2Sx1EcUI?e=PhTOiN" xr:uid="{14092FF1-1D89-4357-BF04-07E05FD396AE}"/>
    <hyperlink ref="T56" r:id="rId14" xr:uid="{0512AC26-9324-46E2-A33B-657149CF28FC}"/>
    <hyperlink ref="T38" r:id="rId15" display="https://nafdacng-my.sharepoint.com/:b:/g/personal/adekunle_adeniran_nafdac_gov_ng/IQDeOYWxCh3EQIXfgvWJVaVLAX7TqbtquEhcVtI47NjPBAY?e=IdypC7" xr:uid="{D4858D1F-E637-4EB4-BE24-28ADB866177E}"/>
    <hyperlink ref="T37" r:id="rId16" display="https://nafdacng-my.sharepoint.com/:b:/g/personal/adekunle_adeniran_nafdac_gov_ng/IQDeOYWxCh3EQIXfgvWJVaVLAX7TqbtquEhcVtI47NjPBAY?e=IdypC7" xr:uid="{B80C1616-2D45-4C4C-AD9D-FE0BBFC4F91C}"/>
    <hyperlink ref="T57" r:id="rId17" xr:uid="{1CE2CED7-735E-4899-B8BF-9133EBC6B927}"/>
    <hyperlink ref="T58" r:id="rId18" xr:uid="{01A01933-E4D5-45D2-BB2C-A2EA64B08F5F}"/>
    <hyperlink ref="T59" r:id="rId19" xr:uid="{7CDC7F9E-57D6-4FFD-BB9C-596821195D86}"/>
    <hyperlink ref="T60" r:id="rId20" xr:uid="{E4F3150E-E333-4EB6-9E83-14879DB9802D}"/>
    <hyperlink ref="T61" r:id="rId21" xr:uid="{DAFA016A-C03B-4A1F-9EE4-7D6B340D8FCA}"/>
    <hyperlink ref="T120" r:id="rId22" xr:uid="{B14910A9-59C4-41AD-B206-88B9FBECF2E6}"/>
    <hyperlink ref="T121" r:id="rId23" xr:uid="{8D8162E7-BD78-4E7A-8DEB-5B46F88D7DAF}"/>
    <hyperlink ref="T122" r:id="rId24" xr:uid="{6CD93DF7-247B-4285-9DD5-D5E0D2BB060D}"/>
    <hyperlink ref="T125" r:id="rId25" xr:uid="{4BC92E0B-7A7F-480D-909A-EBA81B17F6E2}"/>
    <hyperlink ref="T62" r:id="rId26" xr:uid="{7C594217-8F72-49D5-9A1B-B5F9F01311F8}"/>
    <hyperlink ref="T126" r:id="rId27" xr:uid="{182EA117-9CB4-4BC8-813C-F08EF2ACBF3C}"/>
    <hyperlink ref="T127" r:id="rId28" xr:uid="{5027D6F6-CEF1-449C-BC33-FB0B2C9D2EF7}"/>
    <hyperlink ref="T63" r:id="rId29" xr:uid="{F8D1BBF2-4F90-4827-BC9E-74BF5AF67236}"/>
    <hyperlink ref="T128" r:id="rId30" xr:uid="{795C0DBF-DD04-4FCB-A1AC-1ED2E47F9529}"/>
    <hyperlink ref="T129" r:id="rId31" xr:uid="{A97DCDDF-30EB-433E-91AB-1396976A32CA}"/>
    <hyperlink ref="T130" r:id="rId32" xr:uid="{9000C137-6A31-4B02-B60F-86D0EE6C8C05}"/>
    <hyperlink ref="T134" r:id="rId33" xr:uid="{156C4EDA-C6E8-4D50-845D-C8C8D2522AA2}"/>
    <hyperlink ref="T133" r:id="rId34" xr:uid="{82156253-8DA6-422E-A686-636A90EE9F44}"/>
    <hyperlink ref="T132" r:id="rId35" xr:uid="{671FAD1D-C6CD-44F8-9E98-8C0EF1F5E796}"/>
    <hyperlink ref="T131" r:id="rId36" xr:uid="{BA4D70A5-764A-44CD-8F6C-EF0B2CB10EAA}"/>
    <hyperlink ref="T138" r:id="rId37" xr:uid="{D0A71B04-0226-4CF5-A2D6-FF91080A14EC}"/>
    <hyperlink ref="T137" r:id="rId38" xr:uid="{7F7E3299-6FCC-4FE0-9626-22291486850F}"/>
    <hyperlink ref="T136" r:id="rId39" xr:uid="{B93C5F82-28B6-4819-BB42-B1799A464A10}"/>
    <hyperlink ref="T135" r:id="rId40" xr:uid="{6F1155C2-E228-4E7E-84AA-645CC3456E91}"/>
    <hyperlink ref="T139" r:id="rId41" xr:uid="{752C5EF1-15EA-4FD9-B044-8616366D6F82}"/>
    <hyperlink ref="T143" r:id="rId42" xr:uid="{56C1427F-F618-4A26-B1C2-A2535831BEAC}"/>
    <hyperlink ref="T189" r:id="rId43" xr:uid="{542EA4CD-68C1-43A4-A664-1EA18A1E469A}"/>
    <hyperlink ref="T146" r:id="rId44" xr:uid="{854F0E16-1DC8-43EE-9BD4-BBF5B88E4628}"/>
    <hyperlink ref="T145" r:id="rId45" xr:uid="{9FF239E6-219B-42C6-9DE0-66A9F23FDE60}"/>
    <hyperlink ref="T190" r:id="rId46" xr:uid="{6347035E-2EBA-4039-A578-EFBD2C1B0C1F}"/>
    <hyperlink ref="T144" r:id="rId47" xr:uid="{B84F7E50-7695-41FA-8401-EC326968E953}"/>
    <hyperlink ref="T191" r:id="rId48" xr:uid="{EA0808C2-2CD3-4D62-9332-0E4291494BE7}"/>
    <hyperlink ref="T140" r:id="rId49" xr:uid="{CEA49D9A-E84F-47F7-A952-50054041AAC5}"/>
    <hyperlink ref="T192" r:id="rId50" xr:uid="{08D59F45-E6B9-431A-A7B5-06EE05EE9AEA}"/>
    <hyperlink ref="T141" r:id="rId51" xr:uid="{42B0BB38-B7ED-4BFF-9841-36DC5F9512BE}"/>
    <hyperlink ref="T193" r:id="rId52" xr:uid="{87553CCD-D134-4921-B682-0BB306517072}"/>
    <hyperlink ref="T195" r:id="rId53" xr:uid="{27DC62F3-388D-4CB9-BDDC-45D73829D436}"/>
    <hyperlink ref="T142" r:id="rId54" xr:uid="{84D0740E-F8FC-4B4A-A923-80F50E3AE6E4}"/>
    <hyperlink ref="T165" r:id="rId55" xr:uid="{2A6F3CFD-85D5-46DD-9F6E-C7D6D1C17836}"/>
    <hyperlink ref="T149" r:id="rId56" xr:uid="{EB3F1B6F-81CB-4ADC-8A89-87C9F821BAB9}"/>
    <hyperlink ref="T150" r:id="rId57" xr:uid="{50EF1768-0BDA-488D-949B-35B5FCA62864}"/>
    <hyperlink ref="T194" r:id="rId58" xr:uid="{918794E8-2FA7-4156-A865-2D818BEF60FC}"/>
    <hyperlink ref="T148" r:id="rId59" xr:uid="{0A4036C3-31C9-42B8-8788-190A39B8971D}"/>
    <hyperlink ref="T147" r:id="rId60" xr:uid="{71B45C48-B9C7-4205-8E46-CFD37D8A2C8E}"/>
    <hyperlink ref="T151" r:id="rId61" xr:uid="{61BCC0A8-C936-49BD-8838-B2DE8905B512}"/>
    <hyperlink ref="T152" r:id="rId62" xr:uid="{58873277-E7EC-478A-904B-5D5AD42A60BC}"/>
    <hyperlink ref="T153" r:id="rId63" xr:uid="{AF2B1C19-89C1-4002-AA68-CA5D5F9474E4}"/>
    <hyperlink ref="T161" r:id="rId64" xr:uid="{C932B00E-9C64-4717-A11B-5A470A83274D}"/>
    <hyperlink ref="T162" r:id="rId65" xr:uid="{3335AEBD-6AE3-4AE9-967D-10C0961ECC2C}"/>
    <hyperlink ref="T164" r:id="rId66" xr:uid="{1B8DDC53-DE1A-49CF-82B2-C28F9387AA94}"/>
    <hyperlink ref="T196" r:id="rId67" xr:uid="{E76828CA-054A-456A-87B6-6522BA99C3BE}"/>
    <hyperlink ref="T163" r:id="rId68" xr:uid="{7FFEE8CB-552F-46C9-A69B-E35D4944A72C}"/>
    <hyperlink ref="T197" r:id="rId69" xr:uid="{A9BFBC08-7B09-4E06-B745-0F5B6B9F6BF5}"/>
    <hyperlink ref="T154" r:id="rId70" xr:uid="{D7395F54-DEAF-4DAF-BB31-765D2974B332}"/>
    <hyperlink ref="T155" r:id="rId71" xr:uid="{D322B770-0978-4893-99BA-879D24232934}"/>
    <hyperlink ref="T198" r:id="rId72" xr:uid="{095A307D-E6E8-4099-95B5-D6C433753CB7}"/>
    <hyperlink ref="T156" r:id="rId73" xr:uid="{7C782456-DEC4-4FCD-8B1E-DAEAB6DFA77C}"/>
    <hyperlink ref="T199" r:id="rId74" xr:uid="{0B5D7FDF-0DB6-4A8F-9D22-28794F291C15}"/>
    <hyperlink ref="T157" r:id="rId75" xr:uid="{692B1B4D-103E-47F0-B032-9B93E33C388D}"/>
    <hyperlink ref="T200" r:id="rId76" xr:uid="{8C24ECB3-1303-479B-8567-4A008523BBC8}"/>
    <hyperlink ref="T201" r:id="rId77" xr:uid="{41860957-AAE0-49F7-BDFE-26F31E05C178}"/>
    <hyperlink ref="T158" r:id="rId78" xr:uid="{ED6CE7B8-0217-4812-965A-CE11FF3B197A}"/>
    <hyperlink ref="T159" r:id="rId79" xr:uid="{5A943F69-9949-4F88-A2E0-6E49C084F975}"/>
    <hyperlink ref="T202" r:id="rId80" xr:uid="{F86C7DE1-8204-4B65-BEA9-05075E0F848E}"/>
    <hyperlink ref="T160" r:id="rId81" xr:uid="{358B726B-3F39-4FEF-8EB2-391FBCC1B826}"/>
    <hyperlink ref="T166" r:id="rId82" xr:uid="{2773E20D-43C5-4A73-B3EC-2859DBA15972}"/>
    <hyperlink ref="T167" r:id="rId83" xr:uid="{FC7BFB2E-2DE6-4733-9554-901205AF3442}"/>
    <hyperlink ref="T214" r:id="rId84" xr:uid="{C1245EC6-99DF-4544-8554-9E255EFE4069}"/>
    <hyperlink ref="T215" r:id="rId85" xr:uid="{949ED1A4-94F7-49A0-BF34-574C432E6695}"/>
    <hyperlink ref="T216" r:id="rId86" xr:uid="{1E46FBC4-D547-4DE3-B573-9816056B7B3D}"/>
    <hyperlink ref="T168" r:id="rId87" xr:uid="{DCB0C9A4-3E4F-489D-9EBE-72711C7D7EA7}"/>
    <hyperlink ref="T169" r:id="rId88" xr:uid="{B4CF3041-FCEA-4F39-BA5C-EBE3A661EE6E}"/>
    <hyperlink ref="T170" r:id="rId89" xr:uid="{04849B29-6E5D-474F-87EF-B35ED5688CE6}"/>
    <hyperlink ref="T203" r:id="rId90" xr:uid="{7FDF30C8-32A0-48B5-A065-95E26E04D3C5}"/>
    <hyperlink ref="T171" r:id="rId91" xr:uid="{01704250-1B79-4C3C-B0DD-C45FF0D697EF}"/>
    <hyperlink ref="T204" r:id="rId92" xr:uid="{0196F236-B1FB-4786-B28B-46366FCF6067}"/>
    <hyperlink ref="T205" r:id="rId93" xr:uid="{67E4AAA3-4083-4ED9-88F4-C2B6F49033B2}"/>
    <hyperlink ref="T173" r:id="rId94" xr:uid="{B0926F55-99E5-4023-8C33-192D42E73721}"/>
    <hyperlink ref="T172" r:id="rId95" xr:uid="{C3C54E26-77A2-45EC-9570-01525369C39D}"/>
    <hyperlink ref="T250" r:id="rId96" xr:uid="{4D76AC16-854E-4472-8744-D5F501663EBF}"/>
    <hyperlink ref="T174" r:id="rId97" xr:uid="{810B0FE3-4E5C-4792-9F3F-66464A44D7F4}"/>
    <hyperlink ref="T232" r:id="rId98" xr:uid="{44B8347C-349A-41A7-BC7C-FA5D02212AB9}"/>
    <hyperlink ref="T177" r:id="rId99" xr:uid="{DA4B6FA5-7589-40CC-94BE-1273A6C34AF3}"/>
    <hyperlink ref="T175" r:id="rId100" xr:uid="{5321186C-4F93-462A-9D23-86F168485FA9}"/>
    <hyperlink ref="T176" r:id="rId101" xr:uid="{24524EBB-54CC-4196-9D5C-812F1316A53B}"/>
    <hyperlink ref="T217" r:id="rId102" xr:uid="{CF1CD3D5-A1E7-4601-8E48-68A7EC4783D7}"/>
    <hyperlink ref="T178" r:id="rId103" xr:uid="{2BC8A6FE-073E-4348-802C-6EC8B3FFBAC7}"/>
    <hyperlink ref="T179" r:id="rId104" xr:uid="{664973AC-08D0-499D-A705-760432C3C335}"/>
    <hyperlink ref="T180" r:id="rId105" xr:uid="{FD4FA33F-BCFB-4BF9-BAA2-79B95EB1C663}"/>
    <hyperlink ref="T218" r:id="rId106" xr:uid="{D50757B2-AB05-45CF-8439-152B80655BC8}"/>
    <hyperlink ref="T183" r:id="rId107" xr:uid="{B9CA981E-D179-4C94-9A71-418B06469A8A}"/>
    <hyperlink ref="T220" r:id="rId108" xr:uid="{B3CA8E72-E6C6-47CC-8644-EE3CB9783AC4}"/>
    <hyperlink ref="T182" r:id="rId109" xr:uid="{22110BB8-6521-4E59-A73B-EBEDC2A6EF42}"/>
    <hyperlink ref="T181" r:id="rId110" xr:uid="{3FD7F2AB-235E-4BE3-9C34-8F07249D9954}"/>
    <hyperlink ref="T219" r:id="rId111" xr:uid="{C5A6CE04-F427-4B89-A1AA-A3BF4F1AACCC}"/>
    <hyperlink ref="T184" r:id="rId112" xr:uid="{5380B7CA-6668-4379-918C-C56348AF3A1A}"/>
    <hyperlink ref="T221" r:id="rId113" xr:uid="{A92C9E4F-D30F-40FC-9105-5DB19BD16B5C}"/>
    <hyperlink ref="T185" r:id="rId114" xr:uid="{EF5F5764-4CF6-448C-BD48-FC18B5A1FDF4}"/>
    <hyperlink ref="T222" r:id="rId115" xr:uid="{502B4201-D09D-496D-8444-BFAC16176D7A}"/>
    <hyperlink ref="T186" r:id="rId116" xr:uid="{CB41A265-5A15-4AA7-AF8A-31ABEBC83554}"/>
    <hyperlink ref="T187" r:id="rId117" xr:uid="{0ABAC952-534F-4089-960A-2196C52CE74B}"/>
    <hyperlink ref="T188" r:id="rId118" xr:uid="{80812053-6D03-4708-88FC-F1CE011CC712}"/>
    <hyperlink ref="T223" r:id="rId119" xr:uid="{A2F733EA-610D-4B69-B916-C9AB4834AAF3}"/>
    <hyperlink ref="T224" r:id="rId120" xr:uid="{BE705935-630C-438A-BA3A-873589E57158}"/>
    <hyperlink ref="T226" r:id="rId121" xr:uid="{90132002-92DB-4A6C-8825-BFF1E4225CE9}"/>
    <hyperlink ref="T225" r:id="rId122" xr:uid="{FB8CE979-5FF5-4CB1-94A3-B7B0557369A9}"/>
    <hyperlink ref="T227" r:id="rId123" xr:uid="{A9A85333-C678-4223-8408-C723CAE35CB5}"/>
    <hyperlink ref="T228" r:id="rId124" xr:uid="{A7CAC93B-F2B2-4E6D-ADE9-8760FC4473C1}"/>
    <hyperlink ref="T229" r:id="rId125" xr:uid="{76503CEB-9D91-483D-B53B-5D76A55DCDD6}"/>
    <hyperlink ref="T230" r:id="rId126" xr:uid="{2849F854-AB6A-45E1-8C19-63203FA91A31}"/>
    <hyperlink ref="T266" r:id="rId127" xr:uid="{7E9E89C6-9903-440D-827A-1A37AE75C669}"/>
    <hyperlink ref="T265" r:id="rId128" xr:uid="{E35AA978-B722-49AC-8DD3-5F094AF1D673}"/>
    <hyperlink ref="T261" r:id="rId129" xr:uid="{964363F8-007B-4746-AF57-BA9CF8B2D173}"/>
    <hyperlink ref="T264" r:id="rId130" xr:uid="{160792F4-BDBB-4D97-BF45-0CF423B7390D}"/>
    <hyperlink ref="T263" r:id="rId131" xr:uid="{533CEA0D-53F5-4348-9AD0-9065A1C4E4EF}"/>
    <hyperlink ref="T262" r:id="rId132" xr:uid="{D6A4AEB2-B747-4630-9874-EBE995569265}"/>
    <hyperlink ref="T260" r:id="rId133" xr:uid="{6B6DC4BF-8A0D-4D8E-85BE-90C929E26EB8}"/>
    <hyperlink ref="T259" r:id="rId134" xr:uid="{E6BC725A-E06A-4A52-AA9C-07973A666521}"/>
    <hyperlink ref="T258" r:id="rId135" xr:uid="{85BEA19C-2C18-4862-BF0E-CAF8F1C66B2D}"/>
    <hyperlink ref="T257" r:id="rId136" xr:uid="{79942B26-25F0-4523-88FA-A9FAC44E79C2}"/>
    <hyperlink ref="T256" r:id="rId137" xr:uid="{0D94592D-67CB-471D-9848-1B786A9562AA}"/>
    <hyperlink ref="T255" r:id="rId138" xr:uid="{321F9CF1-D28E-4BD2-BC46-846CCF9FAFE6}"/>
    <hyperlink ref="T253" r:id="rId139" xr:uid="{4E3FA5D3-D0DD-4930-A862-D4E1D6450DD1}"/>
    <hyperlink ref="T254" r:id="rId140" xr:uid="{C4020577-C4FD-4AAB-B6CF-A22B8AC7BFDD}"/>
    <hyperlink ref="T252" r:id="rId141" xr:uid="{92D5FDA5-FF46-48C4-8495-B2EAC41648EB}"/>
    <hyperlink ref="T233" r:id="rId142" xr:uid="{9EA5000F-8052-4FED-B381-E8069E541CA2}"/>
    <hyperlink ref="T234" r:id="rId143" xr:uid="{AD228DFF-1794-493D-93AA-930EFD838B00}"/>
    <hyperlink ref="T235" r:id="rId144" xr:uid="{DA4DE3F6-426E-4635-8BC2-683F416D210C}"/>
    <hyperlink ref="T236" r:id="rId145" xr:uid="{341027EC-F093-4690-BE38-331BC1921219}"/>
    <hyperlink ref="T237" r:id="rId146" xr:uid="{10E31E67-928F-4205-B46C-0462565D7BD1}"/>
    <hyperlink ref="T238" r:id="rId147" xr:uid="{ABB3CF11-6276-43D4-86D7-8A3865B9DFBE}"/>
    <hyperlink ref="T231" r:id="rId148" xr:uid="{F9E71610-56DD-4553-B04B-55C2FEE686DF}"/>
    <hyperlink ref="T212" r:id="rId149" xr:uid="{8831803E-67FB-4E6D-9073-37AF30F714B7}"/>
    <hyperlink ref="T213" r:id="rId150" xr:uid="{6C6824FA-2C93-4E43-8BC1-941363A788B4}"/>
    <hyperlink ref="T208" r:id="rId151" xr:uid="{0C436860-342C-48BB-AF39-094711E37906}"/>
    <hyperlink ref="T207" r:id="rId152" xr:uid="{B1A53428-71EA-45B0-932B-3AB5D2DEE0B8}"/>
    <hyperlink ref="T206" r:id="rId153" xr:uid="{A3C3D03A-877F-4CC8-A2E5-2F56DFA31FB1}"/>
    <hyperlink ref="T211" r:id="rId154" xr:uid="{46C7034E-074F-4FC3-8135-969861268B52}"/>
    <hyperlink ref="T210" r:id="rId155" xr:uid="{3B78509C-8403-402A-9921-219B0720EB74}"/>
    <hyperlink ref="T209" r:id="rId156" xr:uid="{2F3F9056-7AC4-4DAE-BE40-F333B95222AA}"/>
    <hyperlink ref="T239" r:id="rId157" xr:uid="{E35ABBE3-A73F-42FA-9FB8-48A5B37E2C56}"/>
    <hyperlink ref="T240" r:id="rId158" xr:uid="{BD6E99AA-52FA-42DA-ABD7-7B50AA037CCB}"/>
    <hyperlink ref="T241" r:id="rId159" xr:uid="{7A23C46F-3357-493A-A7EA-1C9896105F94}"/>
    <hyperlink ref="T243" r:id="rId160" xr:uid="{4C95C15C-A4B1-4B1B-B152-A5F88F855689}"/>
    <hyperlink ref="T244" r:id="rId161" xr:uid="{19B1B648-4312-444F-A2DB-538EBD6D0D04}"/>
    <hyperlink ref="T245" r:id="rId162" xr:uid="{E2522040-2CB6-4221-A29D-D25DE1B29BDC}"/>
    <hyperlink ref="T246" r:id="rId163" xr:uid="{E0F5B67F-06BF-4E79-9284-0DC517F80840}"/>
    <hyperlink ref="T249" r:id="rId164" xr:uid="{F795CD4C-1076-47B2-99A1-4554DD5E4BA5}"/>
    <hyperlink ref="T248" r:id="rId165" xr:uid="{45C0642F-7E09-4D1B-A915-971D8A870ED9}"/>
    <hyperlink ref="T247" r:id="rId166" xr:uid="{9FFF0B59-C04B-432F-A0C0-D28233CCDE7B}"/>
    <hyperlink ref="T267" r:id="rId167" xr:uid="{1AC8C86B-E3E3-459C-94E8-550D089B6ADF}"/>
    <hyperlink ref="T268" r:id="rId168" xr:uid="{1EA7210C-19AF-49B5-9F34-116516AD8F90}"/>
    <hyperlink ref="T269" r:id="rId169" xr:uid="{994282F1-B95E-4264-B006-AE78A076F70A}"/>
    <hyperlink ref="T270" r:id="rId170" xr:uid="{F4C1B22C-5776-4126-B0CE-C64A00C3D6BA}"/>
    <hyperlink ref="T271" r:id="rId171" xr:uid="{E1233F01-30C5-4A17-BDF7-D6C6F4E82A02}"/>
    <hyperlink ref="T274" r:id="rId172" xr:uid="{69056A49-54E9-46E4-BCCC-FA1B3F86E53D}"/>
    <hyperlink ref="T273" r:id="rId173" xr:uid="{CA0FBFE4-7EF4-447E-BAA5-3007743743DC}"/>
    <hyperlink ref="T272" r:id="rId174" xr:uid="{9471F368-662D-4C79-9902-18EE58878610}"/>
    <hyperlink ref="T277" r:id="rId175" xr:uid="{8DD0FCC5-C84D-47FC-B251-93D95F2F33FD}"/>
    <hyperlink ref="T276" r:id="rId176" xr:uid="{E023E208-5A13-43EF-93E1-CC0CCFE9AE8C}"/>
    <hyperlink ref="T275" r:id="rId177" xr:uid="{D336814E-D56D-48B1-90DE-2207869EC3D8}"/>
    <hyperlink ref="T278" r:id="rId178" xr:uid="{1964179E-48AC-416C-8626-0451E7CA7BEA}"/>
    <hyperlink ref="T279" r:id="rId179" xr:uid="{BE131A1A-C84B-47AB-AFA9-DF683FBAE56D}"/>
    <hyperlink ref="T280" r:id="rId180" xr:uid="{7ABB51B4-D507-4E6C-B482-F72696106DD7}"/>
    <hyperlink ref="T281" r:id="rId181" xr:uid="{042AB4E6-C422-4BE0-B196-9726F1AD03E1}"/>
    <hyperlink ref="T282" r:id="rId182" xr:uid="{FEB83239-1BA4-4C9F-850C-64C38011581F}"/>
    <hyperlink ref="T284" r:id="rId183" xr:uid="{CE6CCE52-5D17-4D52-8DC4-CCF52E6CF07C}"/>
    <hyperlink ref="T283" r:id="rId184" xr:uid="{F7BD286A-A3D8-427C-9A33-E55759271551}"/>
    <hyperlink ref="T285" r:id="rId185" xr:uid="{C7618837-DE45-433B-BD78-03BB5DB3C18D}"/>
    <hyperlink ref="T286" r:id="rId186" xr:uid="{FA391E01-30DD-4C50-8010-37BFD7DA1D4F}"/>
    <hyperlink ref="T287" r:id="rId187" xr:uid="{366494CE-9D13-4012-8058-AAA3D4FB3339}"/>
    <hyperlink ref="T288" r:id="rId188" xr:uid="{FD0DAF71-CA80-44C4-9AFB-E5C1495783C8}"/>
    <hyperlink ref="T340" r:id="rId189" xr:uid="{B3EFB10C-0E9A-42FD-BC35-1BFABD2640A1}"/>
    <hyperlink ref="T341" r:id="rId190" xr:uid="{A099B1AF-159A-4FE1-8AF2-CC188BDFBA47}"/>
    <hyperlink ref="T376" r:id="rId191" xr:uid="{49D46B8E-68AB-4E79-A3BC-F8A3DEBC48EC}"/>
    <hyperlink ref="T343" r:id="rId192" xr:uid="{5EB8C82F-12EB-400F-AF30-A37D062856C2}"/>
    <hyperlink ref="T344" r:id="rId193" xr:uid="{C229B573-0DCA-4348-A42C-A346CD1BD41B}"/>
    <hyperlink ref="T345" r:id="rId194" xr:uid="{ED559FE5-97A5-4BE6-97B0-AB3121963D9A}"/>
    <hyperlink ref="T347" r:id="rId195" xr:uid="{C604DADE-5C0B-4507-A5FF-BA9CACD532C8}"/>
    <hyperlink ref="T348" r:id="rId196" xr:uid="{0BF2B4AF-6776-497C-A687-51F16821D523}"/>
    <hyperlink ref="T349" r:id="rId197" xr:uid="{A57C2365-75A2-4EA1-8C27-96BEEE948DEC}"/>
    <hyperlink ref="T362" r:id="rId198" xr:uid="{1963E6BA-268C-40BC-97EC-62EAADCA2105}"/>
    <hyperlink ref="T361" r:id="rId199" xr:uid="{657CC069-BA35-43DD-81A0-F334B07A9C96}"/>
    <hyperlink ref="T363" r:id="rId200" xr:uid="{A11334D0-628C-42C7-BDB4-5E203645FFD4}"/>
    <hyperlink ref="T364" r:id="rId201" xr:uid="{ED23F8B7-02DE-4F1F-9FD6-67EEA46A3CFC}"/>
    <hyperlink ref="T365" r:id="rId202" xr:uid="{BA06880B-8357-4C33-B694-8602EB6A79D5}"/>
    <hyperlink ref="T366" r:id="rId203" xr:uid="{11850016-713F-4A7E-96D8-28A77E9478BC}"/>
    <hyperlink ref="T368" r:id="rId204" xr:uid="{17483CEC-43C0-4B09-81F6-E390655B3C32}"/>
    <hyperlink ref="T367" r:id="rId205" xr:uid="{F2D61AA8-F03F-4027-BCCB-B1BCCAF7B11F}"/>
    <hyperlink ref="T369" r:id="rId206" xr:uid="{B851DDE6-CB8D-47BE-B535-A05B98CE0DD5}"/>
    <hyperlink ref="T370" r:id="rId207" xr:uid="{E96713DC-B733-4F0B-80FE-6ABFCB76DFE7}"/>
    <hyperlink ref="T371" r:id="rId208" xr:uid="{1C7D740C-656A-48DB-B5B1-A62D568367C9}"/>
    <hyperlink ref="T372" r:id="rId209" xr:uid="{34F7D671-B549-48CC-8A75-69878083170B}"/>
    <hyperlink ref="T373" r:id="rId210" xr:uid="{3140ADD3-3962-4311-9422-5E3923D9C5FE}"/>
    <hyperlink ref="T374" r:id="rId211" xr:uid="{0523F779-A5D0-4AC2-90D2-F73E72FBBBD4}"/>
    <hyperlink ref="T375" r:id="rId212" xr:uid="{3179EEAD-648A-4300-B41D-3850C955ABE5}"/>
    <hyperlink ref="T377" r:id="rId213" xr:uid="{05990242-E6AD-41C5-95C4-5536B5736FE3}"/>
    <hyperlink ref="T378" r:id="rId214" xr:uid="{8449BA64-5020-4543-A2EB-1BEB3B3CB8A0}"/>
    <hyperlink ref="T379" r:id="rId215" xr:uid="{0BD4DE82-80FB-4DB0-9E95-57EF87E9952B}"/>
    <hyperlink ref="T380" r:id="rId216" xr:uid="{7AD74C5A-F424-434F-8166-5AF9D33A7ADC}"/>
    <hyperlink ref="T381" r:id="rId217" xr:uid="{1DF0BEDA-40ED-4CE6-88C6-CB33AEFCABDB}"/>
    <hyperlink ref="T382" r:id="rId218" xr:uid="{0F72223F-E9AE-4D1A-94D2-8C95EDF0F93E}"/>
    <hyperlink ref="T289" r:id="rId219" xr:uid="{2378B669-AAB4-49C7-B4E9-FEE30576E768}"/>
    <hyperlink ref="T290" r:id="rId220" xr:uid="{9F7670FC-73E1-407C-867C-004EC3836F40}"/>
    <hyperlink ref="T291" r:id="rId221" xr:uid="{79C121B1-2320-41E8-AA85-EBA02DC68B45}"/>
    <hyperlink ref="T292" r:id="rId222" xr:uid="{06C83E87-14A2-49DF-80B3-2B21D5B0D429}"/>
    <hyperlink ref="T293" r:id="rId223" xr:uid="{4BA665EF-3BB7-4487-B667-DE82964748C4}"/>
    <hyperlink ref="T294" r:id="rId224" xr:uid="{CE22FB36-5D32-47B3-AC39-65B750348AE7}"/>
    <hyperlink ref="T295" r:id="rId225" xr:uid="{2EF32292-8B0A-48B1-A7FD-E3A751B6B297}"/>
    <hyperlink ref="T296" r:id="rId226" xr:uid="{6E23E6C5-180F-45BF-959B-9E367CD70EE4}"/>
    <hyperlink ref="T297" r:id="rId227" xr:uid="{7E323821-1DAE-4973-A98D-3E8BB67F734E}"/>
    <hyperlink ref="T298" r:id="rId228" xr:uid="{7DC09DAC-154C-4855-A2A2-D1D7DB62CF64}"/>
    <hyperlink ref="T299" r:id="rId229" xr:uid="{988FBBAF-EAA8-4EA9-9322-BCFB9121F9E0}"/>
    <hyperlink ref="T303" r:id="rId230" xr:uid="{452A4B85-1993-4617-9BD2-B9A042385913}"/>
    <hyperlink ref="T301" r:id="rId231" xr:uid="{6BA155B2-6E9A-40DF-A134-7B05AD5D2554}"/>
    <hyperlink ref="T300" r:id="rId232" xr:uid="{A6E2F45B-4A35-4AC6-9625-7641AD52DAD7}"/>
    <hyperlink ref="T302" r:id="rId233" xr:uid="{47D677F9-9E34-4A86-AB49-29AF49F08E59}"/>
    <hyperlink ref="T305" r:id="rId234" xr:uid="{36CE0B1D-D8EF-47FE-AF16-E56E3252ABDF}"/>
    <hyperlink ref="T304" r:id="rId235" xr:uid="{717B2444-BF8C-4173-B3F6-D60C2AB40730}"/>
    <hyperlink ref="T306" r:id="rId236" xr:uid="{210FA4BC-A700-45AA-A063-78C821F2DA28}"/>
    <hyperlink ref="T307" r:id="rId237" xr:uid="{8A276026-940A-4E4E-B001-95566E280AD8}"/>
    <hyperlink ref="T309" r:id="rId238" xr:uid="{729CEC85-49B9-403B-9643-AAE6C4BD0E99}"/>
    <hyperlink ref="T308" r:id="rId239" xr:uid="{69F16CE4-3F40-42A7-8C06-B35E2183DCB9}"/>
    <hyperlink ref="T315" r:id="rId240" xr:uid="{1617F9E9-15D9-44F5-BAB9-3EDC601483E9}"/>
    <hyperlink ref="T316" r:id="rId241" xr:uid="{61F8B71D-3300-4BF0-8BA4-9A892AE3A92D}"/>
    <hyperlink ref="T317" r:id="rId242" xr:uid="{7DA291D8-3486-4175-BF56-9A859EADA20E}"/>
    <hyperlink ref="T321" r:id="rId243" xr:uid="{448FCF81-CD04-451B-AE26-D26BFE667A9A}"/>
    <hyperlink ref="T320" r:id="rId244" xr:uid="{A159C7C3-9816-4F52-9A15-37080AB5FD6B}"/>
    <hyperlink ref="T319" r:id="rId245" xr:uid="{03D54F16-E8A4-4995-958F-ACF38F8AF93E}"/>
    <hyperlink ref="T318" r:id="rId246" xr:uid="{6C360104-CE25-4D51-AAA1-A7BDA71FC407}"/>
    <hyperlink ref="T323" r:id="rId247" xr:uid="{8B7707F8-0733-407E-BE0C-EB177B16DB19}"/>
    <hyperlink ref="T325" r:id="rId248" xr:uid="{BD19844A-F2CF-4B7D-9528-A04CEE42D7AF}"/>
    <hyperlink ref="T326" r:id="rId249" xr:uid="{289A7BEB-B79A-40FD-A79B-86DA37EA6D25}"/>
    <hyperlink ref="T327" r:id="rId250" xr:uid="{089016D4-64BD-40F4-BAE5-0183138D09AC}"/>
    <hyperlink ref="T329" r:id="rId251" xr:uid="{6B4464CA-90EC-4735-AD9A-CC7FEDAC1BEE}"/>
    <hyperlink ref="T330" r:id="rId252" xr:uid="{80C407AE-9F5B-40E1-BA27-E85B6EA239F1}"/>
    <hyperlink ref="T331" r:id="rId253" xr:uid="{E769D84A-C109-4A32-B4CF-87DE2A450DFF}"/>
    <hyperlink ref="T328" r:id="rId254" xr:uid="{F641B673-672C-49C4-A49E-F955C19ECD47}"/>
    <hyperlink ref="T333" r:id="rId255" xr:uid="{3AD9FEA8-966B-4D97-BED4-31AB42D7C219}"/>
    <hyperlink ref="T332" r:id="rId256" xr:uid="{033DD089-05AB-4E67-A254-7F4D8513EEAF}"/>
    <hyperlink ref="T334" r:id="rId257" xr:uid="{8493476E-FAC2-4B15-AE38-6F6DEDD80A3F}"/>
    <hyperlink ref="T335" r:id="rId258" xr:uid="{9DCA2146-935C-42F2-A673-DF9094E94F5C}"/>
    <hyperlink ref="T336" r:id="rId259" xr:uid="{938E4A4B-C0D8-4E07-9672-7F8DC71D1502}"/>
    <hyperlink ref="T338" r:id="rId260" xr:uid="{A6DB0951-CB1E-4FD6-9947-A9C50372F7AE}"/>
    <hyperlink ref="T337" r:id="rId261" xr:uid="{14071A62-FB72-47ED-93BF-97187703553B}"/>
    <hyperlink ref="T339" r:id="rId262" xr:uid="{8AFC440F-77E5-479E-A6AC-9D4A6BDC8C49}"/>
    <hyperlink ref="T427" r:id="rId263" xr:uid="{DA20D6C2-10C2-4FEE-8055-DC73BE110E84}"/>
    <hyperlink ref="T428" r:id="rId264" xr:uid="{E5D8704A-FEA8-42B1-A3A9-CDA8775736B7}"/>
    <hyperlink ref="T429" r:id="rId265" xr:uid="{58D57A79-9F54-4D3D-BC86-3BC48C997493}"/>
    <hyperlink ref="T392" r:id="rId266" xr:uid="{4F7C33FD-1283-4DB5-AE36-9994B2C728DA}"/>
    <hyperlink ref="T391" r:id="rId267" xr:uid="{6386A0A3-F3C5-4DF6-B9EB-FEDFF1515CDB}"/>
    <hyperlink ref="T390" r:id="rId268" xr:uid="{9560F018-6438-47E6-8F93-63872E8F5A24}"/>
    <hyperlink ref="T389" r:id="rId269" xr:uid="{A8CAD6A4-F8EF-474D-943F-B92FDE24599B}"/>
    <hyperlink ref="T388" r:id="rId270" xr:uid="{51C21883-0A64-438A-8300-1E15AD9BCB83}"/>
    <hyperlink ref="T387" r:id="rId271" xr:uid="{9FF0880A-B336-4E8E-B1FF-BC3439270FAB}"/>
    <hyperlink ref="T386" r:id="rId272" xr:uid="{831281EA-7B8D-4BBD-8042-AAE35AFEFCB0}"/>
    <hyperlink ref="T385" r:id="rId273" xr:uid="{343B74F3-7457-4627-8D30-3F585FC6A787}"/>
    <hyperlink ref="T384" r:id="rId274" xr:uid="{AB21B387-D841-4B67-B7AA-48014F7EFF1B}"/>
    <hyperlink ref="T383" r:id="rId275" xr:uid="{3E910506-FC6E-46B4-8918-F14071755F1C}"/>
    <hyperlink ref="T393" r:id="rId276" xr:uid="{4498528E-4FD3-4586-997F-DA9B86775553}"/>
    <hyperlink ref="T395" r:id="rId277" xr:uid="{2DE84B42-E269-47FA-B577-B97DFFABB843}"/>
    <hyperlink ref="T394" r:id="rId278" xr:uid="{3CFFB9F3-F445-48B6-AE79-F2810588A438}"/>
    <hyperlink ref="T397" r:id="rId279" xr:uid="{4A31F7EA-A59E-429F-8DDC-AB98B168137E}"/>
    <hyperlink ref="T398" r:id="rId280" xr:uid="{0ADB59E8-B3DB-405E-A0FC-FAABBAD0A99A}"/>
    <hyperlink ref="T403" r:id="rId281" xr:uid="{E5D88ECF-F51F-44A3-85AE-F71DD2C9A806}"/>
    <hyperlink ref="T404" r:id="rId282" xr:uid="{8070AAB4-73AC-45C7-82A9-6A5CB8E837FA}"/>
    <hyperlink ref="T401" r:id="rId283" xr:uid="{31AF4A22-4A93-413F-A56C-CDA9A439E3B5}"/>
    <hyperlink ref="T400" r:id="rId284" xr:uid="{0983E3DE-5D60-4ABF-B303-6578A6F14D24}"/>
    <hyperlink ref="T399" r:id="rId285" xr:uid="{B743567A-FC69-4FB3-9C80-BBA19B401B9D}"/>
    <hyperlink ref="T402" r:id="rId286" xr:uid="{A5438103-AB9A-4F4F-A596-7B573A6E24AD}"/>
    <hyperlink ref="T405" r:id="rId287" xr:uid="{3320D5E2-CC74-448D-B8D3-3603076BD78F}"/>
    <hyperlink ref="T406" r:id="rId288" xr:uid="{EE842BCD-B019-4E2D-8085-941E34BD7FBA}"/>
    <hyperlink ref="T408" r:id="rId289" xr:uid="{6F66F8A8-A60F-4A0E-B376-FDD8C103B3D6}"/>
    <hyperlink ref="T407" r:id="rId290" xr:uid="{DA25E57A-0FE6-4E71-9247-885277CFC302}"/>
    <hyperlink ref="T409" r:id="rId291" xr:uid="{90B11A47-E5FA-4244-9276-BE51E960C7FE}"/>
    <hyperlink ref="T410" r:id="rId292" xr:uid="{C7BD2E0D-63DF-43F2-8006-8DE166C1FE03}"/>
    <hyperlink ref="T411" r:id="rId293" xr:uid="{215613A6-FD83-4A49-BD75-EA3F74261199}"/>
    <hyperlink ref="T413" r:id="rId294" xr:uid="{32FDE7E2-C1A6-49EC-838A-C1F800051354}"/>
    <hyperlink ref="T412" r:id="rId295" xr:uid="{0C58D7C4-A80A-4866-9FC3-599EBCEF186A}"/>
    <hyperlink ref="T414" r:id="rId296" xr:uid="{E129E627-81C9-4601-BD6C-53F492BFC636}"/>
    <hyperlink ref="T415" r:id="rId297" xr:uid="{EE811D64-C05C-4240-BF8A-464475605183}"/>
    <hyperlink ref="T416" r:id="rId298" xr:uid="{52C73898-9917-4C4C-87AD-E83F5C787740}"/>
    <hyperlink ref="T417" r:id="rId299" xr:uid="{AB15D9F7-7250-4029-AAF5-0AB04E00F6AE}"/>
    <hyperlink ref="T418" r:id="rId300" xr:uid="{E69F20AE-ADD5-477D-AB9B-1E8AC53B0425}"/>
    <hyperlink ref="T419" r:id="rId301" xr:uid="{CA3C1A72-97CA-4CA3-9BE4-E1B9AED9704F}"/>
    <hyperlink ref="T420" r:id="rId302" xr:uid="{48630DAC-EF94-41C1-8832-0AD3AA53704A}"/>
    <hyperlink ref="T426" r:id="rId303" xr:uid="{EDFC357D-D181-4BCD-9EA9-07FE071D092E}"/>
    <hyperlink ref="T425" r:id="rId304" xr:uid="{7EC1D617-93A4-4A6D-A6BE-BC8A5C6C3873}"/>
    <hyperlink ref="T424" r:id="rId305" xr:uid="{6F7BA2F4-AF59-4519-B1C9-D4CADE83D801}"/>
    <hyperlink ref="T423" r:id="rId306" xr:uid="{78E398AC-1474-4AB8-BE9C-87C4BDBE4BB3}"/>
    <hyperlink ref="T422" r:id="rId307" xr:uid="{4FF094F2-5EA1-482F-A524-EDB54AA1113D}"/>
    <hyperlink ref="T421" r:id="rId308" xr:uid="{AEF37215-5E0D-40C4-AA1D-B5FA7CE91DBD}"/>
    <hyperlink ref="T433" r:id="rId309" xr:uid="{1FC04319-5F5B-4FBC-8C94-D96E75F85506}"/>
    <hyperlink ref="T432" r:id="rId310" xr:uid="{C6D31C19-5197-4941-BD7B-A8790A6EF745}"/>
    <hyperlink ref="T431" r:id="rId311" xr:uid="{51717939-6A9B-49E0-A2CF-A0060DB30B31}"/>
    <hyperlink ref="T430" r:id="rId312" xr:uid="{1A5921F3-FBAE-45E7-A3B1-EEB32F4B28BF}"/>
    <hyperlink ref="T434" r:id="rId313" xr:uid="{32A9829D-7635-416D-8249-86B9CF6922E1}"/>
    <hyperlink ref="T435" r:id="rId314" xr:uid="{8096C324-83A7-4E31-90CD-BBDA6C479D2D}"/>
    <hyperlink ref="T437" r:id="rId315" xr:uid="{50701457-CA49-489F-B27D-F9E92EF3BCB9}"/>
    <hyperlink ref="T436" r:id="rId316" xr:uid="{D492758E-B3C6-4FBB-84E6-BB19A144E648}"/>
    <hyperlink ref="T439" r:id="rId317" xr:uid="{CBFC5A5C-B50A-4615-930A-711177A83D39}"/>
    <hyperlink ref="T438" r:id="rId318" xr:uid="{EA42C745-CAF3-41ED-A441-90B4D12A7240}"/>
    <hyperlink ref="T440" r:id="rId319" xr:uid="{1D11DC9C-2754-4380-9163-AA143008EB2E}"/>
    <hyperlink ref="T441" r:id="rId320" xr:uid="{E20D8D4E-8F42-419A-83E6-DFCDBD8B612B}"/>
    <hyperlink ref="T442" r:id="rId321" xr:uid="{E8423721-B2EA-48B4-996D-F99090C91E44}"/>
    <hyperlink ref="T449" r:id="rId322" xr:uid="{74266CD5-BFED-427D-A924-D3062877A574}"/>
    <hyperlink ref="T448" r:id="rId323" xr:uid="{81252B46-151B-461B-8279-FE05ECD3BB4F}"/>
    <hyperlink ref="T447" r:id="rId324" xr:uid="{B5623FC0-3D7D-4CC0-8648-84CD4258B135}"/>
    <hyperlink ref="T443" r:id="rId325" xr:uid="{3742CE06-42C2-457A-998D-4A5F615B93B4}"/>
    <hyperlink ref="T445" r:id="rId326" xr:uid="{36355900-AED7-4A3C-AB6C-8909F99CD37E}"/>
    <hyperlink ref="T446" r:id="rId327" xr:uid="{99E71BEF-3B06-40F3-BC06-7F4463BBE2D8}"/>
    <hyperlink ref="T444" r:id="rId328" xr:uid="{DB3E8D25-BEFF-4A2F-BFE1-544731567F4A}"/>
    <hyperlink ref="T350" r:id="rId329" display="https://1drv.ms/b/c/94bd56ed68f00427/IQBcy77SZCBoSK48quYa9k2hAa0Co5NkTUuRd0WOwgUWXR0?e=WAoT17" xr:uid="{74F03168-F230-4AD6-A57B-88D6426F72F2}"/>
    <hyperlink ref="T351" r:id="rId330" display="https://1drv.ms/b/c/94bd56ed68f00427/IQATZ1Du5PmqRqeFkjdMn4ugAQn0-kncF_vp4W-jG7EXEZ4?e=d7kPaM" xr:uid="{8501B008-5351-4226-858B-961A9A30AB75}"/>
    <hyperlink ref="T352" r:id="rId331" display="https://1drv.ms/b/c/94bd56ed68f00427/IQAjgLtaNFNFTLkINETDXFt3AbVmANvZup1vPtAZOAVz_Ag?e=3Cqq3V" xr:uid="{AAB70ECD-B514-488F-9FFB-0D82620738F1}"/>
    <hyperlink ref="T353" r:id="rId332" display="https://1drv.ms/b/c/94bd56ed68f00427/IQA8KNOvJS6hSq7IC68A1R68AUEVi3NM0AT9XbT6Y_Ufba4?e=et8vAu" xr:uid="{16CBFBE7-214D-421F-A25F-0AA996916B7B}"/>
    <hyperlink ref="T354" r:id="rId333" display="https://1drv.ms/b/c/94bd56ed68f00427/IQAhs8cx27YiRYwlncdD6GF9AUwBegcE09_W-yNT6umffMQ?e=8wMZcI" xr:uid="{6DAD10D2-F5F4-4E5B-BB75-728B823A3CEC}"/>
    <hyperlink ref="T355" r:id="rId334" display="https://1drv.ms/b/c/94bd56ed68f00427/IQACASTWEupWT7fzPBSvYzZoAavjDP3y4opSCGdv-hWyO8Q?e=fsJuK2" xr:uid="{9BEEE53D-139C-4645-B6C4-3E62851C8D3C}"/>
    <hyperlink ref="T356" r:id="rId335" display="https://1drv.ms/b/c/94bd56ed68f00427/IQBl5M2FfzKLSqIH_iBU2G2AAZ_0_xPlWk4c6UZud8NMpY8?e=qWj060" xr:uid="{4A12485A-44CF-480E-BB47-F7E0917365C1}"/>
    <hyperlink ref="T357" r:id="rId336" display="https://1drv.ms/b/c/94bd56ed68f00427/IQCDDW3mjYXkRqx660z8VLT8AR_88Eq4s78wB1XS7s_mUSM?e=q9Isi2" xr:uid="{2DA33D06-FEB9-4052-B5F7-7431CDECE583}"/>
    <hyperlink ref="T358" r:id="rId337" display="https://1drv.ms/b/c/94bd56ed68f00427/IQCDDW3mjYXkRqx660z8VLT8AR_88Eq4s78wB1XS7s_mUSM?e=q9Isi2" xr:uid="{3E7AF19A-775F-4F12-80D9-11F3707FE2B2}"/>
    <hyperlink ref="T359" r:id="rId338" display="https://1drv.ms/b/c/94bd56ed68f00427/IQCnsCzBN4rgSZNwRg9_jCvmAc-g4KCbc74GJiqtINIAGis?e=wsdtzB" xr:uid="{F85F0C8D-9144-4413-A1F1-2242B36763AE}"/>
    <hyperlink ref="T360" r:id="rId339" display="https://1drv.ms/b/c/94bd56ed68f00427/IQCnsCzBN4rgSZNwRg9_jCvmAc-g4KCbc74GJiqtINIAGis?e=wsdtzB" xr:uid="{66587E6D-4216-4A53-81B4-B52D35233A0D}"/>
    <hyperlink ref="T555" r:id="rId340" display="https://1drv.ms/b/c/94bd56ed68f00427/IQC0bCrQ7Y71QqwKJh0zyAUOAYhGRJ6BNl5naqAkcPj-zGE?e=u0VgXa" xr:uid="{43E05F07-E6A8-469A-A282-21BA8859FB73}"/>
    <hyperlink ref="T556" r:id="rId341" display="https://1drv.ms/b/c/94bd56ed68f00427/IQBSs9fhOMpCR4e-cxylTk3VAbyq-zpDdl2Lv35ZOoLkFaw?e=h9kWqe" xr:uid="{92612528-8F40-45DF-B154-3EAAC0D1CDDB}"/>
    <hyperlink ref="T557" r:id="rId342" display="https://1drv.ms/b/c/94bd56ed68f00427/IQAOtywn64cmSbkEhetangvXATxN9xknEcJjh4rMgSLDiZw?e=FdjK4f" xr:uid="{E70F6752-2F98-4B10-A98F-EB9415E6FDFC}"/>
    <hyperlink ref="T558" r:id="rId343" display="https://1drv.ms/b/c/94bd56ed68f00427/IQDjW1ahkVWoT5mdo3Gjl1lrAYTo5oyTL8Qbz_E7U19r5hY?e=OHJP3Z" xr:uid="{830F0BC6-CE18-45FE-985A-4EC791449663}"/>
    <hyperlink ref="T559" r:id="rId344" display="https://1drv.ms/b/c/94bd56ed68f00427/IQD_C5JoXal9Q7fT-xNKgG6gAdLeo9-tQGoo8V-FGErAbko?e=CHgmvP" xr:uid="{AA703810-E390-4B00-BF20-D0764612C4B3}"/>
    <hyperlink ref="T560" r:id="rId345" display="https://1drv.ms/b/c/94bd56ed68f00427/IQDsPkXx2NQ0Q7KwqGrUCp_3ATtfzxYApJ6gRFo4rjw0r7M?e=piuvCB" xr:uid="{3ED5BF95-9A93-4F92-B21A-6473B1D69330}"/>
    <hyperlink ref="H561" r:id="rId346" xr:uid="{082CF04D-2F7A-4952-8721-C41BDBE5905F}"/>
    <hyperlink ref="T561" r:id="rId347" display="https://1drv.ms/b/c/94bd56ed68f00427/IQCnKbhai1O-TKUKel0znbhQAQrUl9OSBKPGTBW8QR41iqc?e=FcxqYQ" xr:uid="{C052B390-719C-43A9-A144-8BCBE46E1DDF}"/>
    <hyperlink ref="T562:T574" r:id="rId348" display="https://1drv.ms/b/c/94bd56ed68f00427/IQCnKbhai1O-TKUKel0znbhQAQrUl9OSBKPGTBW8QR41iqc?e=FcxqYQ" xr:uid="{C2539D50-D6B3-41F4-8A07-C9AC3C31A357}"/>
    <hyperlink ref="H562:H574" r:id="rId349" display="toluwasanmi@may-bakerng.com;info@may-bakerng.com" xr:uid="{68530F55-2EC3-4032-AA92-88D342807330}"/>
    <hyperlink ref="T575" r:id="rId350" display="https://1drv.ms/b/c/94bd56ed68f00427/IQCZ1bQIrDT2SKtvskPCz8LtAQCxLKkS99rcE0C_AuxU1NE?e=7KNn89" xr:uid="{3D18832E-DA2D-4731-BF93-552AD8848C9F}"/>
    <hyperlink ref="T576:T578" r:id="rId351" display="https://1drv.ms/b/c/94bd56ed68f00427/IQCZ1bQIrDT2SKtvskPCz8LtAQCxLKkS99rcE0C_AuxU1NE?e=7KNn89" xr:uid="{BFEA72B6-A508-4081-B988-13B1937F6FCE}"/>
    <hyperlink ref="H575" r:id="rId352" xr:uid="{93BA1DEF-9005-4850-AE1F-0817A67FBC8A}"/>
    <hyperlink ref="H576" r:id="rId353" xr:uid="{D2CC1A25-BC23-48F7-AD6A-9AF64E6707AB}"/>
    <hyperlink ref="H577" r:id="rId354" xr:uid="{8803C469-2FA3-411A-9618-90B18747802B}"/>
    <hyperlink ref="H578" r:id="rId355" xr:uid="{583EE1E8-6295-484D-BDCB-063A5F1BFA23}"/>
    <hyperlink ref="H579" r:id="rId356" xr:uid="{FDDB6752-A634-4424-99F3-0427619472D7}"/>
    <hyperlink ref="H580" r:id="rId357" xr:uid="{39A8AAD7-3908-42AE-9361-7215F63E503C}"/>
    <hyperlink ref="T579" r:id="rId358" display="https://1drv.ms/b/c/94bd56ed68f00427/IQBMmJmNXoq6SITVGhYrIBbMAS501lyh-fw3EbjE42sXSNI?e=ncyGu2" xr:uid="{52E16D0E-A00A-42FB-8F1D-2CA4A9201EF3}"/>
    <hyperlink ref="H581" r:id="rId359" xr:uid="{F0E54513-D9E2-464F-9060-27B5CB3BE9FA}"/>
    <hyperlink ref="T580" r:id="rId360" display="https://1drv.ms/b/c/94bd56ed68f00427/IQDmPA6whq_XSbjP74fsDKAuAe5wDJJidmIHY4_ufXoL4_4?e=fZuIwE" xr:uid="{ABBCD755-E206-4701-A5A0-0AA0EA5095B5}"/>
    <hyperlink ref="T581" r:id="rId361" display="https://1drv.ms/b/c/94bd56ed68f00427/IQDmPA6whq_XSbjP74fsDKAuAe5wDJJidmIHY4_ufXoL4_4?e=fZuIwE" xr:uid="{FF762628-779E-4888-AD93-F225BDA58F61}"/>
    <hyperlink ref="H582" r:id="rId362" xr:uid="{9B8BCF91-F841-4FE0-9130-FF899927161C}"/>
    <hyperlink ref="T582" r:id="rId363" display="https://1drv.ms/b/c/94bd56ed68f00427/IQAIwkh4mh7mRplWUoL_b4M4ATQfi6lSzh0JdNv49Y24tXk?e=72395i" xr:uid="{87E19079-AA2E-4481-B43A-941D94D72B4C}"/>
    <hyperlink ref="H583" r:id="rId364" xr:uid="{D771AACF-A08A-493B-88CE-D03EB9885BEB}"/>
    <hyperlink ref="H584" r:id="rId365" xr:uid="{058067FF-5BDE-442B-8D25-937B2ECB2F10}"/>
    <hyperlink ref="H585" r:id="rId366" xr:uid="{E61F0899-2A14-4FC5-852F-9C529099E9DF}"/>
    <hyperlink ref="T583" r:id="rId367" display="https://1drv.ms/b/c/94bd56ed68f00427/IQAIwkh4mh7mRplWUoL_b4M4ATQfi6lSzh0JdNv49Y24tXk?e=72395i" xr:uid="{21CC59AD-1F60-43E0-A003-080CB922588B}"/>
    <hyperlink ref="T584" r:id="rId368" display="https://1drv.ms/b/c/94bd56ed68f00427/IQAIwkh4mh7mRplWUoL_b4M4ATQfi6lSzh0JdNv49Y24tXk?e=72395i" xr:uid="{B5E8A725-3DB3-4FB5-8E98-39C7E2D7DB25}"/>
    <hyperlink ref="T585" r:id="rId369" display="https://1drv.ms/b/c/94bd56ed68f00427/IQAIwkh4mh7mRplWUoL_b4M4ATQfi6lSzh0JdNv49Y24tXk?e=72395i" xr:uid="{72C7146A-F3F6-4619-BCAB-8A33742944FC}"/>
    <hyperlink ref="H586" r:id="rId370" xr:uid="{D410A6F3-F16D-4211-B0A9-AE68F3FACC80}"/>
    <hyperlink ref="H587" r:id="rId371" xr:uid="{A8AE8F9E-0F92-4A16-86B4-5A2D1D47BD99}"/>
    <hyperlink ref="T586" r:id="rId372" display="https://1drv.ms/b/c/94bd56ed68f00427/IQCwBBDJdzwRSZ_tIXkBNRzjATZTFkkmndXeIz5PNmw5ZnE?e=HTegT7" xr:uid="{F54F398D-080C-4DAF-B772-88155A7807D8}"/>
    <hyperlink ref="T587" r:id="rId373" display="https://1drv.ms/b/c/94bd56ed68f00427/IQCwBBDJdzwRSZ_tIXkBNRzjATZTFkkmndXeIz5PNmw5ZnE?e=HTegT7" xr:uid="{29C8DB26-17D4-403F-825D-D23DAFCF3EF7}"/>
    <hyperlink ref="T589" r:id="rId374" display="https://1drv.ms/b/c/94bd56ed68f00427/IQAlnCnUugPeRIGJSVLMFlehAVuiOH91foDgIL86JY12_JY?e=ZqGSyq" xr:uid="{44C4E2A7-C1F3-4234-83E3-9363E2415D72}"/>
    <hyperlink ref="T590:T593" r:id="rId375" display="https://1drv.ms/b/c/94bd56ed68f00427/IQAlnCnUugPeRIGJSVLMFlehAVuiOH91foDgIL86JY12_JY?e=ZqGSyq" xr:uid="{B7232720-C7ED-45B9-9FD4-7F8FF07D1836}"/>
    <hyperlink ref="H589" r:id="rId376" xr:uid="{B96075EC-0C41-4E28-BFEE-A02D7870FBE9}"/>
    <hyperlink ref="H590" r:id="rId377" xr:uid="{9051D934-6D6C-4AE9-83AE-E4379D34D102}"/>
    <hyperlink ref="H592" r:id="rId378" xr:uid="{7260759A-406C-4706-AC10-806A5FFE12A9}"/>
    <hyperlink ref="H593" r:id="rId379" xr:uid="{9739D9E6-7C5D-4E4E-B1A5-CF69DCAD6DD6}"/>
    <hyperlink ref="H588" r:id="rId380" xr:uid="{F0D4936A-668D-4D9B-8CE1-853277186578}"/>
    <hyperlink ref="T588" r:id="rId381" display="https://1drv.ms/b/c/94bd56ed68f00427/IQCwBBDJdzwRSZ_tIXkBNRzjATZTFkkmndXeIz5PNmw5ZnE?e=HTegT7" xr:uid="{42DEBCFF-042B-4C73-8C4E-268E98DA51FC}"/>
    <hyperlink ref="T591" r:id="rId382" display="https://1drv.ms/b/c/94bd56ed68f00427/IQAlnCnUugPeRIGJSVLMFlehAVuiOH91foDgIL86JY12_JY?e=ZqGSyq" xr:uid="{F403563C-41C9-49E3-A841-46EFD1B084FE}"/>
    <hyperlink ref="H591" r:id="rId383" xr:uid="{E7D33487-FE5A-4EE9-ABC2-B6F5264B7A51}"/>
    <hyperlink ref="T594" r:id="rId384" display="https://1drv.ms/b/c/94bd56ed68f00427/IQAlnCnUugPeRIGJSVLMFlehAVuiOH91foDgIL86JY12_JY?e=ZqGSyq" xr:uid="{2D6A86A5-9B94-4873-89B8-3F9D72C1DE01}"/>
    <hyperlink ref="H594" r:id="rId385" xr:uid="{B68BD042-72AC-4D74-9F92-58F3E49D00CA}"/>
    <hyperlink ref="H595" r:id="rId386" xr:uid="{6009CF40-A9DA-457B-8A7D-15BF11F655A0}"/>
    <hyperlink ref="H596" r:id="rId387" xr:uid="{1B4245DB-7048-4D37-BF8D-7B2D80962957}"/>
    <hyperlink ref="H597" r:id="rId388" xr:uid="{D18EB220-4210-4FAF-B44A-5B6FE6974047}"/>
    <hyperlink ref="T595" r:id="rId389" display="https://1drv.ms/b/c/94bd56ed68f00427/IQBwMDNP79e0TLdThgLDYc4ZAV3XXuwR4Uj_bQ2EB9yBXb4?e=MXaf9t" xr:uid="{7A4D3591-EFE1-4A59-90A0-F6E83FEE1387}"/>
    <hyperlink ref="T596:T597" r:id="rId390" display="https://1drv.ms/b/c/94bd56ed68f00427/IQBwMDNP79e0TLdThgLDYc4ZAV3XXuwR4Uj_bQ2EB9yBXb4?e=MXaf9t" xr:uid="{47FBE232-63BA-4C1A-B651-90757E9314D2}"/>
    <hyperlink ref="H598" r:id="rId391" xr:uid="{6EC2D71E-5826-40D5-AFA5-69D312632F6D}"/>
    <hyperlink ref="H599" r:id="rId392" xr:uid="{D9B3A06A-B1C2-4C85-BA44-EEF4894AD9D9}"/>
    <hyperlink ref="H600" r:id="rId393" xr:uid="{B84A0F13-7413-4E49-831C-85B0BBF9C363}"/>
    <hyperlink ref="H601" r:id="rId394" xr:uid="{6FBC4F44-444D-48D8-854C-293ADB60E223}"/>
    <hyperlink ref="H602" r:id="rId395" xr:uid="{16ACBF71-90BC-4FBC-A461-EE0A306DD758}"/>
    <hyperlink ref="H603" r:id="rId396" xr:uid="{D1153E9E-8198-4B2D-A9D7-893D60DE04B8}"/>
    <hyperlink ref="T604" r:id="rId397" display="https://1drv.ms/b/c/94bd56ed68f00427/IQDxBcuKpKxJTpXjdDNH7fszAYWqWa7gGja3mxVmVIsvEUY?e=eosGsq" xr:uid="{36A33D2B-5B77-4104-9C31-C2B2E72A5CB8}"/>
    <hyperlink ref="H604" r:id="rId398" xr:uid="{9AEDBDA1-4CF1-478E-B9BC-059FD485B8C8}"/>
    <hyperlink ref="H605" r:id="rId399" xr:uid="{EF02FAE0-2FDA-46AB-8909-3501E861E6DB}"/>
    <hyperlink ref="T605" r:id="rId400" display="https://1drv.ms/b/c/94bd56ed68f00427/IQDolDasY1zlRKloqM6W8d76AczEqJlkx2J6x77CkrQb3y4?e=9lDTCY" xr:uid="{0C42DBE9-B900-4980-8E12-C4A7DB63878B}"/>
    <hyperlink ref="H606" r:id="rId401" xr:uid="{25F5440E-2A13-44C2-AA84-D43FC4E2AC68}"/>
    <hyperlink ref="T606" r:id="rId402" display="https://1drv.ms/b/c/94bd56ed68f00427/IQBa4jjH09MLRYIi_-xqQmBHAYyzSXUe0MVKrqxhiuDd8NI?e=tdiAUA" xr:uid="{B89491D4-90DF-4260-AF7A-C0DE77A68CC2}"/>
    <hyperlink ref="H607" r:id="rId403" xr:uid="{D295EA46-29F1-415D-BA73-8FF32579B3BF}"/>
    <hyperlink ref="H608" r:id="rId404" xr:uid="{29038E92-124E-425D-B69F-DA2065AB0ED7}"/>
    <hyperlink ref="H609" r:id="rId405" xr:uid="{0E322FC6-5575-41FA-8E8B-44A67B7DF61C}"/>
    <hyperlink ref="H610" r:id="rId406" xr:uid="{1F690792-672A-4163-92C7-D629211C04CE}"/>
    <hyperlink ref="H611" r:id="rId407" xr:uid="{3C8D7B7F-A8DA-4172-8334-CB8B3B581623}"/>
    <hyperlink ref="H619" r:id="rId408" xr:uid="{29C07A72-F2BE-4EE7-8464-856BA6D557D6}"/>
    <hyperlink ref="T619" r:id="rId409" display="https://1drv.ms/b/c/94bd56ed68f00427/IQA86RnAinhuRIB6XekfY-U_AWkqPmE0mPe1dVDUv-fhAU0?e=YHmUuu" xr:uid="{8DCF1101-E07A-45B6-8428-A2EC6C239019}"/>
    <hyperlink ref="H620" r:id="rId410" xr:uid="{0360BCA0-3590-400E-A5B0-B7CAAC18ABE1}"/>
    <hyperlink ref="H621" r:id="rId411" xr:uid="{E8A0CDAE-A8F6-4FCA-A6A4-224D03B466D1}"/>
    <hyperlink ref="T620" r:id="rId412" display="https://1drv.ms/b/c/94bd56ed68f00427/IQA86RnAinhuRIB6XekfY-U_AWkqPmE0mPe1dVDUv-fhAU0?e=YHmUuu" xr:uid="{FB93F9C9-628F-4DDF-BD4B-E014CCB979B2}"/>
    <hyperlink ref="T621" r:id="rId413" display="https://1drv.ms/b/c/94bd56ed68f00427/IQA86RnAinhuRIB6XekfY-U_AWkqPmE0mPe1dVDUv-fhAU0?e=YHmUuu" xr:uid="{76192156-62E2-46BD-962D-66C722960E9C}"/>
    <hyperlink ref="H622" r:id="rId414" xr:uid="{9FE8DEE4-E117-42C0-A536-9253BBFB7927}"/>
    <hyperlink ref="H623" r:id="rId415" xr:uid="{134BE9B2-A272-4C8B-AB94-F72D4376FE08}"/>
    <hyperlink ref="H624" r:id="rId416" xr:uid="{BEC85EAE-6CB4-4946-B579-AB02C765A4ED}"/>
    <hyperlink ref="H625" r:id="rId417" xr:uid="{03538637-EA9C-4569-A136-61E9955332E0}"/>
    <hyperlink ref="H626" r:id="rId418" xr:uid="{B9DC61BE-70F4-432D-A344-124A04F89FC3}"/>
    <hyperlink ref="H627" r:id="rId419" xr:uid="{79BDD964-A733-4314-8FA6-68D7851B5E90}"/>
    <hyperlink ref="H628" r:id="rId420" xr:uid="{DA42DBCF-FDA8-4198-A108-47EB642D9C1B}"/>
    <hyperlink ref="T628" r:id="rId421" xr:uid="{3C9CE3AD-4CDF-48E3-A085-CCB3E3DEE903}"/>
    <hyperlink ref="T681" r:id="rId422" xr:uid="{485076A1-CCCF-47A3-8306-89E0F682F8DC}"/>
    <hyperlink ref="T682" r:id="rId423" xr:uid="{8A011FD0-DDB8-4AD8-89ED-DB2F2334DB91}"/>
    <hyperlink ref="T683" r:id="rId424" xr:uid="{8F4D1C47-AFAA-4B9C-9851-418BB5E70F18}"/>
    <hyperlink ref="T629" r:id="rId425" xr:uid="{FE240202-C16E-4DAD-BE21-E26C1BD4AA7A}"/>
    <hyperlink ref="T630" r:id="rId426" xr:uid="{4ED581D4-770C-41FA-84C8-682C6953F09D}"/>
    <hyperlink ref="H629" r:id="rId427" xr:uid="{BD660B5B-3299-4C9D-BFFF-42E0DF432EE8}"/>
    <hyperlink ref="H630" r:id="rId428" xr:uid="{0BE30F35-56C4-4959-A1E2-AC83B77DA3BA}"/>
    <hyperlink ref="H681" r:id="rId429" xr:uid="{CD6F789B-43C6-484D-9BDA-DC01E1B5BD05}"/>
    <hyperlink ref="T684" r:id="rId430" xr:uid="{E402C3CD-FA2F-48FE-8CFD-4971290046AE}"/>
    <hyperlink ref="T685" r:id="rId431" xr:uid="{E08AB6E8-9FAC-46BD-8226-0960ABB198E7}"/>
    <hyperlink ref="H685" r:id="rId432" xr:uid="{C52E62BB-F2A2-4CA7-8B32-135B1C487B7F}"/>
    <hyperlink ref="T686" r:id="rId433" xr:uid="{B0D25251-D59A-49A3-8129-1B7B3018CE2B}"/>
    <hyperlink ref="H688" r:id="rId434" xr:uid="{35FCFAB0-2F47-4F01-AC9A-0499EADB8017}"/>
    <hyperlink ref="T688" r:id="rId435" xr:uid="{AC5BD0D3-1EA3-40D2-9394-03742E51731B}"/>
    <hyperlink ref="T689" r:id="rId436" xr:uid="{DF2F2B4E-A07E-47D0-BE3D-C5BEC7318A6A}"/>
    <hyperlink ref="H689" r:id="rId437" xr:uid="{312EC06D-0C09-4C44-A606-16A40543C25C}"/>
    <hyperlink ref="H690" r:id="rId438" xr:uid="{004413FB-13BC-4FE5-B38F-7EA1DF55AB09}"/>
    <hyperlink ref="T690" r:id="rId439" xr:uid="{DC097E06-579E-40CC-B55B-4BF1300C905C}"/>
    <hyperlink ref="H691" r:id="rId440" xr:uid="{FF87433E-835A-469F-BF6F-0F352C228DFB}"/>
    <hyperlink ref="T691" r:id="rId441" xr:uid="{AE500428-5BB7-4346-B6F6-547C7953E5A7}"/>
    <hyperlink ref="T692" r:id="rId442" xr:uid="{BEE5ABD3-7C74-48D8-AED2-2C447CF45E42}"/>
    <hyperlink ref="T693" r:id="rId443" xr:uid="{474A4B29-0832-4684-A7B8-7702B6A86F5B}"/>
    <hyperlink ref="T694" r:id="rId444" xr:uid="{9469A9B5-F23F-4CF7-B34B-0865435877FD}"/>
    <hyperlink ref="H694" r:id="rId445" xr:uid="{D6AE8143-32FC-47A3-8AA7-12DB1E0D8B81}"/>
    <hyperlink ref="T695" r:id="rId446" xr:uid="{91F1BCDC-246B-4CD2-BC95-D470E3892D25}"/>
    <hyperlink ref="H695" r:id="rId447" xr:uid="{0D1C6E78-26AA-4F2B-AAF7-C771CC50303F}"/>
    <hyperlink ref="H696" r:id="rId448" xr:uid="{D2791C48-30B3-4B8F-8335-E9E48C3027B0}"/>
    <hyperlink ref="T696" r:id="rId449" xr:uid="{A0ED679E-58F4-47C0-8315-4230FD6DD8BB}"/>
    <hyperlink ref="T697" r:id="rId450" xr:uid="{C1EB0C57-7DC0-4EF9-B6C3-90F4BF38140F}"/>
    <hyperlink ref="T698" r:id="rId451" xr:uid="{672DF1B6-EE8A-40B7-A8CF-4B44ED2E9C9E}"/>
    <hyperlink ref="H698" r:id="rId452" xr:uid="{E8AE2007-7304-4A7E-8579-9251474D0282}"/>
    <hyperlink ref="T699" r:id="rId453" xr:uid="{D9770321-A4C8-47DC-869D-D1186AD7AC1D}"/>
    <hyperlink ref="H699" r:id="rId454" xr:uid="{71DA5F0E-0D26-4DAF-A764-ABAA9CCECD96}"/>
    <hyperlink ref="H463" r:id="rId455" xr:uid="{5390084B-3870-45F9-8C89-D47395F27193}"/>
    <hyperlink ref="H464" r:id="rId456" xr:uid="{005FE47F-C003-42E8-96D4-8A470983623A}"/>
    <hyperlink ref="H465" r:id="rId457" xr:uid="{E9B7C905-1C6D-48C6-976A-1B0AC2B3BDAE}"/>
    <hyperlink ref="H466" r:id="rId458" xr:uid="{034144E3-A316-49D6-91D8-165418BC4841}"/>
    <hyperlink ref="H467" r:id="rId459" xr:uid="{3D8548CC-6246-47DE-A1F9-090B4F9DAC75}"/>
    <hyperlink ref="H468" r:id="rId460" xr:uid="{AE74050A-78F0-44B5-9630-6509DE427136}"/>
    <hyperlink ref="H469" r:id="rId461" xr:uid="{F2BAB005-DFD2-441A-BFF7-3F2573ABCE48}"/>
    <hyperlink ref="H470" r:id="rId462" xr:uid="{EE883091-61DC-468C-A186-6FEFB2EB20A4}"/>
    <hyperlink ref="H472" r:id="rId463" xr:uid="{648E749E-6921-48BF-8BA2-19F688CCE703}"/>
    <hyperlink ref="H700" r:id="rId464" xr:uid="{5D19178A-1B90-48B8-9D34-B849C88E5612}"/>
    <hyperlink ref="T700" r:id="rId465" xr:uid="{94D757B3-FF23-4BBB-BB8E-CD9E8E86DF10}"/>
    <hyperlink ref="T701" r:id="rId466" xr:uid="{E84AD9FC-59CD-49EA-9BEC-09CFAF606AA8}"/>
    <hyperlink ref="H473" r:id="rId467" xr:uid="{B1B461F5-4DD4-42C8-A925-B283A37303BA}"/>
    <hyperlink ref="H474" r:id="rId468" xr:uid="{14A7DD26-4D6D-4FE1-B1AB-3A674419B566}"/>
    <hyperlink ref="H475" r:id="rId469" xr:uid="{DDB99EAD-3082-4D6F-8C09-C26364426BB3}"/>
    <hyperlink ref="H476" r:id="rId470" xr:uid="{72A73D16-B8AB-48D3-B426-1963691C793E}"/>
    <hyperlink ref="T702" r:id="rId471" xr:uid="{E6E8760F-64F8-43D4-879D-3712BBD68F0C}"/>
    <hyperlink ref="T703" r:id="rId472" xr:uid="{6FFC7FB5-6BC9-40FB-A1BB-EB6F4DFA03FB}"/>
    <hyperlink ref="H477" r:id="rId473" xr:uid="{BE51F863-5C9C-4AA9-9610-35D8DF088ECC}"/>
    <hyperlink ref="H478" r:id="rId474" xr:uid="{A8A9FD0B-4770-417E-B34C-A564E433991A}"/>
    <hyperlink ref="H479" r:id="rId475" xr:uid="{67C4FE9E-BDB9-41AC-8F96-74D4082BA8DD}"/>
    <hyperlink ref="H481" r:id="rId476" xr:uid="{2EFEA0E6-F1FA-4932-9B27-2E82560079ED}"/>
    <hyperlink ref="T631" r:id="rId477" display="https://1drv.ms/b/c/94bd56ed68f00427/IQBD29FexwXlT7ZZJsGblWxuAYSRm5DtqqGy_Qul6jASbBE?e=Hxdh6n" xr:uid="{81E25E31-2D1A-400C-8EAC-FDBA69CA5E2A}"/>
    <hyperlink ref="T632" r:id="rId478" display="https://1drv.ms/b/c/94bd56ed68f00427/IQBD29FexwXlT7ZZJsGblWxuAYSRm5DtqqGy_Qul6jASbBE?e=Hxdh6n" xr:uid="{9E4EE058-8CB7-4B3B-8BD8-6C985318D8C7}"/>
    <hyperlink ref="T633" r:id="rId479" display="https://1drv.ms/b/c/94bd56ed68f00427/IQCd8XRREfr7Sp8pOfXfazLnAQuFxS7KC-xqLtOyxF5E6pA?e=D9YP1K" xr:uid="{C7528EB4-E2DE-44DE-B527-3CD310DE5920}"/>
    <hyperlink ref="T634" r:id="rId480" display="https://1drv.ms/b/c/94bd56ed68f00427/IQBqW6SvW9hAQokE59OcwTxoAdE-bwp-OaR1sOgznkGZK94?e=63uVLB" xr:uid="{6B6667B1-94C1-4796-BAF6-B207B7430D6E}"/>
    <hyperlink ref="T635:T636" r:id="rId481" display="https://1drv.ms/b/c/94bd56ed68f00427/IQBqW6SvW9hAQokE59OcwTxoAdE-bwp-OaR1sOgznkGZK94?e=63uVLB" xr:uid="{A22FB9C3-B2DD-4F1E-8355-0A742ABA7C84}"/>
    <hyperlink ref="T637" r:id="rId482" display="https://1drv.ms/b/c/94bd56ed68f00427/IQBlEdeNtUwDS4tmvBOkpy61Ad-gJ63dPgiJk_JF37kHWZg?e=4ioqxF" xr:uid="{D2E7D546-F8C5-4218-A30F-ED49C47B2E06}"/>
    <hyperlink ref="T638" r:id="rId483" display="https://1drv.ms/b/c/94bd56ed68f00427/IQBlEdeNtUwDS4tmvBOkpy61Ad-gJ63dPgiJk_JF37kHWZg?e=4ioqxF" xr:uid="{DEE17F47-B950-4A3B-A0D3-48BB7D2F5A7B}"/>
    <hyperlink ref="T639" r:id="rId484" display="https://1drv.ms/b/c/94bd56ed68f00427/IQCwIC43VfeIQ5sRjbdENihSATLGvCp-zl2_0nOaw5l1zQQ?e=fs9PuG" xr:uid="{30FA9E80-84D1-45CA-B12B-68DC44E9F1B2}"/>
    <hyperlink ref="H484" r:id="rId485" xr:uid="{8187B98A-6DBB-44F6-81C1-1034ADEB22D1}"/>
    <hyperlink ref="T640" r:id="rId486" display="https://1drv.ms/b/c/94bd56ed68f00427/IQB0am11uNylSqQtez0oHukzAVndV0VOHzskIOR84D4F1Nc?e=YRrYTq" xr:uid="{2E4BFA61-C364-412E-A317-BDC79365D0A5}"/>
    <hyperlink ref="T641" r:id="rId487" display="https://1drv.ms/b/c/94bd56ed68f00427/IQDDTB0GOKb9SpKCll7ER5kAARZ_6370giZtz9BoHAsHAuo?e=KagXal" xr:uid="{BAE0154B-0033-4978-AE35-993321AAE62F}"/>
    <hyperlink ref="H482" r:id="rId488" xr:uid="{39ED2656-3F24-40B1-A0FF-172FF0C7E24F}"/>
    <hyperlink ref="T642" r:id="rId489" display="https://1drv.ms/b/c/94bd56ed68f00427/IQD7FRTRMlItQowtTtfSQFzdAZISl6BSH3oEJBlWC48ioWk?e=ZoXGc2" xr:uid="{5981F857-D6F0-4AAF-95F9-E016AA9AA7A2}"/>
    <hyperlink ref="H483" r:id="rId490" xr:uid="{2D68FEA1-46BB-4222-BA48-614701FD9A08}"/>
    <hyperlink ref="H639" r:id="rId491" display="https://1drv.ms/b/c/94bd56ed68f00427/IQCwIC43VfeIQ5sRjbdENihSATLGvCp-zl2_0nOaw5l1zQQ?e=fs9PuG" xr:uid="{E15DDF30-225E-487F-9F79-CC764E4D600C}"/>
    <hyperlink ref="H640" r:id="rId492" display="https://1drv.ms/b/c/94bd56ed68f00427/IQCwIC43VfeIQ5sRjbdENihSATLGvCp-zl2_0nOaw5l1zQQ?e=fs9PuG" xr:uid="{E9758F5B-4F32-4A42-9D15-4C15A05B3415}"/>
    <hyperlink ref="H641" r:id="rId493" display="https://1drv.ms/b/c/94bd56ed68f00427/IQCwIC43VfeIQ5sRjbdENihSATLGvCp-zl2_0nOaw5l1zQQ?e=fs9PuG" xr:uid="{052FF39A-5454-45EC-B47E-C8ADE622F6E6}"/>
    <hyperlink ref="H642" r:id="rId494" display="https://1drv.ms/b/c/94bd56ed68f00427/IQCwIC43VfeIQ5sRjbdENihSATLGvCp-zl2_0nOaw5l1zQQ?e=fs9PuG" xr:uid="{839027EA-E9E5-4F6A-8C51-8EE6E9CE4FD8}"/>
    <hyperlink ref="H643" r:id="rId495" xr:uid="{2F25B538-2723-4ABF-9236-873B35C229C2}"/>
    <hyperlink ref="T643" r:id="rId496" display="https://1drv.ms/b/c/94bd56ed68f00427/IQCTZ_MDNEcLRrkTYFtji2hHAQYN5xfQFhYHxWIMWlhDpwk?e=m7Fbvt" xr:uid="{4563D3B9-AE99-4CE0-8AAF-CDDD93CEC2ED}"/>
    <hyperlink ref="T644" r:id="rId497" display="https://1drv.ms/b/c/94bd56ed68f00427/IQAI8VNjuHrXSYr6KUg2XvKxAbJewvtI2DUSTxhgb5WF0fQ?e=gPdD6T" xr:uid="{1568E186-B0C4-4D03-89F9-5A3493EFD252}"/>
    <hyperlink ref="H644" r:id="rId498" xr:uid="{0BACED6C-C7EA-4921-95BD-B98316BBBBB1}"/>
    <hyperlink ref="T645" r:id="rId499" display="https://1drv.ms/b/c/94bd56ed68f00427/IQAI8VNjuHrXSYr6KUg2XvKxAbJewvtI2DUSTxhgb5WF0fQ?e=gPdD6T" xr:uid="{5A6E6131-E1FF-44DB-9530-9291BD0C0166}"/>
    <hyperlink ref="H645" r:id="rId500" xr:uid="{C103A300-760F-469F-8B63-CA96ECDABE69}"/>
    <hyperlink ref="T646" r:id="rId501" display="https://1drv.ms/b/c/94bd56ed68f00427/IQBYHNn3ecigRI-xS3hZ65HaAcdJJ3tRRwHk6Pu_xA4M4p0?e=5gkKdV" xr:uid="{912798E9-851A-4F77-A006-5FF4E957C4B4}"/>
    <hyperlink ref="T647" r:id="rId502" display="https://1drv.ms/b/c/94bd56ed68f00427/IQBYHNn3ecigRI-xS3hZ65HaAcdJJ3tRRwHk6Pu_xA4M4p0?e=5gkKdV" xr:uid="{51CBB6DF-0431-4FE7-896F-27CAA229D158}"/>
    <hyperlink ref="T648" r:id="rId503" display="https://1drv.ms/b/c/94bd56ed68f00427/IQBYHNn3ecigRI-xS3hZ65HaAcdJJ3tRRwHk6Pu_xA4M4p0?e=5gkKdV" xr:uid="{F772C46E-FB87-437D-82CA-FB382A5CC822}"/>
    <hyperlink ref="T649" r:id="rId504" display="https://1drv.ms/b/c/94bd56ed68f00427/IQBYHNn3ecigRI-xS3hZ65HaAcdJJ3tRRwHk6Pu_xA4M4p0?e=5gkKdV" xr:uid="{51E1A5E5-465E-4055-96D0-1935CD041493}"/>
    <hyperlink ref="T650" r:id="rId505" display="https://1drv.ms/b/c/94bd56ed68f00427/IQBYHNn3ecigRI-xS3hZ65HaAcdJJ3tRRwHk6Pu_xA4M4p0?e=5gkKdV" xr:uid="{844EBCD9-58D8-442E-AA53-7BFBCE8855AE}"/>
    <hyperlink ref="H485" r:id="rId506" xr:uid="{F5DC126D-AB1B-4ADD-92E9-A9B5F2212CF2}"/>
    <hyperlink ref="H486" r:id="rId507" xr:uid="{9E3990C1-F50A-44F3-90DC-AFC9D9CCA19E}"/>
    <hyperlink ref="H487" r:id="rId508" xr:uid="{383725BF-10DF-4810-B141-801B8640F4F7}"/>
    <hyperlink ref="T651" r:id="rId509" display="https://1drv.ms/b/c/94bd56ed68f00427/IQDT-jy3C62jSJufkSCER2uoAWsqpfDIX-2ypClSMd0QNvI?e=m0JjlW" xr:uid="{C8938DE4-95D8-409C-8F59-6C16B54B2F9A}"/>
    <hyperlink ref="T652" r:id="rId510" display="https://1drv.ms/b/c/94bd56ed68f00427/IQBzAJ1yd6o8QaVqQbPY7J-xASIMm2hN6wssmIi9pQzZNq0?e=EkAsc6" xr:uid="{E81C04D8-50BE-4BFB-B319-08CE1A3517FE}"/>
    <hyperlink ref="H651" r:id="rId511" display="https://1drv.ms/b/c/94bd56ed68f00427/IQBzAJ1yd6o8QaVqQbPY7J-xASIMm2hN6wssmIi9pQzZNq0?e=EkAsc6" xr:uid="{886E75B5-8AF4-45F8-9983-D568F1DA1025}"/>
    <hyperlink ref="H652" r:id="rId512" display="https://1drv.ms/b/c/94bd56ed68f00427/IQBzAJ1yd6o8QaVqQbPY7J-xASIMm2hN6wssmIi9pQzZNq0?e=EkAsc6" xr:uid="{1F9818B4-C176-41C4-906B-4DBE858050F9}"/>
    <hyperlink ref="T653" r:id="rId513" display="https://1drv.ms/b/c/94bd56ed68f00427/IQAxaBv5SV5OTql57vRYY2UmAeSK15biITgIQKDaxClxk6o?e=3hhugM" xr:uid="{19A9FF1E-44B2-4470-ABA6-384413B31259}"/>
    <hyperlink ref="H653" r:id="rId514" xr:uid="{199257D9-1F3D-4ED8-8980-2739E7614CFF}"/>
    <hyperlink ref="H488" r:id="rId515" xr:uid="{E423DFE4-A8C2-4EB6-85E5-8D2B591440FF}"/>
    <hyperlink ref="T654" r:id="rId516" display="https://1drv.ms/b/c/94bd56ed68f00427/IQAxaBv5SV5OTql57vRYY2UmAeSK15biITgIQKDaxClxk6o?e=3hhugM" xr:uid="{9BF64DCF-CEF0-474B-8A08-E731298DC3F1}"/>
    <hyperlink ref="H654" r:id="rId517" xr:uid="{19270491-F2CE-4B32-97E1-DA24115F98D4}"/>
    <hyperlink ref="H655" r:id="rId518" display="https://1drv.ms/b/c/94bd56ed68f00427/IQBzAJ1yd6o8QaVqQbPY7J-xASIMm2hN6wssmIi9pQzZNq0?e=EkAsc6" xr:uid="{D533134C-4EE4-4FAA-9C4F-E1545BC0173F}"/>
    <hyperlink ref="T656" r:id="rId519" display="https://1drv.ms/b/c/94bd56ed68f00427/IQDVH1ZeCy0tQ4vN1Y6PfPqXAeufbeYwLknUp2mPzHxwH9k?e=CdbkTl" xr:uid="{AA374DDF-1B88-476E-A481-DC7CB2025684}"/>
    <hyperlink ref="T655" r:id="rId520" display="https://1drv.ms/b/c/94bd56ed68f00427/IQDCG1PupMr6TZDUD-k-rVqzAY8Oc-Hy-D5hFD8I47m71gA?e=2bD3q9" xr:uid="{E8D7B5CB-F574-4B4A-8D59-EE795848107D}"/>
    <hyperlink ref="T657" r:id="rId521" display="https://1drv.ms/b/c/94bd56ed68f00427/IQD_192XoVMUR6bcsjib7wmgAaWktNXwJrH097sFi3cI5Oo?e=PKboOU" xr:uid="{A8EEE46A-1EFC-4F1D-864E-44FAF67D3809}"/>
    <hyperlink ref="H657" r:id="rId522" display="https://1drv.ms/b/c/94bd56ed68f00427/IQBzAJ1yd6o8QaVqQbPY7J-xASIMm2hN6wssmIi9pQzZNq0?e=EkAsc6" xr:uid="{056D4207-8655-4A91-BCC6-59F86993F8AF}"/>
    <hyperlink ref="H489" r:id="rId523" xr:uid="{8E210177-83D3-4F0B-AE14-ED35D812D828}"/>
    <hyperlink ref="H490" r:id="rId524" xr:uid="{48199D81-49E4-4BB9-8C40-F4B28348A6B8}"/>
    <hyperlink ref="T658" r:id="rId525" display="https://1drv.ms/b/c/94bd56ed68f00427/IQAMwfCuip8rSaE2H3Jj1-GUAa5Uu_ViOjdyz5PLXiCF7U4?e=orGCD8" xr:uid="{4BC76653-D662-4A55-96F9-9BEBD51CABB0}"/>
    <hyperlink ref="H658" r:id="rId526" display="https://1drv.ms/b/c/94bd56ed68f00427/IQBzAJ1yd6o8QaVqQbPY7J-xASIMm2hN6wssmIi9pQzZNq0?e=EkAsc6" xr:uid="{FBC1D03C-CD54-4B93-A549-BDF9A972F925}"/>
    <hyperlink ref="H491" r:id="rId527" xr:uid="{07F15B48-FE56-4C67-A24A-6A81062D6DB4}"/>
    <hyperlink ref="H492" r:id="rId528" xr:uid="{61F60AC9-F199-48AB-86B6-566539C8075D}"/>
    <hyperlink ref="H659" r:id="rId529" xr:uid="{534DB199-DCE1-403D-B834-4B151B98D194}"/>
    <hyperlink ref="T659" r:id="rId530" display="https://1drv.ms/b/c/94bd56ed68f00427/IQB6g5Z72t8AS4TlLQ293gxHAfYHmArpeSiKBNINsGrTpvw?e=VIXpCW" xr:uid="{B9988C39-357E-47F1-B61D-F181E2971471}"/>
    <hyperlink ref="H660" r:id="rId531" xr:uid="{8A39B77A-DEC6-4618-AE88-873A17C126C3}"/>
    <hyperlink ref="T660" r:id="rId532" display="https://1drv.ms/b/c/94bd56ed68f00427/IQBCE1XqSyXtRZ-OjZwXXUouAaywMh41gXOFU9LaBjdAmUg?e=XyrcsP" xr:uid="{0C460130-8245-48FE-B684-72AD7E0020E1}"/>
    <hyperlink ref="T661" r:id="rId533" display="https://1drv.ms/b/c/94bd56ed68f00427/IQBCE1XqSyXtRZ-OjZwXXUouAaywMh41gXOFU9LaBjdAmUg?e=XyrcsP" xr:uid="{8E565984-5E1F-493C-A848-6A2DF600ACC9}"/>
    <hyperlink ref="H661" r:id="rId534" xr:uid="{8A3C25A5-B1B7-474B-8D98-B81A33C2040D}"/>
    <hyperlink ref="H496" r:id="rId535" xr:uid="{838F0C6F-3E2A-4A7D-8E25-645649F38D8B}"/>
    <hyperlink ref="H497" r:id="rId536" xr:uid="{14E248EE-178F-4827-81A5-55A71052AB6A}"/>
    <hyperlink ref="H498" r:id="rId537" xr:uid="{EF53A180-3C6D-49EB-A3BB-611FB89B1FFE}"/>
    <hyperlink ref="H499" r:id="rId538" xr:uid="{56D4FE95-FB04-458D-A0F4-2BDD33BFA585}"/>
    <hyperlink ref="H500" r:id="rId539" xr:uid="{B1600F84-AF58-4B89-9AE3-2B3AA5D4197F}"/>
    <hyperlink ref="H501" r:id="rId540" xr:uid="{461D23F4-7840-481C-B863-487E635B67B8}"/>
    <hyperlink ref="H502" r:id="rId541" xr:uid="{3A23937E-1F13-4F70-8516-B460C67845F5}"/>
    <hyperlink ref="H503" r:id="rId542" xr:uid="{EA19FF64-2EE0-47A1-8484-1AC962CA32B7}"/>
    <hyperlink ref="H504" r:id="rId543" xr:uid="{FD538E99-F52F-4519-8D9C-5FA7E5B8CFB7}"/>
    <hyperlink ref="H505" r:id="rId544" xr:uid="{AE9132D9-96C0-43EA-8F9F-503BE049C7BC}"/>
    <hyperlink ref="H506" r:id="rId545" xr:uid="{755C11F0-9FD8-4221-BDFA-A447E89D3C4D}"/>
    <hyperlink ref="H507" r:id="rId546" xr:uid="{536FD0A9-EDE0-4AF7-BEB8-9AAFA8BDDE4D}"/>
    <hyperlink ref="H508" r:id="rId547" xr:uid="{F4D822EB-EAC9-4320-B874-42B7D1E1E3F0}"/>
    <hyperlink ref="H509" r:id="rId548" xr:uid="{4CD51539-BD81-40E1-88CE-4FA993390494}"/>
    <hyperlink ref="H510" r:id="rId549" xr:uid="{0980AD3D-0185-4BCF-B8A7-A23AA5BE9A88}"/>
    <hyperlink ref="H511" r:id="rId550" xr:uid="{F3852AF6-4DDE-49B0-86B1-6C424E740CCB}"/>
    <hyperlink ref="H512" r:id="rId551" xr:uid="{02BC2C20-57CA-47BE-82A8-A335A6296C6E}"/>
    <hyperlink ref="H513" r:id="rId552" xr:uid="{53932485-A22C-4D1A-BADE-D4D22E536981}"/>
    <hyperlink ref="H514" r:id="rId553" xr:uid="{0454B77F-FBC0-419E-906E-D503A9F111BE}"/>
    <hyperlink ref="H515" r:id="rId554" xr:uid="{C9F78536-D8CD-4DFB-8039-AEF74CA85D14}"/>
    <hyperlink ref="H516" r:id="rId555" xr:uid="{4F526911-D482-446C-8A08-3013AA16B555}"/>
    <hyperlink ref="H517" r:id="rId556" xr:uid="{93E7D0C0-C31E-4FDD-BE26-77628B5F3FDE}"/>
    <hyperlink ref="H518" r:id="rId557" xr:uid="{3376F604-C7A7-4BBB-8324-6688BE6D4FE6}"/>
    <hyperlink ref="H519" r:id="rId558" xr:uid="{BEBBDEC4-12AA-4955-8070-92B1F8A681C9}"/>
    <hyperlink ref="H520" r:id="rId559" xr:uid="{E5896134-DA3A-4D78-B49D-3534A4CADC32}"/>
    <hyperlink ref="H521" r:id="rId560" xr:uid="{0AC7A3D6-627D-45D3-A914-EE66808067F8}"/>
    <hyperlink ref="H522" r:id="rId561" xr:uid="{71FFCCC3-68D1-45C3-9C6C-576C83C07F11}"/>
    <hyperlink ref="H525" r:id="rId562" xr:uid="{908257A7-2CDB-485F-A2FD-D27FFCBEF9B2}"/>
    <hyperlink ref="H530" r:id="rId563" xr:uid="{B904E871-3CEE-4253-846E-5F4E357F121C}"/>
    <hyperlink ref="H529" r:id="rId564" xr:uid="{9573F9D0-4E32-4881-B2C3-4F388FED234F}"/>
    <hyperlink ref="H528" r:id="rId565" xr:uid="{3D5A6646-3BBA-4A75-8924-61AB0F13994E}"/>
    <hyperlink ref="H527" r:id="rId566" xr:uid="{4ADF858B-5997-4C78-B433-3F942D8F7353}"/>
    <hyperlink ref="H526" r:id="rId567" xr:uid="{02E493D3-84E4-4EC5-BC7B-5DC53C09803E}"/>
    <hyperlink ref="H523" r:id="rId568" xr:uid="{608BDA37-4F0A-4E9F-890F-D67093622FEE}"/>
    <hyperlink ref="H531" r:id="rId569" xr:uid="{8482DAEC-CFF4-4903-AB75-41C7622C9EB3}"/>
    <hyperlink ref="H532" r:id="rId570" xr:uid="{23FB0555-1870-470C-B097-D7F6CA2177D7}"/>
    <hyperlink ref="H533" r:id="rId571" xr:uid="{06A202C3-F0EB-446A-BE94-05B2780B61BC}"/>
    <hyperlink ref="H538" r:id="rId572" xr:uid="{AFF1EE5F-1AE1-4174-B92E-611E79C43AD5}"/>
    <hyperlink ref="H534" r:id="rId573" xr:uid="{09BDB317-32A8-4083-9CD4-4F985E0313C4}"/>
    <hyperlink ref="H535" r:id="rId574" xr:uid="{5BC2E4FE-CFF2-4DBF-B8B2-3C12EE326F80}"/>
    <hyperlink ref="H536" r:id="rId575" xr:uid="{C7731BA9-1455-449A-9545-84AFFC4146CD}"/>
    <hyperlink ref="H537" r:id="rId576" xr:uid="{576BF37C-CC99-469D-85E3-D6D10CF74260}"/>
    <hyperlink ref="H539" r:id="rId577" xr:uid="{A25BD566-D52B-4CD3-B4A5-782C9BDFAEE7}"/>
    <hyperlink ref="H544" r:id="rId578" xr:uid="{0D389F88-9EC9-438B-8937-4FB38443DD6C}"/>
    <hyperlink ref="T704" r:id="rId579" xr:uid="{61282AAC-04B1-4FE1-8315-1360BAD9F40D}"/>
    <hyperlink ref="H704" r:id="rId580" xr:uid="{D776997A-AC30-4125-B68B-B2B924C5E902}"/>
    <hyperlink ref="T705" r:id="rId581" xr:uid="{BB906FA9-248E-45B3-9DB7-84B9F3697CA4}"/>
    <hyperlink ref="H706" r:id="rId582" xr:uid="{9DAE801B-1415-445C-B137-93347334D978}"/>
    <hyperlink ref="T706" r:id="rId583" xr:uid="{E802F81C-548A-417E-BC9B-73323221660B}"/>
    <hyperlink ref="T707" r:id="rId584" xr:uid="{1EE6CAD8-769A-4AA1-B390-A002FBE690A4}"/>
    <hyperlink ref="T708" r:id="rId585" xr:uid="{950621E1-8555-40F4-9B5C-22671CF8280D}"/>
    <hyperlink ref="H708" r:id="rId586" xr:uid="{91AF28E2-CFEF-448C-A00D-4CF717F034BE}"/>
    <hyperlink ref="T709" r:id="rId587" xr:uid="{97246A02-285E-413A-A79C-9D8B95F8586C}"/>
    <hyperlink ref="H709" r:id="rId588" xr:uid="{2A8EEAA0-F766-4903-948F-EF9DA2168829}"/>
    <hyperlink ref="H710" r:id="rId589" xr:uid="{7725F18E-A23A-4B15-99C8-4519BC311FF9}"/>
    <hyperlink ref="T710" r:id="rId590" xr:uid="{573C509E-088B-407B-89E3-98B96E8D4F70}"/>
    <hyperlink ref="T711" r:id="rId591" xr:uid="{AA784F7B-45BE-45B3-956F-13D419850411}"/>
    <hyperlink ref="H711" r:id="rId592" xr:uid="{C637B6ED-150A-4629-99FD-1FF52D00A402}"/>
    <hyperlink ref="T712" r:id="rId593" xr:uid="{6682DD64-126F-4B05-829A-70C421FEC215}"/>
    <hyperlink ref="H712" r:id="rId594" xr:uid="{C7145BD7-C812-45A4-A97A-53351687CB29}"/>
    <hyperlink ref="T713" r:id="rId595" xr:uid="{45C8E1B2-4F66-4E7D-A62E-E293D13F569D}"/>
    <hyperlink ref="H713" r:id="rId596" xr:uid="{B4140C80-4870-4B2B-BA5C-2E48516AD00E}"/>
    <hyperlink ref="T714" r:id="rId597" xr:uid="{60E47F11-FE8D-49F2-8793-D31C74923F3A}"/>
    <hyperlink ref="T715" r:id="rId598" xr:uid="{100E6D57-7836-46CE-B923-6BF75A7FE24B}"/>
    <hyperlink ref="T716" r:id="rId599" xr:uid="{EE9508DD-713B-4907-926F-B0AF626ECE98}"/>
    <hyperlink ref="T717" r:id="rId600" xr:uid="{8EA68289-D22A-48C8-8384-45824A4AF6D7}"/>
    <hyperlink ref="T718" r:id="rId601" xr:uid="{489C20C6-A983-4C79-B429-75BBC0860A1B}"/>
    <hyperlink ref="T719" r:id="rId602" xr:uid="{756C79E2-0465-47CE-B87D-738D1789BDF3}"/>
    <hyperlink ref="H719" r:id="rId603" xr:uid="{10A7F778-D651-4608-8DFE-806CEBD4F536}"/>
    <hyperlink ref="H718" r:id="rId604" xr:uid="{36219651-C585-446F-A653-E3E55A8F3B4B}"/>
    <hyperlink ref="H717" r:id="rId605" xr:uid="{515DB74C-5FAE-4F56-B9AD-4819C9F1B74B}"/>
    <hyperlink ref="H716" r:id="rId606" xr:uid="{C14C3864-4C5D-46F8-81FD-4956B5B57F04}"/>
    <hyperlink ref="H715" r:id="rId607" xr:uid="{65E10115-F674-4D98-8B3D-DFCCF24D50BE}"/>
    <hyperlink ref="H714" r:id="rId608" xr:uid="{9D6C255B-77DB-4D73-B99D-91A3F5DDF68E}"/>
    <hyperlink ref="T720" r:id="rId609" xr:uid="{00084A80-24B5-4961-8E92-848BD93EB1F1}"/>
    <hyperlink ref="H720" r:id="rId610" xr:uid="{9F08D2CE-9A97-4028-8C61-719878CCB9A3}"/>
    <hyperlink ref="T721" r:id="rId611" xr:uid="{3B07626E-D6E7-4A94-B6A7-075BFDFD73CE}"/>
    <hyperlink ref="H721" r:id="rId612" xr:uid="{9EE79704-33A5-4C88-9D65-1554F0A22C11}"/>
    <hyperlink ref="H722" r:id="rId613" xr:uid="{BB916775-EA39-4661-A87D-16088ED5D7E4}"/>
    <hyperlink ref="H723" r:id="rId614" xr:uid="{49B623DA-A15C-4B48-AE33-AA6A91E36BB9}"/>
    <hyperlink ref="H724" r:id="rId615" xr:uid="{1311E0A8-3EB6-4046-857F-F3F0F209D72E}"/>
    <hyperlink ref="T722" r:id="rId616" xr:uid="{851AF73A-BE6C-46C4-B41D-DA91C74647D6}"/>
    <hyperlink ref="T723" r:id="rId617" xr:uid="{0D6A0221-CB82-448D-8BEE-234F5197C900}"/>
    <hyperlink ref="H450" r:id="rId618" xr:uid="{1843E1F4-F270-4F72-8ECF-1C29553B909F}"/>
    <hyperlink ref="H451" r:id="rId619" xr:uid="{265C81CF-B702-4B52-B929-5088F3834EBD}"/>
    <hyperlink ref="T724" r:id="rId620" xr:uid="{031EF246-AE36-4A4B-A479-A4E6F2FD5D01}"/>
    <hyperlink ref="T450" r:id="rId621" xr:uid="{BA854E2A-AA4D-4DC0-8742-40B4C5BA3C82}"/>
    <hyperlink ref="T725" r:id="rId622" xr:uid="{27212A6D-5B37-4CBE-B037-30680E6AB290}"/>
    <hyperlink ref="H725" r:id="rId623" xr:uid="{36FEB407-2A2B-4FF7-AEE6-AEDCFE5FF42C}"/>
    <hyperlink ref="T451" r:id="rId624" xr:uid="{D23D2EE5-AE4C-4C80-B4DB-4531DED7C000}"/>
    <hyperlink ref="H460" r:id="rId625" xr:uid="{B65CEB5C-AB89-4503-BB44-61051338CD88}"/>
    <hyperlink ref="T726" r:id="rId626" xr:uid="{ACC2D861-ADB2-43C7-A872-9C2EAE602719}"/>
    <hyperlink ref="H726" r:id="rId627" xr:uid="{65DDA592-07A7-4FA2-885D-6688C97DADC7}"/>
    <hyperlink ref="H461" r:id="rId628" xr:uid="{35F3D842-8734-470B-8662-5BB35D26DC08}"/>
    <hyperlink ref="H462" r:id="rId629" xr:uid="{26702AF1-DE44-40C2-B78B-4E07C41B9AC0}"/>
    <hyperlink ref="H727" r:id="rId630" xr:uid="{AB81CB34-A292-4CEF-9307-324860571334}"/>
    <hyperlink ref="T727" r:id="rId631" xr:uid="{11BF096E-A0FA-4F45-9CC1-FC0844675168}"/>
    <hyperlink ref="H454" r:id="rId632" xr:uid="{9B53E2DD-900F-44BA-8615-341755A30494}"/>
    <hyperlink ref="H456" r:id="rId633" xr:uid="{3CC29528-9817-493C-93DB-E246B5DA94B6}"/>
    <hyperlink ref="H457" r:id="rId634" xr:uid="{50219439-E5E9-4CC5-8E47-4E0490AE9D3F}"/>
    <hyperlink ref="H458" r:id="rId635" xr:uid="{757D6351-02BA-49BA-8597-6D0CB80C0A70}"/>
    <hyperlink ref="T728" r:id="rId636" xr:uid="{20B771C1-054E-49F5-A49B-775D8B32F113}"/>
    <hyperlink ref="H728" r:id="rId637" xr:uid="{AFAF68DD-E84E-4284-9CD0-D207C5832F45}"/>
    <hyperlink ref="H729" r:id="rId638" xr:uid="{A106B09D-276B-4EB7-9E32-EC061B771330}"/>
    <hyperlink ref="T729" r:id="rId639" xr:uid="{F33D3C9C-7EB4-40E6-999A-3FB0D98B2750}"/>
    <hyperlink ref="T730" r:id="rId640" xr:uid="{8BD38279-0C21-4BE1-A086-E476E9E027F7}"/>
    <hyperlink ref="T731" r:id="rId641" xr:uid="{6E50E2E6-5658-4ACC-8F9C-56F18A6A7C1D}"/>
    <hyperlink ref="H732" r:id="rId642" xr:uid="{675B36F6-52BA-4D69-9E64-80160F508401}"/>
    <hyperlink ref="T732" r:id="rId643" xr:uid="{B18F05C9-C145-473F-9431-9BFACF92021D}"/>
    <hyperlink ref="T733" r:id="rId644" xr:uid="{4CA5B5D0-8695-4587-80A3-A24600A7E8C7}"/>
    <hyperlink ref="H733" r:id="rId645" xr:uid="{639276C9-9E3E-46E2-BF16-EC8440BCB7E9}"/>
    <hyperlink ref="T734" r:id="rId646" xr:uid="{70A0B333-226A-42CF-8417-97DDC33B1124}"/>
    <hyperlink ref="T735" r:id="rId647" xr:uid="{FAB7BA80-F2E3-469F-93E1-64355EE827FA}"/>
    <hyperlink ref="T736" r:id="rId648" xr:uid="{4C6153B4-F4D6-4EA5-978C-4528D0994DD0}"/>
    <hyperlink ref="T737" r:id="rId649" xr:uid="{6487AA9A-6346-4971-A544-B84E7F9EF63A}"/>
    <hyperlink ref="H340" r:id="rId650" xr:uid="{E48619C9-C16F-43C7-96FB-48C85465B0E2}"/>
    <hyperlink ref="H341" r:id="rId651" xr:uid="{2F2766E1-C0C8-4BA3-85C7-0983DA56511E}"/>
    <hyperlink ref="H342" r:id="rId652" xr:uid="{3EFC4005-792D-47D5-AF51-A370BD76EF90}"/>
    <hyperlink ref="H343" r:id="rId653" xr:uid="{376FC006-9020-4492-9566-FB30DEE3F0BB}"/>
    <hyperlink ref="H344" r:id="rId654" xr:uid="{1AA9E7E1-DED1-4A9B-8549-338003921574}"/>
    <hyperlink ref="H345" r:id="rId655" xr:uid="{63118202-A6C8-42DE-8C22-02979E0857A2}"/>
    <hyperlink ref="H346" r:id="rId656" xr:uid="{1D5AB558-CC74-4432-8BB7-A97E7D55DCC7}"/>
    <hyperlink ref="H348" r:id="rId657" xr:uid="{51690917-6836-44E1-B04A-C9E2C01CB546}"/>
    <hyperlink ref="H350" r:id="rId658" xr:uid="{80B89CA4-34C2-440E-874D-630BED393C5E}"/>
    <hyperlink ref="H352" r:id="rId659" xr:uid="{679A4DE2-9145-4DE2-BDC3-FCE0432B069C}"/>
    <hyperlink ref="H353" r:id="rId660" xr:uid="{FEFCDC37-234A-4E8E-BEE3-96F0200C1A54}"/>
    <hyperlink ref="H355" r:id="rId661" xr:uid="{E81BB47E-2FF3-463C-8FB3-A698ED38D8B4}"/>
    <hyperlink ref="H354" r:id="rId662" xr:uid="{94AB9F0F-F51F-43F4-99D4-85ED35528AFF}"/>
    <hyperlink ref="H356" r:id="rId663" xr:uid="{94147CD0-2664-4312-A773-46F8EBA260A8}"/>
    <hyperlink ref="H359" r:id="rId664" xr:uid="{00C8DD9F-4234-4912-B224-482AC25BD74E}"/>
    <hyperlink ref="H360" r:id="rId665" xr:uid="{64E87351-912B-4702-9E35-D40EA5A530FD}"/>
    <hyperlink ref="H363" r:id="rId666" xr:uid="{49D8BFD8-F9AA-48DD-A475-E74C15FF0EB4}"/>
    <hyperlink ref="H364" r:id="rId667" xr:uid="{6DF96B24-D454-4010-AD72-51D244315790}"/>
    <hyperlink ref="H367" r:id="rId668" xr:uid="{509A0760-8F07-450E-B89E-1D8232B6AA5B}"/>
    <hyperlink ref="H368" r:id="rId669" xr:uid="{44CC4164-76C5-4FD6-A88F-2EDDD41DF33C}"/>
    <hyperlink ref="H365" r:id="rId670" xr:uid="{56D02A6C-2FE8-4328-B516-D7E83BED2EDA}"/>
    <hyperlink ref="H366" r:id="rId671" xr:uid="{7531D018-1896-483E-9E94-31F548007FEE}"/>
    <hyperlink ref="H17" r:id="rId672" xr:uid="{7E192224-0C81-452F-8A25-AE266ABB1BEA}"/>
    <hyperlink ref="H18" r:id="rId673" xr:uid="{1429BD55-1843-4BE8-BE17-8AB53301CCD0}"/>
    <hyperlink ref="H19" r:id="rId674" xr:uid="{369E9405-FAF6-4C58-8332-8E8784A2B169}"/>
    <hyperlink ref="H20" r:id="rId675" xr:uid="{EC7D1BE9-165E-4500-A0A1-79E8642EB6F7}"/>
    <hyperlink ref="H369" r:id="rId676" xr:uid="{6FFACFC7-D278-4FA3-A3DE-803A63839A4B}"/>
    <hyperlink ref="H370" r:id="rId677" xr:uid="{E73363A6-314B-4CF8-8F4B-B32DA085E04D}"/>
    <hyperlink ref="H371" r:id="rId678" xr:uid="{6AA16D8B-2528-4D99-8C04-74EAB838F68E}"/>
    <hyperlink ref="H374" r:id="rId679" xr:uid="{36FB1ACA-CDC1-4717-BAFE-F15C561B21C9}"/>
    <hyperlink ref="H375" r:id="rId680" xr:uid="{B6A55196-6DEA-4792-8A43-C4175BEC2705}"/>
    <hyperlink ref="H21" r:id="rId681" xr:uid="{9E2577AF-A7FB-4985-915C-523953A1414A}"/>
    <hyperlink ref="H31" r:id="rId682" xr:uid="{ED59B539-9B28-4AEB-BA33-C5BDFE0CC186}"/>
    <hyperlink ref="H30" r:id="rId683" xr:uid="{78ADE989-8B30-4557-8348-03445D89E551}"/>
    <hyperlink ref="H29" r:id="rId684" xr:uid="{7A6D76ED-4421-466B-9FD2-CA1D624E9D3B}"/>
    <hyperlink ref="H28" r:id="rId685" xr:uid="{B06633B0-043F-4818-94AC-7876F88A4AA3}"/>
    <hyperlink ref="H27" r:id="rId686" xr:uid="{8D21ECAB-3DB6-46C2-8C19-ACEF861D7403}"/>
    <hyperlink ref="H26" r:id="rId687" xr:uid="{793C680B-1AEE-4694-934C-8433DAEDC5D8}"/>
    <hyperlink ref="H25" r:id="rId688" xr:uid="{EE20E869-B91A-4592-916B-AC786D7BD52C}"/>
    <hyperlink ref="H24" r:id="rId689" xr:uid="{B6E1F86E-1B43-4A81-99D7-B8198A8C618F}"/>
    <hyperlink ref="H23" r:id="rId690" xr:uid="{5D997252-C555-435D-AFBD-26937748C686}"/>
    <hyperlink ref="H22" r:id="rId691" xr:uid="{F78D39CD-31FC-44D5-8112-C43634C6351A}"/>
    <hyperlink ref="H378" r:id="rId692" xr:uid="{B27F25E9-B703-4C57-986B-96B244C89F03}"/>
    <hyperlink ref="H377" r:id="rId693" xr:uid="{A71FBC75-B22A-4025-9EC2-9EF91BDBFDAC}"/>
    <hyperlink ref="H376" r:id="rId694" xr:uid="{0FC6CFAD-B972-4A6B-A2BD-76B69B837020}"/>
    <hyperlink ref="H40" r:id="rId695" xr:uid="{D21956C7-9480-43D6-833E-78420BEFAE8A}"/>
    <hyperlink ref="H41" r:id="rId696" xr:uid="{AD8C284B-1CA5-4C0D-ABB6-E7B2746D7081}"/>
    <hyperlink ref="H380" r:id="rId697" xr:uid="{BC417B97-57A2-4C89-B035-C887C52345E6}"/>
    <hyperlink ref="H381" r:id="rId698" xr:uid="{5C716A45-6929-4C40-B920-8EC81DFC2A4E}"/>
    <hyperlink ref="H45" r:id="rId699" xr:uid="{37A841C8-806B-4FF9-B7C8-8D8EC72ACAFF}"/>
    <hyperlink ref="H48" r:id="rId700" xr:uid="{F803457D-16DC-4E9F-97E3-82F5CC39C00E}"/>
    <hyperlink ref="H49" r:id="rId701" xr:uid="{A78D9D42-EB7E-499C-8ECD-06C3CA07ACD1}"/>
    <hyperlink ref="H50" r:id="rId702" xr:uid="{B36514BE-44CB-4C74-BA18-5A34CE558160}"/>
    <hyperlink ref="H51" r:id="rId703" xr:uid="{8171BEEE-C5BA-42E1-8B66-12EE8143A0E2}"/>
    <hyperlink ref="H52" r:id="rId704" xr:uid="{5E5BB020-D9CE-4EA2-882D-B8F668509F1F}"/>
    <hyperlink ref="H53" r:id="rId705" xr:uid="{63B85250-7A08-40C8-99C8-FCD517F99F21}"/>
    <hyperlink ref="H54" r:id="rId706" xr:uid="{7B66210A-B24B-4149-A307-32B71185E944}"/>
    <hyperlink ref="H55" r:id="rId707" xr:uid="{7455994A-7A6A-45B7-AC2E-D33C016B8F72}"/>
    <hyperlink ref="H58" r:id="rId708" xr:uid="{FD828E16-5E78-48DA-9379-B3212CFB173A}"/>
    <hyperlink ref="H59" r:id="rId709" xr:uid="{BD86F534-2E43-4B0E-9D3F-01BB79ED9D12}"/>
    <hyperlink ref="H392" r:id="rId710" xr:uid="{8C3B5FA7-468E-4701-A0E5-0BFFDBA12F47}"/>
    <hyperlink ref="H391" r:id="rId711" xr:uid="{E2A5B1DC-8DE1-42FB-89D6-4FFBFC963FB6}"/>
    <hyperlink ref="H390" r:id="rId712" xr:uid="{BE83FEBE-7E31-4844-8AD3-7E65D7FFCACB}"/>
    <hyperlink ref="H389" r:id="rId713" xr:uid="{34B84760-77AC-4D6A-9E9E-C1FC8AB54A28}"/>
    <hyperlink ref="H388" r:id="rId714" xr:uid="{4D9142FA-9429-4871-A63B-F56AFF5AC5F2}"/>
    <hyperlink ref="H387" r:id="rId715" xr:uid="{E5317F3F-A811-40EB-ADB3-D35046563F36}"/>
    <hyperlink ref="H386" r:id="rId716" xr:uid="{16DF00F7-02BC-4494-8B07-0A89325AA4B8}"/>
    <hyperlink ref="H384" r:id="rId717" xr:uid="{28E09889-CE84-439D-AC14-2D20B170809B}"/>
    <hyperlink ref="H383" r:id="rId718" xr:uid="{2CE4A891-E3E1-4D74-B527-89E8FC21BA08}"/>
    <hyperlink ref="H393" r:id="rId719" xr:uid="{AFF7B36F-C6A2-4A0D-8CA5-223085303D3C}"/>
    <hyperlink ref="H60" r:id="rId720" xr:uid="{A2B13FED-3F46-48AE-82A4-7187C5B64016}"/>
    <hyperlink ref="H61" r:id="rId721" xr:uid="{CB259241-11F9-4BD1-A1A8-5E828391C1E1}"/>
    <hyperlink ref="H62" r:id="rId722" xr:uid="{B31D3470-C213-4D3D-9D09-4CE2A156FD68}"/>
    <hyperlink ref="H63" r:id="rId723" xr:uid="{F16E7A17-BCFD-4CCF-B85B-CD16DEA0961A}"/>
    <hyperlink ref="H394" r:id="rId724" xr:uid="{A3305BBE-469D-444A-A57A-96218F4F1EB2}"/>
    <hyperlink ref="H395" r:id="rId725" xr:uid="{F2A939A0-E619-4F72-A0C7-0211532B2F09}"/>
    <hyperlink ref="H397" r:id="rId726" xr:uid="{FD0638B8-FB75-4B34-AF03-84088C0CCE2F}"/>
    <hyperlink ref="H398" r:id="rId727" xr:uid="{662FA4FD-F50E-4F8B-9011-EA6BDC137660}"/>
    <hyperlink ref="H97" r:id="rId728" xr:uid="{5818FE0E-5090-44E0-97AF-1C236665E7D1}"/>
    <hyperlink ref="H98" r:id="rId729" xr:uid="{25E88A00-60E1-4492-AB18-D0B6EE07BB4A}"/>
    <hyperlink ref="H396" r:id="rId730" xr:uid="{2818E032-0FC1-4051-87EA-1B39DEAFF254}"/>
    <hyperlink ref="H405" r:id="rId731" xr:uid="{B74E6713-C1E1-415D-B03C-87AAEA5BF669}"/>
    <hyperlink ref="H406" r:id="rId732" xr:uid="{BC9B8453-8FC8-49AC-95F1-E4BB6A9AEB67}"/>
    <hyperlink ref="H407" r:id="rId733" xr:uid="{5E448BFE-A049-4DDB-B507-E257AF364CB1}"/>
    <hyperlink ref="H408" r:id="rId734" xr:uid="{360EDF06-BED3-488E-A5B8-C113ECBDE04F}"/>
    <hyperlink ref="H409" r:id="rId735" xr:uid="{2F880346-5C59-41ED-B882-492418EEA5F0}"/>
    <hyperlink ref="H413" r:id="rId736" xr:uid="{1AAC163D-473E-4D40-9803-0ECBB423985A}"/>
    <hyperlink ref="H412" r:id="rId737" xr:uid="{23802D3B-215B-4058-B8E0-F52A02674418}"/>
    <hyperlink ref="H411" r:id="rId738" xr:uid="{0A8AB376-6D58-4DEF-B6AD-50E3E069F95C}"/>
    <hyperlink ref="H410" r:id="rId739" xr:uid="{174BC609-B750-4F1A-B843-419A1B96DB91}"/>
    <hyperlink ref="H414" r:id="rId740" xr:uid="{81504C0E-725A-4F37-A60B-4832C1C5EA8E}"/>
    <hyperlink ref="H415" r:id="rId741" xr:uid="{BFF87810-6CF9-4BFC-B67B-F2F91F8CD815}"/>
    <hyperlink ref="H421" r:id="rId742" xr:uid="{34E495BC-46D5-40EC-A36E-D5DB27E2157F}"/>
    <hyperlink ref="H422" r:id="rId743" xr:uid="{44EE15AF-BBD5-463C-BFA8-6AC4168D67F6}"/>
    <hyperlink ref="H423" r:id="rId744" xr:uid="{D6A0E5E1-4838-4575-9206-E1484180740D}"/>
    <hyperlink ref="H425" r:id="rId745" xr:uid="{EF7AEAE6-2FD8-40AC-AC0E-8C0E307E1723}"/>
    <hyperlink ref="H382" r:id="rId746" xr:uid="{AA822A1C-A8F8-4D5B-AEA8-A853D51EEC4D}"/>
    <hyperlink ref="H420" r:id="rId747" xr:uid="{ABDA9E04-A5A7-474B-97AA-AE3BCC8971A2}"/>
    <hyperlink ref="H427" r:id="rId748" xr:uid="{E98D32FE-9675-4F71-BD76-E458FF61D052}"/>
    <hyperlink ref="H428" r:id="rId749" xr:uid="{31635B80-0FFD-4724-AF19-B6C2F4A66255}"/>
    <hyperlink ref="H429" r:id="rId750" xr:uid="{1AF2C72A-1036-4C9A-9873-4B33DC4D0351}"/>
    <hyperlink ref="H436" r:id="rId751" xr:uid="{915DE5D0-1D8B-46EF-A2C6-C2BEEB3B80F8}"/>
    <hyperlink ref="H437" r:id="rId752" xr:uid="{85AFF83A-8F8C-44F5-8206-2E2AF35E44A6}"/>
    <hyperlink ref="H441" r:id="rId753" xr:uid="{FC796729-51FD-46BA-A9B2-63D6A0878AEC}"/>
    <hyperlink ref="H442" r:id="rId754" xr:uid="{10230BF7-6C91-48CD-B06D-B1B4D15D292D}"/>
    <hyperlink ref="H444" r:id="rId755" xr:uid="{2C779899-98B5-4C3F-8BF9-EAB6D5B8A1CD}"/>
    <hyperlink ref="H440" r:id="rId756" xr:uid="{E5BE292D-8561-49C4-858E-7B691804264E}"/>
    <hyperlink ref="H445" r:id="rId757" xr:uid="{327215CF-A208-478F-81A5-C69263DF77D9}"/>
    <hyperlink ref="H493" r:id="rId758" xr:uid="{99EACBA1-5750-468E-BA22-D9CBB9B91ACB}"/>
    <hyperlink ref="H494" r:id="rId759" xr:uid="{3274604B-3807-4F3A-A8C7-E2776E138B3F}"/>
    <hyperlink ref="H495" r:id="rId760" xr:uid="{38B37FB1-694E-437E-BFD8-7ADA649A44F6}"/>
    <hyperlink ref="H459" r:id="rId761" xr:uid="{EF699254-9249-4E66-A6F0-CD06F33219E4}"/>
    <hyperlink ref="H471" r:id="rId762" xr:uid="{DB111D32-E98B-4938-BA1B-3D28A2023623}"/>
    <hyperlink ref="T456" r:id="rId763" xr:uid="{BA5B18AC-D719-40A9-A71C-D5DFFB0F8669}"/>
    <hyperlink ref="T463" r:id="rId764" xr:uid="{ED1B0809-63BE-4A94-B70C-6B3A0056C4C3}"/>
    <hyperlink ref="T464" r:id="rId765" xr:uid="{962312DB-BE55-40E7-9F8B-E506B840785E}"/>
    <hyperlink ref="T454" r:id="rId766" xr:uid="{24C0B126-0AFE-4C61-BEBF-1A6C366C49A3}"/>
    <hyperlink ref="T453" r:id="rId767" xr:uid="{13A6FCAD-FE3D-4BD0-B572-27A2FD6284E6}"/>
    <hyperlink ref="T452" r:id="rId768" xr:uid="{1DABABE0-C846-4DE7-AA21-A796D05C7090}"/>
    <hyperlink ref="T457" r:id="rId769" xr:uid="{44AE3631-10FF-44C5-ACD1-04C3422B5809}"/>
    <hyperlink ref="T459" r:id="rId770" xr:uid="{89A643CC-A650-40E8-8690-BFCA1A5E209A}"/>
    <hyperlink ref="T460" r:id="rId771" xr:uid="{343345A9-2D13-462A-B0DB-9AB76395C718}"/>
    <hyperlink ref="T458" r:id="rId772" xr:uid="{8A7F4A41-AF51-4C88-9E2B-1B888BBB2CF4}"/>
    <hyperlink ref="T461" r:id="rId773" xr:uid="{CC9ACCC5-B039-49B3-AAE2-B607CE6684B8}"/>
    <hyperlink ref="T462" r:id="rId774" xr:uid="{BC1FBADE-4C91-4FBD-9FE9-55970CC40FEB}"/>
    <hyperlink ref="T465" r:id="rId775" xr:uid="{2D8D29C5-8597-40EB-A293-1CA01733CAF8}"/>
    <hyperlink ref="T466" r:id="rId776" xr:uid="{552C70A2-2094-45D3-B5ED-811F44DB67AB}"/>
    <hyperlink ref="T467" r:id="rId777" xr:uid="{A6EDCF6A-7FA7-4087-BC0F-C04C99C86CA0}"/>
    <hyperlink ref="T468" r:id="rId778" xr:uid="{B30A79BB-28F5-4508-BE16-96D23A93A935}"/>
    <hyperlink ref="T469" r:id="rId779" xr:uid="{C56F392B-42D4-4B86-AE92-90BF7E265D75}"/>
    <hyperlink ref="T470" r:id="rId780" xr:uid="{92F18AA3-8BC3-4560-98E5-5882FA477D3E}"/>
    <hyperlink ref="T471" r:id="rId781" xr:uid="{962FF7F7-D9FB-4106-9B78-9AC7BA49DD08}"/>
    <hyperlink ref="T472" r:id="rId782" xr:uid="{E53C7217-8181-49A9-B455-39C4C2B97FAA}"/>
    <hyperlink ref="T473" r:id="rId783" xr:uid="{3C4A6BD8-F646-4DF5-A4FB-FB9A79A43003}"/>
    <hyperlink ref="T475" r:id="rId784" xr:uid="{8E288830-4428-4645-81BB-FD15F2128370}"/>
    <hyperlink ref="T474" r:id="rId785" xr:uid="{86CF0EFF-903F-43DB-B171-8A832FCE6924}"/>
    <hyperlink ref="T476" r:id="rId786" xr:uid="{744D43F4-F3DA-44B1-8468-482AB8877191}"/>
    <hyperlink ref="T477" r:id="rId787" xr:uid="{2D419369-4B99-4979-BCCD-5A25409AD949}"/>
    <hyperlink ref="T478" r:id="rId788" xr:uid="{3D9D4843-D62E-4164-B324-3DC14455F82C}"/>
    <hyperlink ref="T479" r:id="rId789" xr:uid="{5321A9FB-1D6F-47A1-A020-F8AD30A87B83}"/>
    <hyperlink ref="T480" r:id="rId790" xr:uid="{2F307040-3A49-4F0E-8ABB-2E8A5D588289}"/>
    <hyperlink ref="T481" r:id="rId791" xr:uid="{829FED8A-B659-4900-BF03-EE1FF907CF67}"/>
    <hyperlink ref="T482" r:id="rId792" xr:uid="{BF6CC5F7-CA48-4319-BC8B-AA123173DAA5}"/>
    <hyperlink ref="T483" r:id="rId793" xr:uid="{EE70C752-CF0D-450A-AC97-3691B1E321B0}"/>
    <hyperlink ref="T484" r:id="rId794" xr:uid="{C54D40BF-B5A8-4755-A9B5-10DC78C24FFC}"/>
    <hyperlink ref="T485" r:id="rId795" xr:uid="{15F9D87A-CB58-4C27-8132-1AD7D578C08D}"/>
    <hyperlink ref="T486" r:id="rId796" xr:uid="{12A14AED-6391-475A-AADB-700BBB02D854}"/>
    <hyperlink ref="T487" r:id="rId797" xr:uid="{1CAD03D3-A719-4B6A-BBE4-8EF85FA7002B}"/>
    <hyperlink ref="T488" r:id="rId798" xr:uid="{46F1CCA9-F227-4665-9BF5-49B125675A8E}"/>
    <hyperlink ref="T489" r:id="rId799" xr:uid="{27C6040E-830E-4482-AFCC-575A99F678A3}"/>
    <hyperlink ref="T490" r:id="rId800" xr:uid="{DB653EDE-AC16-4DD0-9688-B950F456A00D}"/>
    <hyperlink ref="T491" r:id="rId801" xr:uid="{8B1663E1-4D5B-482C-8CD3-BB3E784079C0}"/>
    <hyperlink ref="T492" r:id="rId802" xr:uid="{4A7FF053-BE04-4CC7-B30E-6B462E6BE9E2}"/>
    <hyperlink ref="T493" r:id="rId803" xr:uid="{62028E05-42EE-4082-8F6F-4693FFBE8309}"/>
    <hyperlink ref="T494" r:id="rId804" xr:uid="{71B63F91-2771-421B-81E2-B0D2EDB946CC}"/>
    <hyperlink ref="T495" r:id="rId805" xr:uid="{1A9996A0-A1FC-4C6A-8006-C59FFE03F7BF}"/>
    <hyperlink ref="T496" r:id="rId806" xr:uid="{1941825D-6230-4B0A-944F-4CC649C5FD22}"/>
    <hyperlink ref="T497" r:id="rId807" xr:uid="{B0F2C738-94D3-4327-AC0B-F4438AAB38C6}"/>
    <hyperlink ref="T498" r:id="rId808" xr:uid="{FA6C0C87-AA4D-4371-8C8E-90732BA53977}"/>
    <hyperlink ref="T499" r:id="rId809" xr:uid="{A19CD3F4-B322-488E-B2E5-0863CFD7846C}"/>
    <hyperlink ref="H524" r:id="rId810" xr:uid="{89D07057-50FC-4153-ACF8-4370C522E1A9}"/>
    <hyperlink ref="T500" r:id="rId811" xr:uid="{BA0CC257-C15A-436F-92C4-C858C8518AC8}"/>
    <hyperlink ref="T501" r:id="rId812" xr:uid="{3DCF62F4-7432-4167-9819-F436561F3BCE}"/>
    <hyperlink ref="T502" r:id="rId813" xr:uid="{95CB6929-2261-4032-82B3-C9421308AA56}"/>
    <hyperlink ref="T503" r:id="rId814" xr:uid="{4836AF10-C6D1-4C41-9D84-7713E166CCD6}"/>
    <hyperlink ref="T504" r:id="rId815" xr:uid="{9ABBC7B8-F5DB-4239-A6FE-AE27B8BC0D38}"/>
    <hyperlink ref="T508" r:id="rId816" xr:uid="{B0A99F4F-91E8-45D1-BB96-5D9357C1463E}"/>
    <hyperlink ref="T507" r:id="rId817" xr:uid="{BB05F4DC-46F6-43F0-9C40-ED37AD1A1320}"/>
    <hyperlink ref="H449" r:id="rId818" xr:uid="{C239477F-E2A6-4984-9241-DAE38AEE894B}"/>
    <hyperlink ref="H448" r:id="rId819" xr:uid="{C6C8F560-7F86-4032-B265-B4AADED10388}"/>
    <hyperlink ref="H447" r:id="rId820" xr:uid="{F293E232-79E4-4F3A-85F1-EE4D9E002393}"/>
    <hyperlink ref="T518" r:id="rId821" xr:uid="{4D2DE71A-AB75-4BB2-A1C5-B161752D1AF3}"/>
    <hyperlink ref="T517" r:id="rId822" xr:uid="{475161E7-60AC-44F5-9CE5-D7520A7CE596}"/>
    <hyperlink ref="H99" r:id="rId823" xr:uid="{353FAD45-F81C-4FDB-99B8-2ED940E3BE72}"/>
    <hyperlink ref="H100" r:id="rId824" xr:uid="{287F923F-E729-47BB-96F0-00CDB03ADCCB}"/>
    <hyperlink ref="T519" r:id="rId825" xr:uid="{479DAA98-4DA4-4001-9FFF-58D6F6C19ECA}"/>
    <hyperlink ref="T520" r:id="rId826" xr:uid="{585A56E4-A9F8-4455-B402-976D291FE864}"/>
    <hyperlink ref="H108" r:id="rId827" xr:uid="{82A03AF9-A77C-4E86-AF16-66B5897A3792}"/>
    <hyperlink ref="H109" r:id="rId828" xr:uid="{2A121238-90E3-4CC5-80B1-B7AA2E972210}"/>
    <hyperlink ref="T521" r:id="rId829" xr:uid="{634DA485-EADA-48B9-A6E5-B05EC4DADD15}"/>
    <hyperlink ref="T522" r:id="rId830" xr:uid="{1789F934-D89A-4ED7-8F9C-ACD88B0C9E0F}"/>
    <hyperlink ref="T523" r:id="rId831" xr:uid="{B1276D2E-AD51-4382-A7EF-F2A5B4E7E7D1}"/>
    <hyperlink ref="T524" r:id="rId832" xr:uid="{FECC670F-026B-4D93-8853-1DB71A6E4D41}"/>
    <hyperlink ref="T525" r:id="rId833" xr:uid="{8ADDC5F6-F40F-4B9C-ACA0-D1302187008C}"/>
    <hyperlink ref="T526" r:id="rId834" xr:uid="{E1AD906F-2439-4130-8BBA-D851BE5DB2D7}"/>
    <hyperlink ref="T527" r:id="rId835" xr:uid="{7CB3B57F-0D16-4896-8B97-0335A0ADD5FC}"/>
    <hyperlink ref="T528" r:id="rId836" xr:uid="{1E4086A9-4941-4598-A0AF-D262D7933FD4}"/>
    <hyperlink ref="T529" r:id="rId837" xr:uid="{817785A4-B32C-46A3-B6BA-B636EC25846E}"/>
    <hyperlink ref="T530" r:id="rId838" xr:uid="{ED7B7F5D-07B2-4A41-A5F5-CC7AF324C49A}"/>
    <hyperlink ref="T531" r:id="rId839" xr:uid="{28269DE8-EC77-4880-97F6-E144D0FADD63}"/>
    <hyperlink ref="T532" r:id="rId840" xr:uid="{86340032-DF7C-49FF-B637-791C5E95C269}"/>
    <hyperlink ref="T538" r:id="rId841" xr:uid="{18B6D7FC-6413-4CEF-A927-EB2FCFD498A8}"/>
    <hyperlink ref="T537" r:id="rId842" xr:uid="{529238A7-BBF1-4A54-975F-7861D687F14F}"/>
    <hyperlink ref="T536" r:id="rId843" xr:uid="{DC1BBC0A-0A57-43DD-A430-4AC658285963}"/>
    <hyperlink ref="T535" r:id="rId844" xr:uid="{931F7F13-55DA-44DC-88FD-3A566A63675E}"/>
    <hyperlink ref="T534" r:id="rId845" xr:uid="{D6393482-B2EF-4AA7-A229-2FB78384D00C}"/>
    <hyperlink ref="T533" r:id="rId846" xr:uid="{1C9113D7-881F-4322-BC78-BB07F5C89544}"/>
    <hyperlink ref="T539" r:id="rId847" xr:uid="{AEDC0241-ABF9-468B-BD46-9FA3ECA97C08}"/>
    <hyperlink ref="T540" r:id="rId848" xr:uid="{E0DE0C98-53BB-4C94-A728-26305BAE9ABB}"/>
    <hyperlink ref="T541" r:id="rId849" xr:uid="{12827ACA-2F35-4A8B-90C4-EB8E4DED889B}"/>
    <hyperlink ref="H540" r:id="rId850" xr:uid="{06D2CB9C-475B-450E-8D2E-46DF931D7E63}"/>
    <hyperlink ref="H541" r:id="rId851" xr:uid="{185ACCB4-DDF4-40FD-9676-EF3AEEAC3D56}"/>
    <hyperlink ref="H542" r:id="rId852" xr:uid="{DC80A391-D4E6-4747-9D91-A0C4B8E3CDA3}"/>
    <hyperlink ref="H543" r:id="rId853" xr:uid="{DB48283E-BB90-4E9F-8BF6-2F372C4C64BA}"/>
    <hyperlink ref="T542" r:id="rId854" xr:uid="{D4E24B09-08C6-4E95-9978-129387370AAF}"/>
    <hyperlink ref="T543" r:id="rId855" xr:uid="{C40BE041-B6CA-4AA9-A2BC-239CCB3C174E}"/>
    <hyperlink ref="T544" r:id="rId856" xr:uid="{18A63F5D-7955-4056-B506-471C42046756}"/>
    <hyperlink ref="H545" r:id="rId857" xr:uid="{ED7C8D4F-9E9D-4F3A-A1ED-1EF3E775A5EF}"/>
    <hyperlink ref="H546" r:id="rId858" xr:uid="{38250E7F-E5DA-4865-B65C-4C206ACC04E0}"/>
    <hyperlink ref="H547" r:id="rId859" xr:uid="{9B70C12D-3F34-43E4-8A02-B1BA390D89A5}"/>
    <hyperlink ref="H548" r:id="rId860" xr:uid="{4A65CD9F-B6F9-43E0-B5FB-FF705F123A54}"/>
    <hyperlink ref="T546" r:id="rId861" xr:uid="{E5025391-D013-4D02-8F0F-B3FDA86F1619}"/>
    <hyperlink ref="T547" r:id="rId862" xr:uid="{1BF5D9B1-7F39-4B69-8A70-400CA7EF04B1}"/>
    <hyperlink ref="T545" r:id="rId863" xr:uid="{2713261E-6959-4A6A-961A-CB45E3F37368}"/>
    <hyperlink ref="T548" r:id="rId864" xr:uid="{A56263A7-81B7-4229-8E09-DE371FE904D8}"/>
    <hyperlink ref="T549" r:id="rId865" xr:uid="{07016F20-F66E-4AF4-A3E4-A65620FF9D8A}"/>
    <hyperlink ref="T550" r:id="rId866" xr:uid="{11443EC1-33B8-4AE1-A0B3-25B45FDB22DA}"/>
    <hyperlink ref="H549" r:id="rId867" xr:uid="{01BC0409-C4C9-4864-963C-4C49DE5EA0EA}"/>
    <hyperlink ref="H550" r:id="rId868" xr:uid="{41BB166B-B4B7-44DD-A14F-DC63D3C991D7}"/>
    <hyperlink ref="H551" r:id="rId869" xr:uid="{2A6FB324-116F-4DA7-8842-B9D89163EDF4}"/>
    <hyperlink ref="H552" r:id="rId870" xr:uid="{0612172E-FF4D-4712-AF94-08A2B2C11916}"/>
    <hyperlink ref="T551" r:id="rId871" xr:uid="{00971728-1E3B-4F5E-9435-A3827D03F2FA}"/>
    <hyperlink ref="T552" r:id="rId872" xr:uid="{134EF45D-1069-4162-BDFE-39C4ED3A3B10}"/>
    <hyperlink ref="H553" r:id="rId873" xr:uid="{A6BA37AA-B357-4192-83AD-CA7D68DAA0B0}"/>
    <hyperlink ref="H554" r:id="rId874" xr:uid="{46F95D4E-AA5D-4009-8343-7F4535583E22}"/>
    <hyperlink ref="T553" r:id="rId875" xr:uid="{9802FFDF-0E97-47DA-834E-AC9B32976FB3}"/>
    <hyperlink ref="T554" r:id="rId876" xr:uid="{D15830AC-4710-430A-96F5-0B2375F38678}"/>
    <hyperlink ref="H697" r:id="rId877" xr:uid="{30D48522-7D7E-4351-8051-16E039E3168B}"/>
    <hyperlink ref="H70" r:id="rId878" xr:uid="{0DAF89BA-0DF6-4AA5-91F9-28D757B69B6F}"/>
    <hyperlink ref="H72" r:id="rId879" xr:uid="{CDAAB2EE-EAEE-4465-9EF6-35E706644C71}"/>
    <hyperlink ref="H73" r:id="rId880" xr:uid="{16DDB3DE-1FD8-4D72-9F9E-78ADA4E0CEB5}"/>
    <hyperlink ref="H67" r:id="rId881" xr:uid="{BC78E7F2-179F-4F76-BA78-9CC12F2B1007}"/>
    <hyperlink ref="H68" r:id="rId882" xr:uid="{CC8B74A6-D48F-4A65-8A6B-9271B51B8106}"/>
    <hyperlink ref="H69" r:id="rId883" xr:uid="{F8FDD124-1692-468A-9D8A-3943CC753F87}"/>
    <hyperlink ref="H75" r:id="rId884" xr:uid="{DC08569C-930F-4970-8A08-27151E35DDBA}"/>
    <hyperlink ref="H74" r:id="rId885" xr:uid="{CE4EA4ED-4F7C-41C7-8A7D-0C3393407040}"/>
    <hyperlink ref="H77" r:id="rId886" xr:uid="{560A38CA-51C6-4023-8FC7-B5B770AFC906}"/>
    <hyperlink ref="H78" r:id="rId887" xr:uid="{E3013A5B-0CC1-4717-9059-D5402C86B0D7}"/>
    <hyperlink ref="H79" r:id="rId888" xr:uid="{06E03D68-DC78-4490-B4EE-34FB0797D174}"/>
    <hyperlink ref="H80" r:id="rId889" xr:uid="{6D281E0C-7E90-49DA-B395-905E648C3710}"/>
    <hyperlink ref="H81" r:id="rId890" xr:uid="{374AC242-2BA3-400D-BFB7-5DD716AA8E2F}"/>
    <hyperlink ref="H84" r:id="rId891" xr:uid="{FF6F60E6-FAEA-44D6-8283-79259BE5110F}"/>
    <hyperlink ref="H88" r:id="rId892" xr:uid="{8B6C6A71-BF5A-431F-A65B-6095300DB882}"/>
    <hyperlink ref="H87" r:id="rId893" xr:uid="{812A525E-2FE2-451B-A658-29722D682BB7}"/>
    <hyperlink ref="H86" r:id="rId894" xr:uid="{931DD6C1-9620-46CE-A34B-FC2E619FE57D}"/>
    <hyperlink ref="H85" r:id="rId895" xr:uid="{394EA537-F814-4DAE-89A5-8C1ADA914AC0}"/>
    <hyperlink ref="H91" r:id="rId896" xr:uid="{5D1DF943-C8FA-4782-BFCE-819FE9F2CF73}"/>
    <hyperlink ref="H90" r:id="rId897" xr:uid="{2F6608AD-6591-42D4-B3E8-FBE9624607C9}"/>
    <hyperlink ref="H89" r:id="rId898" xr:uid="{3B5FC107-ADBF-46D9-BDC7-C85A7E9622D2}"/>
    <hyperlink ref="H94" r:id="rId899" xr:uid="{E87DC188-2BC1-4792-BB73-EF02A3384D17}"/>
    <hyperlink ref="H93" r:id="rId900" xr:uid="{0A9F3701-9F03-411F-826F-DF6AEFC8A8AF}"/>
    <hyperlink ref="H92" r:id="rId901" xr:uid="{7959B775-9817-4F3E-9678-684A3695B693}"/>
    <hyperlink ref="H96" r:id="rId902" xr:uid="{5787E1BC-6843-47A0-9A53-3F1525E5AD22}"/>
    <hyperlink ref="H110" r:id="rId903" xr:uid="{11F77928-B76E-43F0-A95A-628689193040}"/>
    <hyperlink ref="H111" r:id="rId904" xr:uid="{0035BE8B-BFEE-4553-87C6-D1477DFD8B1B}"/>
    <hyperlink ref="H112" r:id="rId905" xr:uid="{80EA6D6C-E5C6-4265-ACB5-BAECF5C95364}"/>
    <hyperlink ref="H113" r:id="rId906" xr:uid="{BA86E659-7543-4459-ABCE-857C955389E3}"/>
    <hyperlink ref="H115" r:id="rId907" xr:uid="{E6EF2EEA-5C2B-4640-93D9-3073F92FA4B3}"/>
    <hyperlink ref="H116" r:id="rId908" xr:uid="{2E173338-D6E8-4B16-8EE5-AACF8A11AB59}"/>
    <hyperlink ref="H117" r:id="rId909" xr:uid="{9CD656FE-6A63-43E1-8E03-428F53F2D526}"/>
    <hyperlink ref="H118" r:id="rId910" xr:uid="{5DAB3A11-D4EE-4020-9449-F3E0A8B704CF}"/>
    <hyperlink ref="H119" r:id="rId911" xr:uid="{417B681A-44FF-4273-9596-C3FED04F91BB}"/>
    <hyperlink ref="H120" r:id="rId912" xr:uid="{DE020183-2A66-40AC-A135-1696E216D074}"/>
    <hyperlink ref="H121" r:id="rId913" xr:uid="{B3708635-BB23-4CF9-948D-ED082E07B674}"/>
    <hyperlink ref="H122" r:id="rId914" xr:uid="{CC6BFEC7-C735-4F8E-9303-2A695CB7E50D}"/>
    <hyperlink ref="H125" r:id="rId915" xr:uid="{FC4DDAD0-58B1-43F8-A926-B60990A28DCC}"/>
    <hyperlink ref="H126" r:id="rId916" xr:uid="{C2B368BA-DB4B-4484-9BDA-DF5AF2E27F9D}"/>
    <hyperlink ref="H131" r:id="rId917" xr:uid="{FEB87665-FEC4-4F32-A581-8D27B44E61CE}"/>
    <hyperlink ref="H132" r:id="rId918" xr:uid="{270AF9CD-C81C-4350-996E-1018131A1212}"/>
    <hyperlink ref="H133" r:id="rId919" xr:uid="{02486479-3592-43B1-BF86-B87CE0CF99A0}"/>
    <hyperlink ref="H134" r:id="rId920" xr:uid="{D1A27E1A-022B-4B26-9E3D-290495231C2F}"/>
    <hyperlink ref="H138" r:id="rId921" xr:uid="{8D307797-C115-4979-9338-16D6433CE444}"/>
    <hyperlink ref="H137" r:id="rId922" xr:uid="{167C7093-34D5-493E-9004-8540E4BA4D22}"/>
    <hyperlink ref="H136" r:id="rId923" xr:uid="{F86CF48C-53EA-4986-9C33-D9400A3DFC99}"/>
    <hyperlink ref="H135" r:id="rId924" xr:uid="{0C0DE7F9-8B8E-4914-BFE7-65B0EE77EBA9}"/>
    <hyperlink ref="H139" r:id="rId925" xr:uid="{901BA88C-BF77-4F5D-908B-F5A0F53D033D}"/>
    <hyperlink ref="I147" r:id="rId926" display="Nivea.Nigeria3@Beiersdorf.com" xr:uid="{CA831A50-5144-430F-A12C-154BD94CE39B}"/>
    <hyperlink ref="H147" r:id="rId927" xr:uid="{E3CDD742-7101-48CF-AB7C-A48C8D79D04C}"/>
    <hyperlink ref="I148" r:id="rId928" display="Nivea.Nigeria3@Beiersdorf.com" xr:uid="{1C3296A5-8F38-449B-95C9-8E6C2A88130B}"/>
    <hyperlink ref="H148" r:id="rId929" xr:uid="{552FC222-FC76-49B4-AA54-1BE80F1206AB}"/>
    <hyperlink ref="H151" r:id="rId930" xr:uid="{0C4939D4-EDF7-4E64-8214-629D3D5CE884}"/>
    <hyperlink ref="H152" r:id="rId931" xr:uid="{A0AFCD4F-3A01-40BD-AA93-396218FAD6C2}"/>
    <hyperlink ref="H153" r:id="rId932" xr:uid="{E995E593-4EFD-49DD-9760-B0438729F67D}"/>
    <hyperlink ref="H161" r:id="rId933" xr:uid="{2DCA31B7-9E69-4F53-BB6C-D9336BB719F8}"/>
    <hyperlink ref="H162" r:id="rId934" xr:uid="{9387C48F-900F-45C9-A3FD-F3750EFCA071}"/>
    <hyperlink ref="H163" r:id="rId935" xr:uid="{EE224770-94CB-4F59-BE9C-13EDC1943688}"/>
    <hyperlink ref="H164" r:id="rId936" xr:uid="{B552DFF5-879F-40C9-8A8B-499890A24690}"/>
    <hyperlink ref="H165" r:id="rId937" xr:uid="{3401321A-C155-4BBD-8EC1-1310753B1A2D}"/>
    <hyperlink ref="H166" r:id="rId938" xr:uid="{5DE90658-A581-4E5C-B64A-EC2D4D21A229}"/>
    <hyperlink ref="H168" r:id="rId939" xr:uid="{9027221B-4F3E-4179-A90E-4A9D4E00D039}"/>
    <hyperlink ref="H169" r:id="rId940" xr:uid="{3994C24B-9593-4C35-85E4-955BD5FDCA7E}"/>
    <hyperlink ref="H170" r:id="rId941" xr:uid="{075BC9EA-7531-4D3F-9BC7-55E10807D6B6}"/>
    <hyperlink ref="H171" r:id="rId942" xr:uid="{AC0D7C1A-D3CA-4579-ABC1-749BA3EC7651}"/>
    <hyperlink ref="H173" r:id="rId943" xr:uid="{06CF6F17-703F-467F-B64F-F75A2A6207DF}"/>
    <hyperlink ref="H175" r:id="rId944" xr:uid="{D330EAAD-3601-4100-B1C2-00060050AC41}"/>
    <hyperlink ref="H176" r:id="rId945" xr:uid="{6175E7C3-360B-494C-9098-A632F3269C4B}"/>
    <hyperlink ref="H177" r:id="rId946" xr:uid="{851E2E70-478A-4BA1-B6B0-AEA947F96D2F}"/>
    <hyperlink ref="H246" r:id="rId947" xr:uid="{841D3C6A-1503-4F47-B60B-390BFF6472E3}"/>
    <hyperlink ref="H247" r:id="rId948" xr:uid="{96362926-B9BC-4A26-A3D1-95E67B535D42}"/>
    <hyperlink ref="H248" r:id="rId949" xr:uid="{A86460D3-FD81-4B91-B2C5-AA9B67136679}"/>
    <hyperlink ref="H249" r:id="rId950" xr:uid="{501D3FBE-A716-4B3E-873D-E4A2CB9EA7B2}"/>
    <hyperlink ref="H250" r:id="rId951" xr:uid="{ACEB20BE-5AD9-4555-9C36-D79D56728C72}"/>
    <hyperlink ref="H232" r:id="rId952" xr:uid="{E2022818-FE07-4BFC-BBEF-0F2420C4CB17}"/>
    <hyperlink ref="H231" r:id="rId953" xr:uid="{C6A9BD19-9638-4EA4-BB04-CDFDC5FCC52F}"/>
    <hyperlink ref="H230" r:id="rId954" xr:uid="{4A52DA0B-BAC1-4023-A574-CC3B1DAA5FB8}"/>
    <hyperlink ref="H229" r:id="rId955" xr:uid="{A3F6E6F6-1B5B-4D7C-8BF6-9670FC8C1E68}"/>
    <hyperlink ref="H228" r:id="rId956" xr:uid="{29310577-F677-49B3-944B-D88576F7549E}"/>
    <hyperlink ref="H739" r:id="rId957" xr:uid="{281226BE-FABF-4DEE-93EA-B2E17C62A6B9}"/>
    <hyperlink ref="H740" r:id="rId958" xr:uid="{1B32EE81-2E63-4C19-915D-D6950AD19AAE}"/>
    <hyperlink ref="T740" r:id="rId959" xr:uid="{7A444B47-4A9B-4B07-B8CD-98BE17068389}"/>
    <hyperlink ref="T739" r:id="rId960" xr:uid="{C9F9CD6F-C425-475A-8CAC-EE4ADD6F8DA3}"/>
    <hyperlink ref="T741" r:id="rId961" xr:uid="{18C00468-DAB5-4E47-B502-218C578CD2DA}"/>
    <hyperlink ref="T742" r:id="rId962" xr:uid="{78FA5032-CD87-4603-A3C8-B0409F41A612}"/>
    <hyperlink ref="T743" r:id="rId963" xr:uid="{3E9B1B4F-7B1C-4B43-8130-C2458711F4B8}"/>
    <hyperlink ref="T744" r:id="rId964" xr:uid="{A8B477F9-EB9E-48F7-82C2-C56E3398626B}"/>
    <hyperlink ref="T745" r:id="rId965" xr:uid="{66FD112A-5CAF-47BB-9A59-593E39C59746}"/>
    <hyperlink ref="T746" r:id="rId966" xr:uid="{EBE0BC7D-3A55-438F-98BF-0C4FDF003F3D}"/>
    <hyperlink ref="T752" r:id="rId967" xr:uid="{40830EA2-A884-4FAF-8606-B92A24D2BF0D}"/>
    <hyperlink ref="T751" r:id="rId968" xr:uid="{F2D7C4DA-1699-4904-A4D2-D81547BAB3EE}"/>
    <hyperlink ref="T750" r:id="rId969" xr:uid="{F1430A7D-E799-4E18-B7F3-A9027C3AF356}"/>
    <hyperlink ref="T749" r:id="rId970" xr:uid="{A654CB5A-E5C3-43FE-B039-581BCC46C8F3}"/>
    <hyperlink ref="T748" r:id="rId971" xr:uid="{8B0DD52F-081D-4F2A-9C8D-4C9332CA030A}"/>
    <hyperlink ref="T747" r:id="rId972" xr:uid="{26479340-67F5-420D-82D6-2E9735B69B36}"/>
    <hyperlink ref="T753" r:id="rId973" xr:uid="{42CF7DF4-2A8F-4652-A107-61D65D5BF81D}"/>
    <hyperlink ref="T754" r:id="rId974" xr:uid="{F65713A5-8A71-4AE1-8FC1-87527F3782AE}"/>
    <hyperlink ref="H754" r:id="rId975" xr:uid="{24ED7A63-74B0-4D4A-92D4-CC01296DCF9E}"/>
    <hyperlink ref="H753" r:id="rId976" xr:uid="{63879528-ACC9-4643-B4ED-380D2A9ECD7C}"/>
    <hyperlink ref="T755" r:id="rId977" display="https://1drv.ms/b/c/94bd56ed68f00427/IQD_2XAIyngJS5p8gdR7PJDfAcgPRfYezxXl9YN2DHpitkg?e=7OAIoJ" xr:uid="{EB53C364-925C-4753-AC0A-BFA9C553C0EC}"/>
    <hyperlink ref="T756" r:id="rId978" display="https://1drv.ms/b/c/94bd56ed68f00427/IQD_2XAIyngJS5p8gdR7PJDfAcgPRfYezxXl9YN2DHpitkg?e=7OAIoJ" xr:uid="{22047990-28E9-4D19-B252-81F49BE4DF71}"/>
    <hyperlink ref="H755" r:id="rId979" display="mailto:info@pharmadekoplc.com" xr:uid="{31274ADF-7956-4A17-B8DC-7D231D811E2A}"/>
    <hyperlink ref="H756" r:id="rId980" display="mailto:info@pharmadekoplc.com" xr:uid="{099550EC-0A59-445B-B788-852F80948AE2}"/>
    <hyperlink ref="T662" r:id="rId981" display="https://1drv.ms/b/c/94bd56ed68f00427/IQD6F4J0gg2aQZLP-AmthppWARxQm5WXBmwLACrbTU9pcxs?e=Gt3hZQ" xr:uid="{3AE895ED-9092-42A0-A5AA-5AF07DE29135}"/>
    <hyperlink ref="H662" r:id="rId982" xr:uid="{06C9EB10-5E26-4CC8-AA62-95CA57A65692}"/>
    <hyperlink ref="T663" r:id="rId983" display="https://1drv.ms/b/c/94bd56ed68f00427/IQDMuUA-ITPFRIIXv4IXsJJoAf08FJBg6rYwMWpiANvpO6w?e=jMIlq8" xr:uid="{C1A7A363-5E07-4C16-80D8-3106C2FB22F4}"/>
    <hyperlink ref="H663" r:id="rId984" display="https://1drv.ms/b/c/94bd56ed68f00427/IQBzAJ1yd6o8QaVqQbPY7J-xASIMm2hN6wssmIi9pQzZNq0?e=EkAsc6" xr:uid="{6C213CD2-19E7-4594-9332-29BC77C2F842}"/>
    <hyperlink ref="T664" r:id="rId985" display="https://1drv.ms/b/c/94bd56ed68f00427/IQA6YoO0pi4xTazn09RT4XMGARGY4gLyyyFieFNSTHG8aSQ?e=SA8VJ3" xr:uid="{C351EEE9-45D7-48BC-ADB9-665A1BA650BE}"/>
    <hyperlink ref="H664" r:id="rId986" display="https://1drv.ms/b/c/94bd56ed68f00427/IQBzAJ1yd6o8QaVqQbPY7J-xASIMm2hN6wssmIi9pQzZNq0?e=EkAsc6" xr:uid="{EC3B9ED6-393E-4E8D-8F82-9FB6FC9D0183}"/>
    <hyperlink ref="H777" r:id="rId987" xr:uid="{02EECA43-C548-4294-9DEF-ABEE5E6964B8}"/>
    <hyperlink ref="T665" r:id="rId988" display="https://1drv.ms/b/c/94bd56ed68f00427/IQAam0THOGurRpsyAo5rdjeoAVO0QnDW5cRYM25oeNE45cw?e=p2KvT9" xr:uid="{1D607C6E-E78A-4EEF-80CD-484A566364F7}"/>
    <hyperlink ref="T666" r:id="rId989" display="https://1drv.ms/b/c/94bd56ed68f00427/IQDdENj91lueQYkqzE0OMr0nAaXl3ny9pJIW6UQe9PYC9Do?e=jHMMGm" xr:uid="{1FEE8EC9-BB69-42BD-8095-2C2908118393}"/>
    <hyperlink ref="T777" r:id="rId990" xr:uid="{D3D1236F-917F-4832-8240-423DE801C693}"/>
    <hyperlink ref="T667" r:id="rId991" display="https://1drv.ms/b/c/94bd56ed68f00427/IQBoqfMYPMBfTJulhhor6Df5ARf6YSMsBkrlaOm1K_vKpO0?e=4YVj31" xr:uid="{24F3F533-62F8-4BB5-8880-2752C1075220}"/>
    <hyperlink ref="H667" r:id="rId992" xr:uid="{D9F90D75-A583-44C8-B409-FFAF10FB6BA6}"/>
    <hyperlink ref="T668" r:id="rId993" display="https://1drv.ms/b/c/94bd56ed68f00427/IQCyAasa-fnsSa0kobre7emKAQlxlxn6MbjoGKL2El-tOwQ?e=VwjDyL" xr:uid="{B3F1C076-1CDE-4CC7-A336-85E2AD4631CF}"/>
    <hyperlink ref="H668" r:id="rId994" xr:uid="{CF15B18A-BDF9-4248-A60E-DAB55FD1B792}"/>
    <hyperlink ref="H778" r:id="rId995" xr:uid="{2A430E12-AAED-4410-8B1B-8188AEDD8442}"/>
    <hyperlink ref="T758" r:id="rId996" xr:uid="{952ED3AD-53E6-479D-A8E3-E879BABCA023}"/>
    <hyperlink ref="T757" r:id="rId997" xr:uid="{1977D683-8435-4353-8B85-44FFAD276412}"/>
    <hyperlink ref="H757" r:id="rId998" xr:uid="{07E723D0-51EF-485A-82E3-B0DB49893EC9}"/>
    <hyperlink ref="H758" r:id="rId999" xr:uid="{8EB03C4F-8F34-4F93-8758-F1350680D214}"/>
    <hyperlink ref="T759" r:id="rId1000" display="https://1drv.ms/b/c/94bd56ed68f00427/IQD_2XAIyngJS5p8gdR7PJDfAcgPRfYezxXl9YN2DHpitkg?e=7OAIoJ" xr:uid="{31F8DB89-C591-4F7A-A7D2-BA9D1BDC91B1}"/>
    <hyperlink ref="T760" r:id="rId1001" display="https://1drv.ms/b/c/94bd56ed68f00427/IQD_2XAIyngJS5p8gdR7PJDfAcgPRfYezxXl9YN2DHpitkg?e=7OAIoJ" xr:uid="{14D3CD3C-DE42-4EDE-A946-4B86BC420C04}"/>
    <hyperlink ref="H759" r:id="rId1002" display="mailto:info@pharmadekoplc.com" xr:uid="{BA56ECFE-0B35-481A-AD41-41122780C638}"/>
    <hyperlink ref="H760" r:id="rId1003" display="mailto:info@pharmadekoplc.com" xr:uid="{7C0BA290-0D2A-4B77-836F-BC15A46DD964}"/>
    <hyperlink ref="T761" r:id="rId1004" xr:uid="{B626A4B3-5F02-4268-834E-B0DF46C83959}"/>
    <hyperlink ref="T762" r:id="rId1005" xr:uid="{0506D6E2-D7B6-456B-9D68-BC98D560A365}"/>
    <hyperlink ref="H761" r:id="rId1006" xr:uid="{A97625AA-8EFD-47E7-9656-B9A2F972FEF7}"/>
    <hyperlink ref="H762" r:id="rId1007" xr:uid="{3428036C-1F96-4EA3-9C6B-D223C3C3E043}"/>
    <hyperlink ref="T763" r:id="rId1008" xr:uid="{49A70D00-4F65-4F67-9355-4F5C5F3430E7}"/>
    <hyperlink ref="T764" r:id="rId1009" xr:uid="{28CA6F45-6F88-4E92-AFF1-AAE74B748B03}"/>
    <hyperlink ref="H763" r:id="rId1010" xr:uid="{1C5B9089-DCA3-46C1-B45D-AEEB0DCC52AA}"/>
    <hyperlink ref="H764" r:id="rId1011" xr:uid="{62BF2F58-EFB2-4778-B0A6-2CF496AFEE83}"/>
    <hyperlink ref="T765" r:id="rId1012" xr:uid="{BD97656C-D17C-40C2-85A6-3962177FCCDC}"/>
    <hyperlink ref="T766" r:id="rId1013" xr:uid="{6351461F-BE61-4EAB-BBCA-52EAE16D2372}"/>
    <hyperlink ref="T767" r:id="rId1014" xr:uid="{D90AAF8E-5718-4480-9193-EDFB71AE8EAE}"/>
    <hyperlink ref="T768" r:id="rId1015" display="https://1drv.ms/b/c/94bd56ed68f00427/IQCnnEtfyXA-TYe8pfSAUGesASdE1-DVf9ssOlgbS7rhE5E?e=ogLD00" xr:uid="{F0F9025C-3F88-40C0-B18A-B65DEF5E8F1C}"/>
    <hyperlink ref="T769" r:id="rId1016" xr:uid="{B21BAD7A-3CB0-4C94-B8F6-FFDDABE8CF35}"/>
    <hyperlink ref="T770" r:id="rId1017" xr:uid="{6585E4DD-A160-4549-A86E-E5814D7A8E12}"/>
    <hyperlink ref="T771" r:id="rId1018" xr:uid="{2D0C9DB2-0C30-4AAA-B554-1732AA477188}"/>
    <hyperlink ref="T772" r:id="rId1019" xr:uid="{30F65D7B-A16D-4FA3-B3A2-71B76DED9469}"/>
    <hyperlink ref="H772" r:id="rId1020" xr:uid="{10184401-0E49-4099-81B9-BEDC1E2527AE}"/>
    <hyperlink ref="H771" r:id="rId1021" xr:uid="{943E6ADB-0E5E-4893-BAFF-F0766701A00B}"/>
    <hyperlink ref="H770" r:id="rId1022" xr:uid="{1EAE7636-496D-400C-B887-CDDBAA5163D1}"/>
    <hyperlink ref="H769" r:id="rId1023" xr:uid="{7156F6A9-0229-41D7-99FF-2ACFB1A88E08}"/>
    <hyperlink ref="T778" r:id="rId1024" xr:uid="{576DC563-D66A-45B3-A149-4BA3FDC0D474}"/>
    <hyperlink ref="T780" r:id="rId1025" xr:uid="{70C2734C-2171-47C6-AED3-A110D0A17464}"/>
    <hyperlink ref="T781" r:id="rId1026" xr:uid="{7CA9B38E-D4A4-4B60-84F6-CD02ACA18B7A}"/>
    <hyperlink ref="T782" r:id="rId1027" xr:uid="{9F6A9209-2B35-410E-AD45-E416D7D0D0CF}"/>
    <hyperlink ref="T783" r:id="rId1028" xr:uid="{BAF70F1E-8C95-40AB-A7C5-B809256CCAAD}"/>
    <hyperlink ref="T784" r:id="rId1029" xr:uid="{AB8CF44E-FEB8-4CC0-8F25-CF72B5C4042D}"/>
    <hyperlink ref="T785" r:id="rId1030" xr:uid="{2EEDE3C2-A7FC-4944-9EB6-059EF4143BC1}"/>
    <hyperlink ref="T786" r:id="rId1031" xr:uid="{AA367D04-E9BA-4264-8311-59C5F496C38D}"/>
    <hyperlink ref="H781" r:id="rId1032" xr:uid="{ED1E74D1-53BD-4FE1-8F08-D1699ECA0A07}"/>
    <hyperlink ref="H782" r:id="rId1033" xr:uid="{596CBAEF-49E8-4085-A1D9-2455E50B7EFE}"/>
    <hyperlink ref="H783" r:id="rId1034" xr:uid="{1E3156BE-E691-4BAB-890E-767804253F4B}"/>
    <hyperlink ref="H784" r:id="rId1035" xr:uid="{1FF8A188-84C8-4E46-B7FD-1810D1495BB5}"/>
    <hyperlink ref="H785" r:id="rId1036" xr:uid="{4F6BE100-7A77-42C3-AAF2-E3FE7314CABD}"/>
    <hyperlink ref="H786" r:id="rId1037" xr:uid="{869147DE-7E93-42B5-9360-902B4FB0EB73}"/>
    <hyperlink ref="T787" r:id="rId1038" xr:uid="{3A8879CF-8E62-4F9E-9AE6-D512C7ED5B2C}"/>
    <hyperlink ref="T788" r:id="rId1039" xr:uid="{F36E9341-09F6-41A8-984C-79D02619AEFF}"/>
    <hyperlink ref="T789" r:id="rId1040" xr:uid="{43AB83C5-4C23-455E-A068-14A693E3B92D}"/>
    <hyperlink ref="T790" r:id="rId1041" xr:uid="{2A4719BB-14EA-49BE-98A2-0BCCD5DE277E}"/>
    <hyperlink ref="H787" r:id="rId1042" xr:uid="{43CBC0CD-F469-4B4F-969E-D8AE18F07191}"/>
    <hyperlink ref="H788" r:id="rId1043" xr:uid="{D3564EB2-32B8-4262-9DC0-572C780B5577}"/>
    <hyperlink ref="H789" r:id="rId1044" xr:uid="{FFB93997-0AFA-475F-BBE6-5A1C87F81A2D}"/>
    <hyperlink ref="H790" r:id="rId1045" xr:uid="{30C3042A-C7C0-40C7-B13B-A62FBE03F275}"/>
    <hyperlink ref="H791" r:id="rId1046" xr:uid="{1376A833-1FEA-4E44-9D87-B6E5B3BBAAC0}"/>
    <hyperlink ref="H792" r:id="rId1047" xr:uid="{FE65CFB7-10D9-4E30-A5C6-BB72CD6F49DD}"/>
    <hyperlink ref="H793" r:id="rId1048" xr:uid="{017C702B-C115-4FDA-9CC0-237CDFAEE8EB}"/>
    <hyperlink ref="H794" r:id="rId1049" xr:uid="{CD2CB105-1745-4C86-BCE0-310D1AE50A1F}"/>
    <hyperlink ref="H795" r:id="rId1050" xr:uid="{E414CE32-4F88-43E5-A2F2-EDA1CBFDAD3F}"/>
    <hyperlink ref="H796" r:id="rId1051" xr:uid="{C1E7D008-A2B7-4C7B-A605-9468A00410D2}"/>
    <hyperlink ref="H797" r:id="rId1052" xr:uid="{B79053C8-5BEE-4EFD-8060-C62F4C05A01B}"/>
    <hyperlink ref="H798" r:id="rId1053" xr:uid="{D069B3FB-8353-4511-97EC-47F6C460CF01}"/>
    <hyperlink ref="T791" r:id="rId1054" xr:uid="{FE36EDA1-CF7A-472A-A04D-AB59B3C9731B}"/>
    <hyperlink ref="T792" r:id="rId1055" xr:uid="{73AAEBFF-A3BD-468C-9056-D0965688CE0C}"/>
    <hyperlink ref="T793" r:id="rId1056" xr:uid="{7A1B9E5A-2230-43D6-8BEE-FBCA06B696AA}"/>
    <hyperlink ref="T794" r:id="rId1057" xr:uid="{91AEA8C5-DDB5-4C02-88C1-0887343B0887}"/>
    <hyperlink ref="T795" r:id="rId1058" xr:uid="{88D491FA-0F2D-4E31-A86F-6AF62E89062A}"/>
    <hyperlink ref="T796" r:id="rId1059" xr:uid="{9208F085-C0E2-45EB-853F-365CD953B1BF}"/>
    <hyperlink ref="T797" r:id="rId1060" xr:uid="{16B37B61-1D03-47D0-9CD7-C5AAECA9C8A5}"/>
    <hyperlink ref="T798" r:id="rId1061" xr:uid="{F1CAC4BB-D7B7-440A-BB61-1B42B468EC58}"/>
    <hyperlink ref="T799" r:id="rId1062" xr:uid="{A13D68EA-DC68-48E1-883E-35F1FC511465}"/>
    <hyperlink ref="H799" r:id="rId1063" xr:uid="{46582AA1-6049-46F4-8AE8-4F6733367FC2}"/>
    <hyperlink ref="H801" r:id="rId1064" xr:uid="{AF9AA332-5AB3-4A74-9CF6-172EFE3E2D8D}"/>
    <hyperlink ref="H802" r:id="rId1065" xr:uid="{D1B7F77B-704A-400A-A6C0-14A0AF648E78}"/>
    <hyperlink ref="T800" r:id="rId1066" xr:uid="{0FC92600-06C3-4AA0-B8BB-E5ADD9E111B2}"/>
    <hyperlink ref="T801" r:id="rId1067" xr:uid="{3ABE4F7E-ECDC-4F47-B7E6-D598312E1317}"/>
    <hyperlink ref="T802" r:id="rId1068" xr:uid="{339A362E-9B3A-4A75-BBA4-B7EFB078A2A7}"/>
    <hyperlink ref="T803" r:id="rId1069" xr:uid="{709120FA-0DC5-4F76-90AE-A016EB29094B}"/>
    <hyperlink ref="T804" r:id="rId1070" xr:uid="{60ED8682-7D1F-4F42-BB52-691F89F4186E}"/>
    <hyperlink ref="T808" r:id="rId1071" xr:uid="{60007AAC-478E-4B89-9600-BC657E00D883}"/>
    <hyperlink ref="T807" r:id="rId1072" xr:uid="{29EAD8FE-5B30-406F-9B50-292D3F183107}"/>
    <hyperlink ref="T806" r:id="rId1073" xr:uid="{B2DAD6B7-A52E-4894-BA03-B5E7D5E00047}"/>
    <hyperlink ref="T805" r:id="rId1074" xr:uid="{41C9CD91-89E4-4AE1-B491-AF07DB9F5591}"/>
    <hyperlink ref="H803" r:id="rId1075" xr:uid="{686D8259-8CAF-4F01-8AC4-F530682213BE}"/>
    <hyperlink ref="H804" r:id="rId1076" xr:uid="{182B2988-1DE3-45D4-9BF5-1047CC09FD1B}"/>
    <hyperlink ref="H805" r:id="rId1077" xr:uid="{FA79EBA3-7C99-40DC-AAEE-61671D32741B}"/>
    <hyperlink ref="H806" r:id="rId1078" xr:uid="{A4E3ACA3-8D06-476D-8817-69964BEF6927}"/>
    <hyperlink ref="H807" r:id="rId1079" xr:uid="{8C3B6B43-D181-4601-9D50-098CE1493627}"/>
    <hyperlink ref="H808" r:id="rId1080" xr:uid="{7D529E76-3538-40D6-8B83-8CED9C1C8C0C}"/>
    <hyperlink ref="T773" r:id="rId1081" xr:uid="{15779BF6-3A2D-4C25-8E75-38DE3D670B04}"/>
    <hyperlink ref="T251" r:id="rId1082" xr:uid="{199F7550-39EB-4CAB-85C6-C00F82669AC0}"/>
    <hyperlink ref="H251" r:id="rId1083" xr:uid="{F8C474D6-4FED-4BDA-9C88-40929182B6EC}"/>
    <hyperlink ref="H455" r:id="rId1084" xr:uid="{F5649490-2640-46F7-A8B6-E476130EF285}"/>
    <hyperlink ref="T455" r:id="rId1085" xr:uid="{3D3E0CC6-12D9-42BF-9642-132A86A7C06B}"/>
    <hyperlink ref="T774" r:id="rId1086" xr:uid="{DE1E5247-9B26-40A0-B92E-BE16AD0EFEE2}"/>
    <hyperlink ref="T855" r:id="rId1087" xr:uid="{BCD69E0F-48BC-4892-B21D-FCEDB33CF7B2}"/>
    <hyperlink ref="T856" r:id="rId1088" xr:uid="{4EDAC83B-07D4-4DEE-B2C3-44F6835BD3D7}"/>
    <hyperlink ref="H855" r:id="rId1089" xr:uid="{F4869404-4852-4FA4-BEC0-A8A9A055C5F1}"/>
    <hyperlink ref="H856" r:id="rId1090" xr:uid="{8D658AA4-6F72-4E33-A74E-AF0E71BB8D1D}"/>
    <hyperlink ref="H857" r:id="rId1091" xr:uid="{334F9C9F-B15B-4E46-8826-B76CBD40D36D}"/>
    <hyperlink ref="H858" r:id="rId1092" xr:uid="{5ACA226E-D930-41D7-8B5B-740CF274FFA5}"/>
    <hyperlink ref="H859" r:id="rId1093" xr:uid="{D0E5965A-1985-4F6D-86B8-E95259B9F8B8}"/>
    <hyperlink ref="T857" r:id="rId1094" xr:uid="{CE10D53D-528A-4B22-AA55-F8F2C8DF4A25}"/>
    <hyperlink ref="T858" r:id="rId1095" xr:uid="{87739B42-B7DE-4572-9214-68B90E4F7E2D}"/>
    <hyperlink ref="T859" r:id="rId1096" xr:uid="{183FE97E-F707-4165-BE39-A1157AB55342}"/>
    <hyperlink ref="T860" r:id="rId1097" xr:uid="{A6122A5A-C4DE-4AD2-8ADC-8435F5AB52D9}"/>
    <hyperlink ref="H9:H12" r:id="rId1098" display="mail@uniquepharm.comj" xr:uid="{5AAF0324-362F-46E0-AFB4-E8DDBBC203A8}"/>
    <hyperlink ref="H860" r:id="rId1099" xr:uid="{96D4B19C-C788-46D7-A230-1FC0E1F5F52D}"/>
    <hyperlink ref="H32:H39" r:id="rId1100" display="customercare@kedihealth.com" xr:uid="{3F1B9508-CADC-4520-8088-19ADEA0C24C6}"/>
    <hyperlink ref="H42" r:id="rId1101" xr:uid="{E082D3D9-4018-482F-9CB6-00BCDBBC9D85}"/>
    <hyperlink ref="H43" r:id="rId1102" xr:uid="{355DB542-8328-4C2E-B365-F81055A9262B}"/>
    <hyperlink ref="H2" r:id="rId1103" display="victoria.ezeala@viatris.com;abisola.ayodele@pfizer.com" xr:uid="{2B2B3D7A-3204-4AA9-A88E-A6B781F3D148}"/>
    <hyperlink ref="H3" r:id="rId1104" display="victoria.ezeala@viatris.com;abisola.ayodele@pfizer.com" xr:uid="{0F511993-7E99-4FEF-9B90-42F337D3006C}"/>
    <hyperlink ref="H4" r:id="rId1105" display="abisola.ayodele@pfizer.com" xr:uid="{90B88DAB-CF5B-4F3A-BD40-B22B30368F65}"/>
    <hyperlink ref="H13" r:id="rId1106" display="victoria.ezeala@viatris.com;abisola.ayodele@pfizer.com" xr:uid="{D0B16BED-BCB4-4474-B00F-307843475945}"/>
    <hyperlink ref="H14" r:id="rId1107" display="victoria.ezeala@viatris.com;abisola.ayodele@pfizer.com" xr:uid="{0EFE28C7-F074-43EB-A25D-F864ED2C59DE}"/>
    <hyperlink ref="H15" r:id="rId1108" display="victoria.ezeala@viatris.com;abisola.ayodele@pfizer.com" xr:uid="{EE72A908-B1CA-4BB8-88C5-0ED9CFC9415D}"/>
    <hyperlink ref="H16" r:id="rId1109" display="victoria.ezeala@viatris.com;abisola.ayodele@pfizer.com" xr:uid="{0668E381-9B3D-4AFA-94EB-FC322F761F04}"/>
    <hyperlink ref="H861" r:id="rId1110" xr:uid="{7A1E868A-B736-4C86-80E5-8504CE1D8E65}"/>
    <hyperlink ref="H862" r:id="rId1111" xr:uid="{61BC15F3-76D9-4FAE-AEC3-EB62342349DC}"/>
    <hyperlink ref="T861" r:id="rId1112" xr:uid="{6907CB48-F059-4C54-98C3-1CCC0BFD1D14}"/>
    <hyperlink ref="T862" r:id="rId1113" xr:uid="{C78B5A3A-45C7-4EB0-834E-F2EB17065795}"/>
    <hyperlink ref="T44" r:id="rId1114" display="https://1drv.ms/b/c/94bd56ed68f00427/IQC6BKlq4-NuSqrMltX5bxORASiXEvktGZRCTWdvyMQUhE4?e=5rerSm" xr:uid="{7B0A0499-8C81-4F75-B654-C3C39D530DC7}"/>
    <hyperlink ref="T43" r:id="rId1115" display="https://1drv.ms/b/c/94bd56ed68f00427/IQC0BUYMLCWRTZ3xuQjbgKxfAcgdJCn1fLMxCESWmEj8k1Y?e=UHiqg6" xr:uid="{C18E154E-D0BD-46DF-B310-A1BAE608552B}"/>
    <hyperlink ref="T42" r:id="rId1116" display="https://1drv.ms/b/c/94bd56ed68f00427/IQDaGromWNesSZUP5SUF2HBhAfvA1_3J6Sb4PJnPMVrW_mQ?e=RG3oHN" xr:uid="{9F3D3367-129E-41C2-947C-80B742C8D694}"/>
    <hyperlink ref="T41" r:id="rId1117" display="https://1drv.ms/b/c/94bd56ed68f00427/IQAanOB60IEzR5PeA7knfEq8AfPn-nQcWBAU4ddOYvFOIbM?e=VVGr0w" xr:uid="{1B3957D3-9FF1-4530-91BA-60F5B9B8C5A1}"/>
    <hyperlink ref="T45" r:id="rId1118" display="https://1drv.ms/b/c/94bd56ed68f00427/IQAT7Q_P1LnqSKgJL3HV04XEAd4lRWqIK1pvyLTRDQKTxCs?e=bfdS10" xr:uid="{39F5AE29-52B2-43DD-BC35-E2DFE801A9E4}"/>
    <hyperlink ref="T46" r:id="rId1119" display="https://1drv.ms/b/c/94bd56ed68f00427/IQA0oyO0WjnyRJZEcXYZMbCYAfeqVRfHF-EqCdCP1WcFWuo?e=Tgek29" xr:uid="{CF90C56D-9CF2-4301-8E9B-97AA3CDE56CE}"/>
    <hyperlink ref="T47" r:id="rId1120" display="https://1drv.ms/b/c/94bd56ed68f00427/IQAiVkAYf42zRIe28gE2YtlRAW-D8CT7jYZ6RjoJq9zkME4?e=VMECeg" xr:uid="{5ABA5D10-0468-4EC9-8AE5-B3321058BE1F}"/>
    <hyperlink ref="T40" r:id="rId1121" display="https://1drv.ms/b/c/94bd56ed68f00427/IQCb_HC1EJ7NRYXpNFbRP98cAXEmOdoTScMTyr1XsPDc6GI?e=FQXUHf" xr:uid="{F75BC5B2-B7A1-41CB-A052-BE43535D2BD5}"/>
    <hyperlink ref="T39" r:id="rId1122" display="https://1drv.ms/b/c/94bd56ed68f00427/IQC9j0aBi2WMRr2vN83Iva3dAZLc4NKtcmcGqiZ6dasZBTY?e=qWNmpY" xr:uid="{FAAF1E95-1675-4E9C-90D3-ABE8892AF738}"/>
    <hyperlink ref="T36" r:id="rId1123" display="https://1drv.ms/b/c/94bd56ed68f00427/IQC9j0aBi2WMRr2vN83Iva3dAZLc4NKtcmcGqiZ6dasZBTY?e=qWNmpY" xr:uid="{AB47BB62-A229-4A65-88D5-F550E91D6524}"/>
    <hyperlink ref="T35" r:id="rId1124" display="https://1drv.ms/b/c/94bd56ed68f00427/IQA70sE7Re5VTo8qKS8eafCgAbQ9OeXEJpMC9ksBBa2wfLQ?e=DlDLPO" xr:uid="{FE140D45-4544-4AE2-801F-637B5985FEDD}"/>
    <hyperlink ref="T32" r:id="rId1125" display="https://1drv.ms/b/c/94bd56ed68f00427/IQA70sE7Re5VTo8qKS8eafCgAbQ9OeXEJpMC9ksBBa2wfLQ?e=DlDLPO" xr:uid="{739F8B48-13C1-42DA-9272-680437F856EF}"/>
    <hyperlink ref="T22" r:id="rId1126" display="https://1drv.ms/b/c/94bd56ed68f00427/IQAHdVrAS_vGT4RDfwHgUhwmASYe0mSje83sUuFaBN3sH8w?e=j5Ucsw" xr:uid="{318471E1-B2A4-41C7-AA82-B501605B5C2D}"/>
    <hyperlink ref="T21" r:id="rId1127" display="https://1drv.ms/b/c/94bd56ed68f00427/IQDJ0MqCsE2ARrJel6MfIJokAb_bU6epZyJg5eaf8iHfVG0?e=3NJcp2" xr:uid="{96DAF81B-4B0E-4E86-8864-3A94F758C465}"/>
    <hyperlink ref="T19" r:id="rId1128" display="https://1drv.ms/b/c/94bd56ed68f00427/IQAHQ1WCZJE8QZxn6trj0fTnAa-0RjQQhgVrCS9lPCt2cG4?e=s477E3" xr:uid="{89EA0BD6-4753-4C46-9E5E-EE3178A9C81B}"/>
    <hyperlink ref="T20" r:id="rId1129" display="https://1drv.ms/b/c/94bd56ed68f00427/IQD10dTKMrdTTIPDsweH9dApAQuGJEz0aAcLcmfHUXrmxy0?e=s1kD2y" xr:uid="{44D3E829-6F0D-4387-AA06-625D1B6D043B}"/>
    <hyperlink ref="T18" r:id="rId1130" display="https://1drv.ms/b/c/94bd56ed68f00427/IQA5-WSheGqITbodSnOUSGO1AUdfD0WRGzaFLJ8BRoRjmkA?e=UikM0I" xr:uid="{BEF4C5DC-6CA2-4663-ADDE-F83594E861F3}"/>
    <hyperlink ref="T17" r:id="rId1131" display="https://1drv.ms/b/c/94bd56ed68f00427/IQDJ0kmOGvpoTIijd7CuX0_LAWxy5UDvXLCdERbJ9zMnkSw?e=EncSqH" xr:uid="{AB908B32-810C-4665-B694-E1EBBBDCA32D}"/>
    <hyperlink ref="T16" r:id="rId1132" display="https://1drv.ms/b/c/94bd56ed68f00427/IQBu9m86Zca-QZ4WWlkWZ8yzAfpUCgROXOqJnbw--DRJp3E?e=7vYKuc" xr:uid="{BC79CF51-8EBC-4FAF-AC20-27B2A1AB5E59}"/>
    <hyperlink ref="T15" r:id="rId1133" display="https://1drv.ms/b/c/94bd56ed68f00427/IQBu9m86Zca-QZ4WWlkWZ8yzAfpUCgROXOqJnbw--DRJp3E?e=7vYKuc" xr:uid="{46921306-D858-49E6-BD02-6CA582D52BBA}"/>
    <hyperlink ref="T13" r:id="rId1134" display="https://1drv.ms/b/c/94bd56ed68f00427/IQBfG8j1vaYCR6j9e0LHnmt8AYQbdu90R5QZS1YUpCRulWQ?e=1Rzeer" xr:uid="{76009C64-2ED1-497B-BEE3-9812D54D7619}"/>
    <hyperlink ref="T11" r:id="rId1135" display="https://1drv.ms/b/c/94bd56ed68f00427/IQCJmAoajH7SQKGGsRZ95xuNAbCtgsaI6P1AAux-QqWf7iU?e=ms0aLT" xr:uid="{B535415E-C0AC-40BD-A4C3-C46644BB88D6}"/>
    <hyperlink ref="T9" r:id="rId1136" display="https://1drv.ms/b/c/94bd56ed68f00427/IQCt4N86U8muSpSKhzXCCGUUAQMeSNFOvLxxiMOkqjUnm-c?e=MO24NX" xr:uid="{15C6D122-049B-4154-A0F1-D9AF4817FD86}"/>
    <hyperlink ref="T8" r:id="rId1137" display="https://1drv.ms/b/c/94bd56ed68f00427/IQDF3GWhjT7gTYYniq4vMwvxAblecxAoP-nffyxbaI3dsMo?e=9AbeMf" xr:uid="{B97F349E-8607-4811-9A94-1D391BF84888}"/>
    <hyperlink ref="T6" r:id="rId1138" display="https://1drv.ms/b/c/94bd56ed68f00427/IQAsIPCsx5QxTr4w_USpTYQYAWgu6aQttDv30eEYcsXZx1o?e=8D3aAU" xr:uid="{2C94F048-4AF9-4742-B090-EB70D1BFC045}"/>
    <hyperlink ref="T5" r:id="rId1139" display="https://1drv.ms/b/c/94bd56ed68f00427/IQAUBfacvmhQT5GcAW2SQXWcAR4GA3bATFk7tWae5vqa0Jg?e=fhCn6C" xr:uid="{F136BEDC-20E8-47AC-A50A-7BFCE3184C66}"/>
    <hyperlink ref="T4" r:id="rId1140" display="https://1drv.ms/b/c/94bd56ed68f00427/IQDMQx0Co9LmQbt6jApyi4u1ASf_yV6E7Mw70QHV_qg_zgM?e=w1eIWV" xr:uid="{F54BD442-F4FB-4314-82B6-E53C15881F1F}"/>
    <hyperlink ref="T2" r:id="rId1141" display="https://1drv.ms/b/c/94bd56ed68f00427/IQBrW6tMG6jgQLqhOi7jN1ToAVT7clNFw0bUKfu39My18jk?e=tqh4lV" xr:uid="{6EB98E06-64AA-4C03-8675-39F8F78F1D01}"/>
    <hyperlink ref="T124" r:id="rId1142" display="https://1drv.ms/b/c/94bd56ed68f00427/IQB9QxzuBhdVQYauyUHUjfCUAQCNZB6j2fke05zEuTa3o3U?e=uzfMai" xr:uid="{DDC1EE16-E79E-42CE-8F30-EC01B6AD3CDD}"/>
    <hyperlink ref="T123" r:id="rId1143" display="https://1drv.ms/b/c/94bd56ed68f00427/IQABJMlWMMcdRKQGaZUqY4wGAVhgrm2WZZEZuZxjllwNTfs?e=Zf2fhA" xr:uid="{46EE0E46-4350-45A3-A747-3BC688371B4C}"/>
    <hyperlink ref="T119" r:id="rId1144" display="https://1drv.ms/b/c/94bd56ed68f00427/IQBbawWwZ-cCQ4O9pyOiI_RFAUwrsmu-fh0zXoAjNf2U5YI?e=UItawk" xr:uid="{B6C63C35-AF65-47BD-8F81-84F03E8EFE13}"/>
    <hyperlink ref="T114" r:id="rId1145" display="https://1drv.ms/b/c/94bd56ed68f00427/IQBK119An2P9SL3f2jOvONUSAU84Iwd8E5nfYoRFKkA2Uxc?e=oeoY2F" xr:uid="{880FB706-0A8F-40CC-A27E-E5CC4A2CF276}"/>
    <hyperlink ref="T113" r:id="rId1146" display="https://1drv.ms/b/c/94bd56ed68f00427/IQDwjDlUdaIRRrXmODTLIqfEAZehxxZ1l0sxkBHB7BuzO9E?e=fWIOGU" xr:uid="{FEC6188E-539E-460A-8663-F3D0455FC30C}"/>
    <hyperlink ref="T112" r:id="rId1147" display="https://1drv.ms/b/c/94bd56ed68f00427/IQB5z56rhq91SoEkWjh-rhiiAUqT2MILakeSz_UHG5OPfg8?e=99s0cE" xr:uid="{034D3E2B-47CE-4419-BD46-AFABC0CE5E22}"/>
    <hyperlink ref="T111" r:id="rId1148" display="https://1drv.ms/b/c/94bd56ed68f00427/IQAQikzfrRXPSp_-NTtJAdF0Afj4rBiQJrZ7386o6GR433M?e=FGHCD4" xr:uid="{3D6127CD-8635-4C28-8639-93AD357D61D9}"/>
    <hyperlink ref="T110" r:id="rId1149" display="https://1drv.ms/b/c/94bd56ed68f00427/IQBe53qp63eUTpzPbp7uW2rZAT2aoQ2i_SQ4zR5BG9D72FY?e=OFtqB7" xr:uid="{2450875E-8F66-4D2E-B5F1-F0C1C6CBC09E}"/>
    <hyperlink ref="T109" r:id="rId1150" display="https://1drv.ms/b/c/94bd56ed68f00427/IQDdefHmAwEITaEgXD0OQNVsAdeTkIMhufeUKRtHkbBaHkM?e=QQTfaP" xr:uid="{DBB354A9-C51B-4983-8E1D-C7388FFABC70}"/>
    <hyperlink ref="T108" r:id="rId1151" display="https://1drv.ms/b/c/94bd56ed68f00427/IQAhCarUlxMvSYu5bVxjlEF1ASfSjxoglNGEBIcNGDPT3o8?e=Uo00se" xr:uid="{0EB6A860-FC27-40B8-A955-DE367728D9EA}"/>
    <hyperlink ref="T107" r:id="rId1152" display="https://1drv.ms/b/c/94bd56ed68f00427/IQBE9absas0pSayw-LMVX2bHAQ6EmVks_cdzfh75BK_b4c8?e=nNOXAh" xr:uid="{397BCDC7-743F-4390-8AFC-A132F87786A7}"/>
    <hyperlink ref="T105" r:id="rId1153" display="https://1drv.ms/b/c/94bd56ed68f00427/IQBE9absas0pSayw-LMVX2bHAQ6EmVks_cdzfh75BK_b4c8?e=nNOXAh" xr:uid="{7456902B-79EA-490D-9545-60D1C923861F}"/>
    <hyperlink ref="T106" r:id="rId1154" display="https://1drv.ms/b/c/94bd56ed68f00427/IQBE9absas0pSayw-LMVX2bHAQ6EmVks_cdzfh75BK_b4c8?e=nNOXAh" xr:uid="{FFED0A34-D174-4A56-8A7B-84C447F17419}"/>
    <hyperlink ref="T102" r:id="rId1155" display="https://1drv.ms/b/c/94bd56ed68f00427/IQAwSBnVPeo7T45wDMoLO1DoATvAzwM-i5IhCkvoPxJgZaU?e=L8wIy1" xr:uid="{539E9903-1D5B-4A8A-AFBC-18242E6A73DD}"/>
    <hyperlink ref="T103" r:id="rId1156" display="https://1drv.ms/b/c/94bd56ed68f00427/IQAwSBnVPeo7T45wDMoLO1DoATvAzwM-i5IhCkvoPxJgZaU?e=L8wIy1" xr:uid="{87BF9376-C7E1-4FC1-B2BA-FB56270456A3}"/>
    <hyperlink ref="T104" r:id="rId1157" display="https://1drv.ms/b/c/94bd56ed68f00427/IQAwSBnVPeo7T45wDMoLO1DoATvAzwM-i5IhCkvoPxJgZaU?e=L8wIy1" xr:uid="{BC1ED64A-BC1A-483F-8756-63778A45AA78}"/>
    <hyperlink ref="T101" r:id="rId1158" display="https://1drv.ms/b/c/94bd56ed68f00427/IQDgI6UQkIs-S5fWayVzgYKRAfG41hoEvFo3y9Wcuy9R6cQ?e=1CHQFo" xr:uid="{BCC63555-1C6B-4374-9E4B-FC0BCF75B2E3}"/>
    <hyperlink ref="T100" r:id="rId1159" display="https://1drv.ms/b/c/94bd56ed68f00427/IQDi2A34Sx3xT4MZgF_rAzARASlp1CxUPjd65_Cn7qZTwkc?e=3wuVuV" xr:uid="{796682B9-C26A-4605-B613-5CADA3E08717}"/>
    <hyperlink ref="T99" r:id="rId1160" display="https://1drv.ms/b/c/94bd56ed68f00427/IQCIQpVgcDUJSpin_At66YeZAReUhsxpYAdzAcq0MwSTEDQ?e=oLd4uL" xr:uid="{C7CB89C2-6999-4533-8EC6-7B7A20BD6492}"/>
    <hyperlink ref="T97" r:id="rId1161" display="https://1drv.ms/b/c/94bd56ed68f00427/IQBlmbYf7yn3RJxnLiRuJmIPAfrkbsV5uo23oVwIj2ELoXk?e=wKCS34" xr:uid="{624DF2F8-A06E-447D-B8C7-FDBFA61FA5CB}"/>
    <hyperlink ref="T98" r:id="rId1162" display="https://1drv.ms/b/c/94bd56ed68f00427/IQC9lJYrvFfyQqdz65ZogTxQAXMnKsm4-zKhccBKBmGKB84?e=lpZWSX" xr:uid="{F7A79172-E1F8-4F6A-B03C-A442ED51B203}"/>
    <hyperlink ref="H813" r:id="rId1163" xr:uid="{82FB0256-6FCB-42BE-B7AB-BB11D0A08C80}"/>
    <hyperlink ref="H811" r:id="rId1164" xr:uid="{C4EE2D35-B874-4AA5-A0F7-4CC6935DCF86}"/>
    <hyperlink ref="H812" r:id="rId1165" xr:uid="{7CC311DE-21B1-4582-AAAB-6636E169DDDC}"/>
    <hyperlink ref="H814" r:id="rId1166" xr:uid="{51B7AA7C-9BC6-4C46-AFA3-68A29F113E18}"/>
    <hyperlink ref="H865" r:id="rId1167" xr:uid="{1228A2A3-D48B-407A-922C-8B8EEDCF7D50}"/>
    <hyperlink ref="H866" r:id="rId1168" xr:uid="{26ABF90D-263C-4E7B-A02B-7C3F325B20D7}"/>
    <hyperlink ref="H867" r:id="rId1169" xr:uid="{5ECE962B-57AB-482B-951C-3281025B3B83}"/>
    <hyperlink ref="H868" r:id="rId1170" xr:uid="{0D41EFD7-E26B-455A-A96D-F28DE2E6FB0B}"/>
    <hyperlink ref="H869" r:id="rId1171" xr:uid="{231AD69A-8220-4D3A-8842-6BEAB0E883C8}"/>
    <hyperlink ref="H870" r:id="rId1172" xr:uid="{2D124142-00A0-4DDD-9D6D-057FAB5A0F4E}"/>
    <hyperlink ref="H871" r:id="rId1173" xr:uid="{EDB83656-D36C-440F-8D05-9396611ECECD}"/>
    <hyperlink ref="H872" r:id="rId1174" xr:uid="{9E54EC4C-AD8E-4367-9E12-A0CFFA59D7D4}"/>
    <hyperlink ref="T813" r:id="rId1175" xr:uid="{EE21D3CA-FCFB-4F75-A8A0-13325A4FABFD}"/>
    <hyperlink ref="T814" r:id="rId1176" xr:uid="{A7080C1A-CCEC-4B68-9B82-608CB08058B1}"/>
    <hyperlink ref="T811" r:id="rId1177" display="https://1drv.ms/b/c/94bd56ed68f00427/IQBvSkaAlWWPRKGXqKr-ZLffARAg3lQU6LiScgbuBe70qLk?e=he02Rt" xr:uid="{64349FC0-63FE-450D-8D06-5D681020C58F}"/>
    <hyperlink ref="T812" r:id="rId1178" display="https://1drv.ms/b/c/94bd56ed68f00427/IQBvSkaAlWWPRKGXqKr-ZLffARAg3lQU6LiScgbuBe70qLk?e=he02Rt" xr:uid="{5C17B149-DBAF-401C-8425-D3C6EE9911C5}"/>
    <hyperlink ref="H873" r:id="rId1179" xr:uid="{90CF8087-FA50-4E95-816D-1B5A8506D255}"/>
    <hyperlink ref="H874" r:id="rId1180" xr:uid="{8EA1C54D-2A15-460C-8DFB-62A929E18532}"/>
    <hyperlink ref="H968" r:id="rId1181" xr:uid="{4A160FE0-F248-4E6E-8FD6-C67A25E7CB35}"/>
    <hyperlink ref="H815" r:id="rId1182" xr:uid="{42006667-9E55-4FC8-860D-1D38A275FA65}"/>
    <hyperlink ref="H816" r:id="rId1183" xr:uid="{F2C0F88C-64D4-4556-9B16-980418EF4AF4}"/>
    <hyperlink ref="H817" r:id="rId1184" display="mailto:PZindustries@pzcussons.com" xr:uid="{7BC3DC6C-5C09-472D-B69B-C23E165953F0}"/>
    <hyperlink ref="H969" r:id="rId1185" xr:uid="{2946BAE1-F9D1-4F81-BDF9-D3D7765AF010}"/>
    <hyperlink ref="T968" r:id="rId1186" display="https://1drv.ms/b/c/94bd56ed68f00427/IQAR_RCIvY7DRaOHGM8NQ7bQASoYgryPOvi5Rj61ZYVpVKs?e=Fu0y06" xr:uid="{F1A41E6A-BCD0-4D9C-BCEC-26146DBE2D7F}"/>
    <hyperlink ref="T969" r:id="rId1187" display="https://1drv.ms/b/c/94bd56ed68f00427/IQAR_RCIvY7DRaOHGM8NQ7bQASoYgryPOvi5Rj61ZYVpVKs?e=Fu0y06" xr:uid="{ACB89A3E-4D5F-4840-AA44-81EC9017D4CA}"/>
    <hyperlink ref="H970" r:id="rId1188" xr:uid="{85EC1E4F-59C5-41A9-9E85-2EE410406175}"/>
    <hyperlink ref="T970" r:id="rId1189" display="https://1drv.ms/b/c/94bd56ed68f00427/IQAR_RCIvY7DRaOHGM8NQ7bQASoYgryPOvi5Rj61ZYVpVKs?e=Fu0y06" xr:uid="{36281778-E8FF-45B7-879F-357E8013841B}"/>
    <hyperlink ref="T817" r:id="rId1190" xr:uid="{610EA009-CFBC-436C-A857-3FFC9EF00EF1}"/>
    <hyperlink ref="T818" r:id="rId1191" xr:uid="{82ACA072-EB73-4B5F-BEA2-14AA03360905}"/>
    <hyperlink ref="H971" r:id="rId1192" xr:uid="{BABEEA9D-A166-43F0-8DD7-749B088A55A6}"/>
    <hyperlink ref="H818" r:id="rId1193" display="mailto:PZindustries@pzcussons.com" xr:uid="{353DE28A-D0C0-4985-AE55-C834699DFA0D}"/>
    <hyperlink ref="H972" r:id="rId1194" xr:uid="{28729FBF-F99F-48F4-B0E5-E3E25AB833A5}"/>
    <hyperlink ref="T971" r:id="rId1195" display="https://1drv.ms/b/c/94bd56ed68f00427/IQDCJxt2po3fQ7ayd1mH346vAV0-JZSC738WOqI91O4Q1_Y?e=a6Fsp6" xr:uid="{DF793C7B-51DF-4793-A5CF-3532ECB7B62A}"/>
    <hyperlink ref="T972" r:id="rId1196" display="https://1drv.ms/b/c/94bd56ed68f00427/IQDCJxt2po3fQ7ayd1mH346vAV0-JZSC738WOqI91O4Q1_Y?e=a6Fsp6" xr:uid="{B07BD1C3-9B76-4E47-8370-EC32A0BD433D}"/>
    <hyperlink ref="T815" r:id="rId1197" xr:uid="{4DF1475D-73F3-4EC4-9958-6EEAC1FF5CC1}"/>
    <hyperlink ref="T816" r:id="rId1198" xr:uid="{2BF409A0-73A1-4BF6-B6B4-053B39140F15}"/>
    <hyperlink ref="H819" r:id="rId1199" display="mailto:PZindustries@pzcussons.com" xr:uid="{83C73EA1-8AEA-4F8A-9AE6-629057217128}"/>
    <hyperlink ref="H820" r:id="rId1200" display="mailto:PZindustries@pzcussons.com" xr:uid="{512067D8-9BE5-471F-8A9C-BFB726B95027}"/>
    <hyperlink ref="H973" r:id="rId1201" xr:uid="{9FCA0CBA-09BF-4396-B114-874981519E2B}"/>
    <hyperlink ref="H974" r:id="rId1202" xr:uid="{1C8042FA-4065-45CF-BBC9-90F65A547A7F}"/>
    <hyperlink ref="T973" r:id="rId1203" display="https://1drv.ms/b/c/94bd56ed68f00427/IQBLL3nlwhCDQrR_z0E4O1IuAR9jBSMFRnD2L1MpjgxlnBo?e=Ts1WvT" xr:uid="{2FCB0081-B2B9-4808-95E1-7102F79B0511}"/>
    <hyperlink ref="T974" r:id="rId1204" display="https://1drv.ms/b/c/94bd56ed68f00427/IQBLL3nlwhCDQrR_z0E4O1IuAR9jBSMFRnD2L1MpjgxlnBo?e=Ts1WvT" xr:uid="{E98F7225-851D-4368-AD50-BA5B601D922D}"/>
    <hyperlink ref="T819" r:id="rId1205" xr:uid="{7920EACA-7992-42A5-B5E6-3713DD27BF78}"/>
    <hyperlink ref="T820" r:id="rId1206" xr:uid="{1445A898-F04E-41A1-9EDF-01E803500761}"/>
    <hyperlink ref="H975" r:id="rId1207" xr:uid="{04E027EA-A351-49C6-8AAC-F4D81D00FA60}"/>
    <hyperlink ref="H821" r:id="rId1208" xr:uid="{94EE3315-75E1-4A00-9771-101D96F7AE3D}"/>
    <hyperlink ref="T821" r:id="rId1209" xr:uid="{22E39B61-8FB1-415E-A0D8-C5DEEABB6175}"/>
    <hyperlink ref="T976" r:id="rId1210" display="https://1drv.ms/b/c/94bd56ed68f00427/IQB2SXowleZZSL3PS_HYjSq6Aa5xoyeAjPzwQZ4LTnziNG8?e=Uis0R2" xr:uid="{F1472B6E-0099-45BD-9FF0-22632C637EC5}"/>
    <hyperlink ref="T975" r:id="rId1211" display="https://1drv.ms/b/c/94bd56ed68f00427/IQBxPxykRz8sQ7Xhk6TIACaKAf_6znQgfbvyZfdXKkeRDFI?e=jfs4Yc" xr:uid="{CC98E82A-1A6A-4E11-BE32-D5777FE20C27}"/>
    <hyperlink ref="H976" r:id="rId1212" xr:uid="{704945A4-CD74-4FCB-92C2-2796F7399558}"/>
    <hyperlink ref="H977" r:id="rId1213" xr:uid="{A6D47ED4-53F9-4216-9029-8C27AB627955}"/>
    <hyperlink ref="H880" r:id="rId1214" xr:uid="{25254702-EBFD-4A0E-AB88-4C2F6D2DB052}"/>
    <hyperlink ref="H879" r:id="rId1215" xr:uid="{7BC0DD22-BCA1-4D6E-B62A-D3429ACA93B6}"/>
    <hyperlink ref="H978" r:id="rId1216" xr:uid="{36470D95-A59E-494B-9ECC-91C4BA8284A2}"/>
    <hyperlink ref="T978" r:id="rId1217" display="https://1drv.ms/b/c/94bd56ed68f00427/IQAft2jyy_kRR7NNv2k2WCliAVICUA5Ilfku4zz-LrsKKtI?e=YCjDmS" xr:uid="{98CCB7DB-E425-47E9-BB06-5AD5C9FB0DA6}"/>
    <hyperlink ref="T977" r:id="rId1218" display="https://1drv.ms/b/c/94bd56ed68f00427/IQD9g0hD2jt4QJBogjmggCtcASchJGeLrdkrqanwYQW8DKw?e=wzoQW9" xr:uid="{7D45B61C-E136-44B4-8510-4F3000392AA5}"/>
    <hyperlink ref="H979" r:id="rId1219" xr:uid="{1A340944-DFB1-46CF-BE8F-5E475375322A}"/>
    <hyperlink ref="H980" r:id="rId1220" xr:uid="{90720C27-BD4E-452F-974C-35B4CEC71551}"/>
    <hyperlink ref="H981" r:id="rId1221" xr:uid="{89EFAC76-3CCC-4BFA-8D7B-B362E6F0AE4C}"/>
    <hyperlink ref="T979" r:id="rId1222" display="https://1drv.ms/b/c/94bd56ed68f00427/IQBbu2T_wHCNQrBJenmoyKb0Act2BpeEZX6Xm1SKyQwDZBQ?e=rctfG1" xr:uid="{918D09A5-1BA7-4053-9138-181492C6E4C6}"/>
    <hyperlink ref="T980" r:id="rId1223" display="https://1drv.ms/b/c/94bd56ed68f00427/IQBuVz9mpQjRSoYc5mb_KEZ9Af_wZk4PpSWNvZlWeppo58U?e=lbjMuJ" xr:uid="{2BCB7C67-D328-4FB1-9724-E978ECB482B1}"/>
    <hyperlink ref="T981" r:id="rId1224" display="https://1drv.ms/b/c/94bd56ed68f00427/IQAWAJopfBArT4QP0iA4-EGqAdq6JlzeJ3tXViyI4Ms8_Tw?e=UguPF5" xr:uid="{A44DE09C-EBB9-45E5-9805-9CF368D531D6}"/>
    <hyperlink ref="H983" r:id="rId1225" xr:uid="{F3A59D30-0F7B-49B5-896A-AD6F27D74710}"/>
    <hyperlink ref="T983" r:id="rId1226" display="https://1drv.ms/b/c/94bd56ed68f00427/IQCRltHZHS5ATKIxcfKGZi1pAWxCLzaEOJ8KbeVsC6M7F0o?e=sKmNI8" xr:uid="{65BB3726-5AC2-4E8D-964A-279262A9176C}"/>
    <hyperlink ref="H984" r:id="rId1227" xr:uid="{88C33B78-A993-47B2-96B1-922ED42DDF15}"/>
    <hyperlink ref="H985" r:id="rId1228" xr:uid="{2E280B94-E972-4276-ABAE-0EF9F299A258}"/>
    <hyperlink ref="T984:T985" r:id="rId1229" display="https://1drv.ms/b/c/94bd56ed68f00427/IQCRltHZHS5ATKIxcfKGZi1pAWxCLzaEOJ8KbeVsC6M7F0o?e=sKmNI8" xr:uid="{ABF3BE1C-B40E-4869-9C97-27F222CA56C2}"/>
    <hyperlink ref="H986" r:id="rId1230" xr:uid="{F2068FD2-3727-4E72-AE16-5F10488EB659}"/>
    <hyperlink ref="T986" r:id="rId1231" display="https://1drv.ms/b/c/94bd56ed68f00427/IQAeeRQ06rYJRKWbFBWh6itrAcRaY-vKCyOAxp3p5bg63fE?e=KU7qze" xr:uid="{92AC2C3C-B6A8-45DB-B074-98B2E78B6FE0}"/>
    <hyperlink ref="H987" r:id="rId1232" xr:uid="{5021A8D1-C9EA-43E6-98F1-2C158EA7550C}"/>
    <hyperlink ref="T987" r:id="rId1233" display="https://1drv.ms/b/c/94bd56ed68f00427/IQDOxianeYjNR6ZWqBERQDQEASW3nJ-JPMQwdxUIT-8vEjk?e=u5UWPa" xr:uid="{F2088463-198A-4B0E-BC17-B1E376EB9A38}"/>
    <hyperlink ref="H988" r:id="rId1234" xr:uid="{841221EE-ED98-4A3F-87D5-42AF7160D4C3}"/>
    <hyperlink ref="T988" r:id="rId1235" display="https://1drv.ms/b/c/94bd56ed68f00427/IQDOxianeYjNR6ZWqBERQDQEASW3nJ-JPMQwdxUIT-8vEjk?e=u5UWPa" xr:uid="{9680C8F2-07ED-4C60-8E2A-9816B3CCD115}"/>
    <hyperlink ref="H989" r:id="rId1236" xr:uid="{35E5A85E-B671-475F-AE99-0B4FEE99133E}"/>
    <hyperlink ref="T989" r:id="rId1237" display="https://1drv.ms/b/c/94bd56ed68f00427/IQD0fivVDSl5RbprmKRExl6MAVNFJcKMlio4x4J1DcqwRK0?e=7kl8NB" xr:uid="{13A413FF-C93B-4EA2-9994-F2CD6BFA1078}"/>
    <hyperlink ref="T990" r:id="rId1238" display="https://1drv.ms/b/c/94bd56ed68f00427/IQCnEiqpaxltR4bVn_rVH_6LARL5Shg6mKzftAhud0GU1bk?e=ciHwZw" xr:uid="{38549187-4160-4026-87E0-0BFCE57991DF}"/>
    <hyperlink ref="H990" r:id="rId1239" xr:uid="{CB717D67-5F49-47F8-BA4A-B393F289499D}"/>
    <hyperlink ref="H991" r:id="rId1240" xr:uid="{55867208-7E63-446D-807B-757F35EFD3D1}"/>
    <hyperlink ref="H992" r:id="rId1241" xr:uid="{1189E81F-52C1-4A71-AD7C-CA5FCA42E44E}"/>
    <hyperlink ref="T992" r:id="rId1242" display="https://1drv.ms/b/c/94bd56ed68f00427/IQCuukpFSa0uSaFqxv2uvoWmAZ06saANswk61eO-JXhjKvo?e=jHpLMk" xr:uid="{545361A1-DCD7-4D46-900B-7B0B0D9224F7}"/>
    <hyperlink ref="T991" r:id="rId1243" display="https://1drv.ms/b/c/94bd56ed68f00427/IQA2-YeN4FpYT7FHASvHCoFdAfLSOmpvfdSAOBCiDulX6D0?e=EZ8RM3" xr:uid="{C1BCDF1F-B5B2-437C-BFB6-C44F3F7E8B47}"/>
    <hyperlink ref="H993" r:id="rId1244" xr:uid="{9577E5E8-F17E-4CEB-A8DF-78681B45DC20}"/>
    <hyperlink ref="T993" r:id="rId1245" display="https://1drv.ms/b/c/94bd56ed68f00427/IQDX8yzUu_ItSbXhdng0YWHHAdrPqmE72d1K8UPnE35YH_w?e=9XDtlo" xr:uid="{89EE9CC0-A5D7-4AC4-BECB-96F04F7C71DB}"/>
    <hyperlink ref="H994" r:id="rId1246" xr:uid="{CA4E47E5-B896-4AF9-B9A1-E400619BCC4C}"/>
    <hyperlink ref="T994" r:id="rId1247" display="https://1drv.ms/b/c/94bd56ed68f00427/IQASIBW4z9a-TYtxik3Zxxa3AYMY_dc47RRmvdwAOYexSzQ?e=obGi5C" xr:uid="{58DCBBFE-6209-4288-A31C-3F500DAAEBFB}"/>
    <hyperlink ref="H995" r:id="rId1248" display="mailto:phppharma@yahoo.com" xr:uid="{7265F5D7-780B-4CE1-B668-A63E2E9C271A}"/>
    <hyperlink ref="T995" r:id="rId1249" display="https://1drv.ms/b/c/94bd56ed68f00427/IQBk0Cmmd0dTSJu5V54tvzasAZOx3UBe9jDHetSFBYPiWEA?e=6hiujC" xr:uid="{BCCE989B-02AB-492B-8955-E049F728C0A2}"/>
    <hyperlink ref="H996" r:id="rId1250" display="mailto:phppharma@yahoo.com" xr:uid="{138F3108-57B1-4281-808D-FD6787FF2FFD}"/>
    <hyperlink ref="T996" r:id="rId1251" display="https://1drv.ms/b/c/94bd56ed68f00427/IQCqsCdUTI9WR6L69wp4FGakAQuVccBn8SiAeN-IDAsJdHY?e=3sGY3N" xr:uid="{9693486B-0828-43FC-957D-160CD2E8E84F}"/>
    <hyperlink ref="H997" r:id="rId1252" display="mailto:phppharma@yahoo.com" xr:uid="{9DEEC865-7E48-4296-BA8F-508B042C177B}"/>
    <hyperlink ref="T997" r:id="rId1253" display="https://1drv.ms/b/c/94bd56ed68f00427/IQCzmsZul9-bSbYdvz8oqaCBAVHWREPxMHhTspQiXjwqF80?e=YfUMB2" xr:uid="{C8928CE5-6833-4534-A1B0-96074D765A26}"/>
    <hyperlink ref="H998" r:id="rId1254" display="mailto:phppharma@yahoo.com" xr:uid="{11A6EF19-6C7D-4E1D-A44C-0BB346526DA4}"/>
    <hyperlink ref="T998" r:id="rId1255" display="https://1drv.ms/b/c/94bd56ed68f00427/IQDuD8c4tf7wSbxQIfl4zSvLASmr0_V5TOlGTzPELDJBl_0?e=4eRVRS" xr:uid="{DDD3486A-9FE2-451F-B4E0-A900F999E297}"/>
    <hyperlink ref="H999" r:id="rId1256" display="mailto:phppharma@yahoo.com" xr:uid="{2A4A7F6E-0442-4624-9F5F-4623C95BC68B}"/>
    <hyperlink ref="T999" r:id="rId1257" display="https://1drv.ms/b/c/94bd56ed68f00427/IQD0-0lHmih7SJLwT5PwlJ9PAcRkzRluEjYXkUDt04mTrWg?e=lBlsxw" xr:uid="{F4867802-4E1D-4B02-ADF4-1AEF7405E900}"/>
    <hyperlink ref="H1000" r:id="rId1258" display="mailto:phppharma@yahoo.com" xr:uid="{CB0F9BEA-C1D0-4E99-AF4B-C7EAF67D9607}"/>
    <hyperlink ref="H885" r:id="rId1259" xr:uid="{95E98283-6D84-43EA-A58C-04DA73519F96}"/>
    <hyperlink ref="H886" r:id="rId1260" xr:uid="{C2CA999A-E94E-487C-AECE-72EEA19B5E70}"/>
    <hyperlink ref="H887" r:id="rId1261" xr:uid="{B355C821-A910-4866-803C-64E0F54364E3}"/>
    <hyperlink ref="T1000" r:id="rId1262" display="https://1drv.ms/b/c/94bd56ed68f00427/IQD9tjZl33u9R7nqhFNjEodiATci2SbKtk0uSjYMXS5hX9A?e=btVwux" xr:uid="{78ED8AE8-1CA9-44C9-876F-BBFECD34B460}"/>
    <hyperlink ref="T1022" r:id="rId1263" xr:uid="{55A9226A-3DF7-4E97-8D0B-190E8DDF1EDC}"/>
    <hyperlink ref="H1001" r:id="rId1264" display="mailto:phppharma@yahoo.com" xr:uid="{59890E6A-A143-491A-8DDA-28D04F238C78}"/>
    <hyperlink ref="T1001" r:id="rId1265" display="https://1drv.ms/b/c/94bd56ed68f00427/IQB9ttyVFbKNQpY5oZyd0vqLAcT_nw8DRv1BM32pW0RtEmk?e=VzUaEl" xr:uid="{0F44EB1F-AC1A-475B-BD19-132D6487E008}"/>
    <hyperlink ref="H1002" r:id="rId1266" display="mailto:phppharma@yahoo.com" xr:uid="{801BA193-682B-45EA-BF4E-9878306BF03B}"/>
    <hyperlink ref="T1002" r:id="rId1267" display="https://1drv.ms/b/c/94bd56ed68f00427/IQDYU_Cko2X5To4eGkwHuNSmAfeQ63l0_yGuPmruK0d45S8?e=srj1BR" xr:uid="{C289A1EB-8DDA-458F-8681-629FACA296A7}"/>
    <hyperlink ref="H1003" r:id="rId1268" display="mailto:phppharma@yahoo.com" xr:uid="{BC193240-B87A-4AB6-9F25-C6C740E17A7F}"/>
    <hyperlink ref="T1003" r:id="rId1269" display="https://1drv.ms/b/c/94bd56ed68f00427/IQCjsmiqNvhFRa5YWRecqOvGAUD3u-0oACIMUjpsxLba-lQ?e=6h2ovb" xr:uid="{3DC8B5E5-B52F-4EB3-9C25-2CFE2515C321}"/>
    <hyperlink ref="H1004" r:id="rId1270" display="mailto:phppharma@yahoo.com" xr:uid="{7E58152A-504E-4335-9016-C5E89101E650}"/>
    <hyperlink ref="T1004" r:id="rId1271" display="https://1drv.ms/b/c/94bd56ed68f00427/IQD6ebX3YJfrRIuG2TIvnmPlAfj6dJPAfrZtcYrCofJ8zLs?e=BjNafA" xr:uid="{AF7B9747-6A89-4683-A25A-A0818E2C1276}"/>
    <hyperlink ref="H1005" r:id="rId1272" xr:uid="{AD5C4A3E-0D49-4849-BA05-021867D014A9}"/>
    <hyperlink ref="T1005" r:id="rId1273" display="https://1drv.ms/b/c/94bd56ed68f00427/IQD_Rd35ZjSHQonr_I-K0ydsAWdioLv_D06hsfxAU-rrHgU?e=wrAQy0" xr:uid="{FB787588-5FAA-4A3C-B1D4-71EB66AA838B}"/>
    <hyperlink ref="H1022" r:id="rId1274" display="mailto:phppharma@yahoo.com" xr:uid="{2A9B3106-8F7B-4A8F-97DF-27077E153FD9}"/>
    <hyperlink ref="H1021" r:id="rId1275" display="mailto:phppharma@yahoo.com" xr:uid="{747ACBAD-E7A1-492F-A83F-6DB07C44229C}"/>
    <hyperlink ref="H1006" r:id="rId1276" xr:uid="{09EA6EA9-4204-4610-BFFC-15746C7B0923}"/>
    <hyperlink ref="H894" r:id="rId1277" xr:uid="{3CF62116-AB78-4DB1-B1BB-894A0849BC34}"/>
    <hyperlink ref="H896" r:id="rId1278" xr:uid="{1A5B6EF4-5F83-4967-B21F-823E8F49AA84}"/>
    <hyperlink ref="H895" r:id="rId1279" xr:uid="{80BDBC1E-E744-4C98-B908-56C15F613948}"/>
    <hyperlink ref="H1007" r:id="rId1280" xr:uid="{4420ADA8-2D2C-4DE8-9A03-DF61A0DA8E4B}"/>
    <hyperlink ref="T1006" r:id="rId1281" display="https://1drv.ms/b/c/94bd56ed68f00427/IQC14n8HdGwLTIjevT_R-g9ZARqY6ViF0i4e1dDAlT-UyYc?e=nyOWfF" xr:uid="{8D5678D3-5D25-4836-B4C9-AC35CA2EEAD2}"/>
    <hyperlink ref="T1007" r:id="rId1282" display="https://1drv.ms/b/c/94bd56ed68f00427/IQC14n8HdGwLTIjevT_R-g9ZARqY6ViF0i4e1dDAlT-UyYc?e=nyOWfF" xr:uid="{3752178D-7A24-4D18-9590-BDB06787F58C}"/>
    <hyperlink ref="H897" r:id="rId1283" xr:uid="{7A2B810B-F1EC-41A2-B4CC-B2DF62FDA70F}"/>
    <hyperlink ref="H898" r:id="rId1284" xr:uid="{A07D4E91-F911-4AB4-BF31-1031877A2545}"/>
    <hyperlink ref="H899" r:id="rId1285" xr:uid="{78DAF810-8CD7-44FD-85C7-D344FADE8F01}"/>
    <hyperlink ref="H900" r:id="rId1286" xr:uid="{D37619E4-30B8-4828-BAE4-7E43C201BE84}"/>
    <hyperlink ref="T1021" r:id="rId1287" xr:uid="{58EA441F-30B1-408F-BB2C-C5344DF0B9F8}"/>
    <hyperlink ref="H901" r:id="rId1288" xr:uid="{F91A8CE9-F609-4750-BC2D-4B852B24AAA6}"/>
    <hyperlink ref="T1008" r:id="rId1289" display="https://1drv.ms/b/c/94bd56ed68f00427/IQAVMr2w9uPeRKf_x4NuP-7vAfkum5EIPifb9wO5i0XsD0g?e=Q4zcg2" xr:uid="{4AD9AB3A-5220-41FF-B570-FAF3679EE179}"/>
    <hyperlink ref="H1023" r:id="rId1290" xr:uid="{4E2F31C8-D5E8-4E38-9B05-78CA629E6916}"/>
    <hyperlink ref="H1024:H1028" r:id="rId1291" display="dare.ojo@esrnl.com" xr:uid="{99BFCDA0-0C50-4399-A62F-8E760C4AF9EE}"/>
    <hyperlink ref="H1008" r:id="rId1292" xr:uid="{B7C24762-E9B9-4374-9099-0FD7488DDB74}"/>
    <hyperlink ref="T1009" r:id="rId1293" display="https://1drv.ms/b/c/94bd56ed68f00427/IQAVMr2w9uPeRKf_x4NuP-7vAfkum5EIPifb9wO5i0XsD0g?e=Q4zcg2" xr:uid="{51D2F96E-E52B-481F-A471-20A0DB2FE51B}"/>
    <hyperlink ref="H1009" r:id="rId1294" xr:uid="{D62AD738-A4EB-40DE-BE9F-EF9DAD2092DD}"/>
    <hyperlink ref="H902" r:id="rId1295" xr:uid="{D8F1AD2C-8B2E-4674-AA64-1927CD896EAF}"/>
    <hyperlink ref="H903" r:id="rId1296" xr:uid="{DC03A764-4C81-4EFD-B772-9DD3EEC15339}"/>
    <hyperlink ref="H904" r:id="rId1297" xr:uid="{6EEA4A69-12FD-4520-8358-9A0FD3F64010}"/>
    <hyperlink ref="H1010" r:id="rId1298" xr:uid="{EDFD685E-FDCC-43E1-B6D2-4607B529F61A}"/>
    <hyperlink ref="T1010" r:id="rId1299" xr:uid="{27FF58AE-BB24-4E18-87D2-40CB5D61F400}"/>
    <hyperlink ref="H893" r:id="rId1300" xr:uid="{5988AA9D-FF06-45B3-B805-E6A4A2E71773}"/>
    <hyperlink ref="H892" r:id="rId1301" xr:uid="{0A3DDB5B-D731-4A62-B6D0-D82F5B54EBC8}"/>
    <hyperlink ref="H891" r:id="rId1302" xr:uid="{04936E17-8AFA-4654-932F-65583892593E}"/>
    <hyperlink ref="H889" r:id="rId1303" xr:uid="{161BE94B-B376-44E8-839B-BA31F48FB80D}"/>
    <hyperlink ref="H888" r:id="rId1304" xr:uid="{F84E7261-9FA7-4236-90A3-93379EC48778}"/>
    <hyperlink ref="H1011" r:id="rId1305" xr:uid="{509FC8D5-0ABC-4B4E-8ABF-6246258A077A}"/>
    <hyperlink ref="H1012" r:id="rId1306" xr:uid="{0FB6D0B7-1703-4C63-A61F-B8CEB19C7927}"/>
    <hyperlink ref="H1013" r:id="rId1307" xr:uid="{C737E171-1D9B-4FE1-ABB0-59BC1A58AEE4}"/>
    <hyperlink ref="H1014" r:id="rId1308" xr:uid="{5FA8C752-7FA0-47C0-931A-C9281117264B}"/>
    <hyperlink ref="T1013" r:id="rId1309" xr:uid="{83B58615-D1C1-47D9-91E3-30D29EBC6614}"/>
    <hyperlink ref="T1014" r:id="rId1310" xr:uid="{37294F1C-87A7-4D19-8621-33E5E9CB909D}"/>
    <hyperlink ref="T1011" r:id="rId1311" xr:uid="{CC44883C-1988-4E6E-A8B2-CE32889AEDDC}"/>
    <hyperlink ref="T1012" r:id="rId1312" xr:uid="{A93D14F9-E1BD-482F-946F-5DD06E4F0BE5}"/>
    <hyperlink ref="H1015" r:id="rId1313" xr:uid="{A2AD9596-BCA7-4009-AD72-5B1E660E1C09}"/>
    <hyperlink ref="H1029" r:id="rId1314" xr:uid="{06F9D397-D300-4A97-866E-0A336F963F26}"/>
    <hyperlink ref="H1030" r:id="rId1315" xr:uid="{4D042307-47FC-4BFA-AD2D-BCD775BDE2C6}"/>
    <hyperlink ref="H1016" r:id="rId1316" xr:uid="{5A9BBD9E-8F38-4118-B7B3-F2F3CBFFB6C1}"/>
    <hyperlink ref="T1023" r:id="rId1317" xr:uid="{E0ED5480-142B-4470-AA61-600049EC76F3}"/>
    <hyperlink ref="T1024:T1028" r:id="rId1318" display="SO KLIN DETERGENT.pdf" xr:uid="{A91BDB04-9FA6-42D8-AE63-3FD7580D46B1}"/>
    <hyperlink ref="T1015" r:id="rId1319" xr:uid="{ECCBEBE2-6A8A-4F71-86D7-5056230E7078}"/>
    <hyperlink ref="T1016" r:id="rId1320" xr:uid="{DA3FB8D4-EB0F-45EF-881D-F971C0277179}"/>
    <hyperlink ref="H905" r:id="rId1321" xr:uid="{5937F38E-14AD-4D47-8464-75E733DFBC0A}"/>
    <hyperlink ref="T1029" r:id="rId1322" xr:uid="{F20C9B39-2F4E-4418-A82C-FAE5C0A07FC3}"/>
    <hyperlink ref="T1030" r:id="rId1323" xr:uid="{EDB75945-B38C-4EAE-9111-F56A12D22F6B}"/>
    <hyperlink ref="H907" r:id="rId1324" xr:uid="{2A9DCB30-8B3B-42CB-9F36-FF0438ECE7CC}"/>
    <hyperlink ref="H906" r:id="rId1325" xr:uid="{39E0C524-659F-4DCA-9065-DC76E8866391}"/>
    <hyperlink ref="H1017" r:id="rId1326" display="mailto:phppharma@yahoo.com" xr:uid="{B45BE5C6-0B49-491E-89BB-75F9856A1879}"/>
    <hyperlink ref="T1017" r:id="rId1327" display="https://1drv.ms/b/c/94bd56ed68f00427/IQCb1Rqh-TSqRLDUvSnXDYQiAbWLlNT_Cu9nwg1euO-1ILQ?e=bWUvji" xr:uid="{EB3D8889-DD57-4055-8F5F-77EF96322B1F}"/>
    <hyperlink ref="H1018" r:id="rId1328" xr:uid="{14DA5A14-791D-4647-A90B-94540300986C}"/>
    <hyperlink ref="T1018" r:id="rId1329" display="https://1drv.ms/b/c/94bd56ed68f00427/IQAYE-LzXTAwTpDvImbjeGTIAQwcftS1GYnL03gvZu0Rxbg?e=VG9YEZ" xr:uid="{E5F0547E-CD74-40E6-8C0A-3F38536106BB}"/>
    <hyperlink ref="H1019" r:id="rId1330" xr:uid="{31B41CD6-85F7-4E4D-8CE4-47ED063A134D}"/>
    <hyperlink ref="H1020" r:id="rId1331" xr:uid="{9373D5D0-ACC7-4D38-B5FA-15E40448D48B}"/>
    <hyperlink ref="T1019" r:id="rId1332" display="https://1drv.ms/b/c/94bd56ed68f00427/IQDKIK5OVXliRIGG_P5rlr3kAcJlKddnBIgkpz20aWKBbzc?e=CUO5yx" xr:uid="{EC1C8B12-570E-4CE1-8779-50A62D7550E0}"/>
    <hyperlink ref="T1020" r:id="rId1333" display="https://1drv.ms/b/c/94bd56ed68f00427/IQDKIK5OVXliRIGG_P5rlr3kAcJlKddnBIgkpz20aWKBbzc?e=CUO5yx" xr:uid="{90929A80-96D5-4493-9E78-2930F4B52C89}"/>
    <hyperlink ref="H908" r:id="rId1334" xr:uid="{4DE7F123-2210-4B2B-B789-8FEE77F8C3C5}"/>
    <hyperlink ref="H909" r:id="rId1335" xr:uid="{A0252551-5F04-4BE3-9D5A-46704FCE5197}"/>
    <hyperlink ref="T1084" r:id="rId1336" display="https://1drv.ms/b/c/94bd56ed68f00427/IQD8I91-XGTmSLYilal9XcHEAd63LVrhAPjpJdxYAHf6K5Q?e=4MrF5P" xr:uid="{26F95E3B-C6A0-40DD-AA79-EC0FB11BD0E5}"/>
    <hyperlink ref="H1084" r:id="rId1337" xr:uid="{5BA655EC-E7E0-41CC-9EDA-01478E1A6BD9}"/>
    <hyperlink ref="H1085" r:id="rId1338" xr:uid="{3514AF2F-2701-4BFF-A019-C0F3FC260DF2}"/>
    <hyperlink ref="T1085" r:id="rId1339" xr:uid="{62885A3A-EE2A-489C-815F-4BF77C1B1A5B}"/>
    <hyperlink ref="H1086" r:id="rId1340" xr:uid="{B226410F-5AC1-44EA-B4BF-A7389C6D3C1E}"/>
    <hyperlink ref="T1086" r:id="rId1341" display="https://1drv.ms/b/c/94bd56ed68f00427/IQCEkbefiXcSQ7It_VyF8MK9Ada66shiI_BznkFI2jIHM1k?e=d9zUj7" xr:uid="{B8DCF528-C616-478D-9339-4CD4CA9E74AC}"/>
    <hyperlink ref="H1031" r:id="rId1342" xr:uid="{9653E30F-91F5-4856-8385-390700FB9006}"/>
    <hyperlink ref="H1033" r:id="rId1343" xr:uid="{B80B6ADC-D89C-4FEF-985C-56BA96BD9CCE}"/>
    <hyperlink ref="H1087" r:id="rId1344" xr:uid="{52DB32F4-F755-45F4-92CC-09CB98B77062}"/>
    <hyperlink ref="T1087" r:id="rId1345" display="https://1drv.ms/b/c/94bd56ed68f00427/IQCEkbefiXcSQ7It_VyF8MK9Ada66shiI_BznkFI2jIHM1k?e=d9zUj7" xr:uid="{FE73AC3E-545A-4C60-870E-CCEC1BA5E8CD}"/>
    <hyperlink ref="H1032" r:id="rId1346" xr:uid="{8A0F6F2D-743E-42EE-BD9D-CAE7091EA203}"/>
    <hyperlink ref="H1035" r:id="rId1347" xr:uid="{449D755F-E418-4B2A-9B4C-0E735C9219FB}"/>
    <hyperlink ref="H1088" r:id="rId1348" xr:uid="{BEFCDAF9-AFBB-436D-8166-9259898C8D46}"/>
    <hyperlink ref="H1034" r:id="rId1349" xr:uid="{9C66B025-D7CB-4308-A78C-53372081D0F4}"/>
    <hyperlink ref="H1036" r:id="rId1350" xr:uid="{8BFF0407-6783-4375-A0F5-5A3E7A27415E}"/>
    <hyperlink ref="T1088" r:id="rId1351" display="https://1drv.ms/b/c/94bd56ed68f00427/IQB8zOCZ1BjCTIGs0g-dL4PzAUIDVG0v0d-ME9RWWcqFcl0?e=Gqdw5p" xr:uid="{2647758E-16AE-42F1-A97A-C53678A10163}"/>
    <hyperlink ref="H910" r:id="rId1352" xr:uid="{CD600732-3AA0-4877-A7D5-4B31DC9B389A}"/>
    <hyperlink ref="H1089" r:id="rId1353" xr:uid="{1634A054-77D0-4CA1-B4E3-66F1AC6F0506}"/>
    <hyperlink ref="T1031" r:id="rId1354" xr:uid="{8F40BD48-797F-42F4-B715-8361E24C0C36}"/>
    <hyperlink ref="T1089" r:id="rId1355" display="https://1drv.ms/b/c/94bd56ed68f00427/IQCyxCfdZnOsSpQWb66UejuXAe4QIUgSwOozHlIP_aBbPhM?e=O9ios3" xr:uid="{A3887C51-CA37-4A67-BC04-D3E1A3D4F5F3}"/>
    <hyperlink ref="H911" r:id="rId1356" xr:uid="{6C9F97E3-719D-4FC6-A07D-51CCB2177A89}"/>
    <hyperlink ref="H1090" r:id="rId1357" xr:uid="{E7DF6055-56E0-4255-828A-EE4FA5212444}"/>
    <hyperlink ref="H1091" r:id="rId1358" xr:uid="{51EA63FA-71CE-467E-888C-A2126C553630}"/>
    <hyperlink ref="H1092" r:id="rId1359" xr:uid="{0373091D-E9DA-4916-921A-1FF83BBD9225}"/>
    <hyperlink ref="H912" r:id="rId1360" xr:uid="{6A239052-4C9D-433D-BF5E-E89FA1CF9481}"/>
    <hyperlink ref="H1093" r:id="rId1361" xr:uid="{9A217DE1-D9FC-47AA-83EF-6E56C185DB6E}"/>
    <hyperlink ref="H1037" r:id="rId1362" display="mailto:phppharma@yahoo.com" xr:uid="{DEAF94BD-E306-443E-9DD8-44691281FF92}"/>
    <hyperlink ref="H913" r:id="rId1363" xr:uid="{7BCD2BBC-32DF-480A-9783-6F397A2E9644}"/>
    <hyperlink ref="T1093" r:id="rId1364" display="https://1drv.ms/b/c/94bd56ed68f00427/IQBsWuIHfuZVRosPRo7vJKI2AXsVI76RYB5OSOYRajwMvHk?e=qSpeDB" xr:uid="{9FD3EC6E-14CE-47F4-8525-C76F763239AC}"/>
    <hyperlink ref="T1037" r:id="rId1365" xr:uid="{A5D66E03-61B7-465D-9003-A0A795FA2AE1}"/>
    <hyperlink ref="H916" r:id="rId1366" xr:uid="{EA36204A-1167-4586-8870-C75176844798}"/>
    <hyperlink ref="H914" r:id="rId1367" xr:uid="{1CF8A669-CE34-465A-A97C-578FA046DD87}"/>
    <hyperlink ref="H915" r:id="rId1368" xr:uid="{0A5760E6-34F1-49CA-A5BA-ECE9B38B21FC}"/>
    <hyperlink ref="H1038" r:id="rId1369" display="mailto:phppharma@yahoo.com" xr:uid="{EDCC465A-C704-44CA-8F97-7C74A2104CD4}"/>
    <hyperlink ref="H917" r:id="rId1370" xr:uid="{7257E58C-7FD0-4B86-A96A-A4042F6C71EA}"/>
    <hyperlink ref="T1038" r:id="rId1371" xr:uid="{BDAF9EF4-A613-48DA-834C-EF6D29E84981}"/>
    <hyperlink ref="H918" r:id="rId1372" xr:uid="{877139F4-9762-4810-A390-64BB5DDFE950}"/>
    <hyperlink ref="H1039" r:id="rId1373" display="mailto:phppharma@yahoo.com" xr:uid="{AB3E2DBB-2727-43B6-9DD8-DD3F12AF6720}"/>
    <hyperlink ref="T1039" r:id="rId1374" xr:uid="{F2DD00A5-8688-4E69-8A71-630C18C83022}"/>
    <hyperlink ref="H919" r:id="rId1375" xr:uid="{00AA3762-5070-4925-88DB-DE8318457373}"/>
    <hyperlink ref="H1040" r:id="rId1376" display="mailto:phppharma@yahoo.com" xr:uid="{C971D2A7-C86C-44ED-A8D9-A3AAA31D4ED0}"/>
    <hyperlink ref="T1040" r:id="rId1377" xr:uid="{39B9D5AF-1FDB-4501-A22A-3B41633035EF}"/>
    <hyperlink ref="H920" r:id="rId1378" xr:uid="{0A9348ED-C501-412C-B26C-199C1F134C24}"/>
    <hyperlink ref="H822" r:id="rId1379" xr:uid="{8A7F90B1-44D8-432B-A552-308BD2836DFA}"/>
    <hyperlink ref="T822" r:id="rId1380" display="https://1drv.ms/b/c/94bd56ed68f00427/IQCpIjlGHBx4RaSR643tABbnATe-Ke9DFDQveHGHlpVQXMo?e=elav3i" xr:uid="{CA21F12A-25F2-4FF7-B8A4-EC1F47C5266E}"/>
    <hyperlink ref="H921" r:id="rId1381" xr:uid="{72F4F657-255F-42D9-9DA0-BDCF438D96E8}"/>
    <hyperlink ref="H922" r:id="rId1382" xr:uid="{9090217F-5D37-47DC-8784-CAF125D865FA}"/>
    <hyperlink ref="H823" r:id="rId1383" xr:uid="{05F065E6-69A7-4C0F-A867-A238622A5FAE}"/>
    <hyperlink ref="H824" r:id="rId1384" xr:uid="{83A87593-E12B-42C2-A819-93C4FF1D430D}"/>
    <hyperlink ref="H825" r:id="rId1385" xr:uid="{39A173FC-6DE4-4B84-B11E-F74A531C7128}"/>
    <hyperlink ref="H826" r:id="rId1386" xr:uid="{A4B91FDD-7E5B-4ED0-843C-35DD506199C8}"/>
    <hyperlink ref="H923" r:id="rId1387" xr:uid="{53A48A04-D397-4487-BE0B-2397977EA0F8}"/>
    <hyperlink ref="T823" r:id="rId1388" display="https://1drv.ms/b/c/94bd56ed68f00427/IQCH5Xt_fQYQQIotxyXlZ9wbAbGKYP2A1wr_zrv3CViE86c?e=WBPoqR" xr:uid="{58301EDB-5145-49F3-BDC5-168A25ADE90E}"/>
    <hyperlink ref="T824" r:id="rId1389" display="https://1drv.ms/b/c/94bd56ed68f00427/IQCH5Xt_fQYQQIotxyXlZ9wbAbGKYP2A1wr_zrv3CViE86c?e=WBPoqR" xr:uid="{D2FFDFEA-E62B-433E-B0B7-FC8ED9F9CF6B}"/>
    <hyperlink ref="T825" r:id="rId1390" display="https://1drv.ms/b/c/94bd56ed68f00427/IQCH5Xt_fQYQQIotxyXlZ9wbAbGKYP2A1wr_zrv3CViE86c?e=WBPoqR" xr:uid="{6FF67E2C-DCF8-41C7-B8B9-7538F1B1ACAE}"/>
    <hyperlink ref="T826" r:id="rId1391" display="https://1drv.ms/b/c/94bd56ed68f00427/IQCH5Xt_fQYQQIotxyXlZ9wbAbGKYP2A1wr_zrv3CViE86c?e=WBPoqR" xr:uid="{370615AC-F03A-4425-9594-913E0D15E9D6}"/>
    <hyperlink ref="H924" r:id="rId1392" xr:uid="{B0C7F72E-2CD7-4055-BC78-EBF955FDD113}"/>
    <hyperlink ref="H925" r:id="rId1393" xr:uid="{59C94433-6B91-4844-94E1-5674E09C2AB0}"/>
    <hyperlink ref="H926" r:id="rId1394" xr:uid="{7C44ED3A-ACAA-47C7-BCAA-26734160C32C}"/>
    <hyperlink ref="H827" r:id="rId1395" xr:uid="{D109EE73-32DF-481F-A7EA-37D7401862B7}"/>
    <hyperlink ref="H828:H832" r:id="rId1396" display="info@imperiocosmetics.com" xr:uid="{3E64A688-FE72-4D56-876D-90C855B94D9A}"/>
    <hyperlink ref="T827" r:id="rId1397" display="https://1drv.ms/b/c/94bd56ed68f00427/IQCcI78pTTpdTbwFnZVcyaKkAf0nZ_GAiXvvOPz3ZViBmWc?e=Agxgir" xr:uid="{3158A87C-3C70-412D-BB95-8545AB4AD080}"/>
    <hyperlink ref="T828:T832" r:id="rId1398" display="https://1drv.ms/b/c/94bd56ed68f00427/IQCcI78pTTpdTbwFnZVcyaKkAf0nZ_GAiXvvOPz3ZViBmWc?e=Agxgir" xr:uid="{069E39AD-5406-400F-B829-1FB0E6F84A6B}"/>
    <hyperlink ref="H833" r:id="rId1399" xr:uid="{18CAFF88-4AC1-4951-A023-CE7E70CD8F1E}"/>
    <hyperlink ref="T833" r:id="rId1400" display="https://1drv.ms/b/c/94bd56ed68f00427/IQAtpWNr91FwS6j9BYpCdy6PAQjzF_zyFfR3ScgJuNZhs_I?e=KQbdZz" xr:uid="{93B73E6D-2A7F-4EC0-8517-99D6EA951DBD}"/>
    <hyperlink ref="H834" r:id="rId1401" xr:uid="{6D156F10-065B-4D3F-8FC4-ED504B5399A3}"/>
    <hyperlink ref="H927" r:id="rId1402" xr:uid="{555B146A-244D-4E22-8BE7-123814AB7046}"/>
    <hyperlink ref="H928" r:id="rId1403" xr:uid="{AA3AE4DC-E072-4C5F-9127-4596C3FA22BC}"/>
    <hyperlink ref="H929" r:id="rId1404" xr:uid="{52149646-EDC4-43B4-8283-F2CB33C339D2}"/>
    <hyperlink ref="T834" r:id="rId1405" display="https://1drv.ms/b/c/94bd56ed68f00427/IQBYSC2mT2GmR5NbMeeQCKXDAVAWYyp5Qrut79udde_Vero?e=BHmRBy" xr:uid="{322C42C7-8B92-4CE7-A997-39F48FFCCD33}"/>
    <hyperlink ref="H930" r:id="rId1406" xr:uid="{008ABE6A-A448-4358-9296-23A6738D2A06}"/>
    <hyperlink ref="H933" r:id="rId1407" xr:uid="{7B4DDC81-8B1C-4B07-99D5-F175957A08CC}"/>
    <hyperlink ref="H932" r:id="rId1408" xr:uid="{60316865-EBA8-4C89-8914-2BFE4A62E07B}"/>
    <hyperlink ref="H931" r:id="rId1409" xr:uid="{EE71F47B-A9DF-44A6-AAE2-5BF6D35CC420}"/>
    <hyperlink ref="H835" r:id="rId1410" xr:uid="{0824F165-ACD5-4925-B203-CB9E6951DAB8}"/>
    <hyperlink ref="T835" r:id="rId1411" display="https://1drv.ms/b/c/94bd56ed68f00427/IQBHIlKIRc_uTr48NNyK2eELAXmyPF8Qxof1OxraJ9yvtdg?e=fd1aYz" xr:uid="{87800276-4790-470B-BFED-8BA79402A36B}"/>
    <hyperlink ref="H836" r:id="rId1412" xr:uid="{053A25AE-ED10-4787-8353-14FC576A2315}"/>
    <hyperlink ref="T836" r:id="rId1413" display="https://1drv.ms/b/c/94bd56ed68f00427/IQCmHThl9WQVQbN5q1PjJVvqAUKtKuiDJlIzTKBg2izCh0U?e=piuMtb" xr:uid="{E12A87B6-084D-402B-881E-BBC24A747CD8}"/>
    <hyperlink ref="H837" r:id="rId1414" xr:uid="{AFA5AA33-375F-479C-933D-6C17335D102B}"/>
    <hyperlink ref="T837" r:id="rId1415" display="https://1drv.ms/b/c/94bd56ed68f00427/IQA7lwrVzQEuSIoqWfjgtCgWASU6uSM4l0Z997-6sXR_bac?e=GC99aj" xr:uid="{46BEF78B-2972-45A6-9D45-2F295C204E52}"/>
    <hyperlink ref="H838" r:id="rId1416" xr:uid="{4F6EEB01-8543-44BC-A0F2-F3E95F0DE462}"/>
    <hyperlink ref="T838" r:id="rId1417" display="https://1drv.ms/b/c/94bd56ed68f00427/IQAuMElbQCNKTI70jVfvKMA0ATk0esSy1-BwBMmS_CVKRn0?e=7nFrnU" xr:uid="{06E6D084-9309-4D17-A1EC-80EE0B8F510B}"/>
    <hyperlink ref="H839" r:id="rId1418" xr:uid="{7C56C1D8-CDFC-4CEA-9D5D-EEC18402107B}"/>
    <hyperlink ref="T839" r:id="rId1419" display="https://1drv.ms/b/c/94bd56ed68f00427/IQAZcT0W316jTrURmG3tLC3EAVSrCiKkiLDgvojFAbvTNQU?e=plslLD" xr:uid="{88138D50-C7F4-43D0-B9B5-2CF68A8B0218}"/>
    <hyperlink ref="H840" r:id="rId1420" display="abisola.ayodele@pfizer.com" xr:uid="{1185D756-AC71-4F0F-A4F5-E2B0DBCCA777}"/>
    <hyperlink ref="H841" r:id="rId1421" display="abisola.ayodele@pfizer.com" xr:uid="{8EDFDDF5-BB86-45DE-AE41-A97CC782A318}"/>
    <hyperlink ref="T840" r:id="rId1422" display="https://1drv.ms/b/c/94bd56ed68f00427/IQD-xGbSVt3zTKiLYmRxf1CuAQvS0ptuiY_dznQ0c-6udBg?e=r82hgP" xr:uid="{815CEBCA-AAD6-43AB-A6FA-ED36E878ED34}"/>
    <hyperlink ref="T841" r:id="rId1423" display="https://1drv.ms/b/c/94bd56ed68f00427/IQD-xGbSVt3zTKiLYmRxf1CuAQvS0ptuiY_dznQ0c-6udBg?e=r82hgP" xr:uid="{2988CBED-0679-4E62-9F00-AD3C2EC9B8F4}"/>
    <hyperlink ref="H842" r:id="rId1424" xr:uid="{9100480C-0882-4253-8BE0-C2E61CE2FC0E}"/>
    <hyperlink ref="T842" r:id="rId1425" display="https://1drv.ms/b/c/94bd56ed68f00427/IQBvuGVZ3lUdQ7Pkz72imDMwAdBM5nSzQQr1Gl39MTT0WiU?e=Cf1w7m" xr:uid="{8A87FCB7-75BC-4C51-B796-F32FEC836190}"/>
    <hyperlink ref="H843" r:id="rId1426" xr:uid="{4205AD69-FB8B-4685-B52B-EDBFAAE7E306}"/>
    <hyperlink ref="H844" r:id="rId1427" xr:uid="{357000C1-CC3C-43A7-9948-4221ED6F715C}"/>
    <hyperlink ref="T843" r:id="rId1428" display="https://1drv.ms/b/c/94bd56ed68f00427/IQCHnmftYrNEQ7UIxFCNq7yKAY0TgB32PE8qDmSFMwGZ5S0?e=sbSlas" xr:uid="{A1D80A71-E724-4762-AED3-0411C54A1A93}"/>
    <hyperlink ref="T844" r:id="rId1429" display="https://1drv.ms/b/c/94bd56ed68f00427/IQCHnmftYrNEQ7UIxFCNq7yKAY0TgB32PE8qDmSFMwGZ5S0?e=sbSlas" xr:uid="{BB0314FF-B3D2-4C1F-9862-611CDC595678}"/>
    <hyperlink ref="H845" r:id="rId1430" xr:uid="{19A17BEA-272E-4D08-9923-06DE2F929F31}"/>
    <hyperlink ref="H934" r:id="rId1431" xr:uid="{55F50592-74ED-4D8D-AF4B-A423136FBE17}"/>
    <hyperlink ref="H935" r:id="rId1432" xr:uid="{2DF96DDF-3191-4291-B8A5-ADD8F5245622}"/>
    <hyperlink ref="H936" r:id="rId1433" xr:uid="{58360D23-C107-4BDA-8C71-B5A5BF8175C9}"/>
    <hyperlink ref="H846" r:id="rId1434" xr:uid="{554BF971-D9FC-44AD-A26F-1EFE95AE87B7}"/>
    <hyperlink ref="H937" r:id="rId1435" xr:uid="{E5CBBAA4-D254-4397-BC55-DF0C58BE09C9}"/>
    <hyperlink ref="H938" r:id="rId1436" xr:uid="{9C26AF5A-AE9E-4325-B1CA-5A5688AFCE08}"/>
    <hyperlink ref="H939" r:id="rId1437" xr:uid="{037A207B-E886-48CA-8579-C993663FAB8E}"/>
    <hyperlink ref="T845" r:id="rId1438" display="https://1drv.ms/b/c/94bd56ed68f00427/IQDRJMTwDTw-QLE8wo4MrtpqAR00LOYPy_V5VHSUPn1WfR8?e=90HuKb" xr:uid="{36569987-FE63-4C26-8DA8-C6C7FA2AC851}"/>
    <hyperlink ref="T846" r:id="rId1439" display="https://1drv.ms/b/c/94bd56ed68f00427/IQDRJMTwDTw-QLE8wo4MrtpqAR00LOYPy_V5VHSUPn1WfR8?e=90HuKb" xr:uid="{A8694328-35CD-4339-8A9A-AEAD1F47D4C0}"/>
    <hyperlink ref="H940" r:id="rId1440" xr:uid="{B45A9224-7507-410E-874A-47D0C61709D5}"/>
    <hyperlink ref="H847" r:id="rId1441" xr:uid="{3012A59C-B2F9-45E9-8A60-E5A5CBDAAE5A}"/>
    <hyperlink ref="H941" r:id="rId1442" xr:uid="{E0132C07-51DD-40FE-BD1D-EC5E0F23FC65}"/>
    <hyperlink ref="T847" r:id="rId1443" display="https://1drv.ms/b/c/94bd56ed68f00427/IQC58oUJfS6sS6P1anU_OeaKAbQXHhRDIr0fTig78_6_Th8?e=J5ugbP" xr:uid="{7FF4805B-D92F-4AB7-AAA7-FE667E636E1C}"/>
    <hyperlink ref="T848" r:id="rId1444" display="https://1drv.ms/b/c/94bd56ed68f00427/IQC58oUJfS6sS6P1anU_OeaKAbQXHhRDIr0fTig78_6_Th8?e=J5ugbP" xr:uid="{B640B1D7-EC10-4286-A956-E99DD9B7F87C}"/>
    <hyperlink ref="H848" r:id="rId1445" xr:uid="{F47CE7A2-7F70-4B68-82E7-17BDAA687D2A}"/>
    <hyperlink ref="H849" r:id="rId1446" xr:uid="{EDD9DB0B-C1A3-4E3D-8A29-35630A8A150D}"/>
    <hyperlink ref="T849" r:id="rId1447" display="https://1drv.ms/b/c/94bd56ed68f00427/IQDkdmTbcOD2Rqtyea-jsDUCAVhTKVj7JZqxaA2v470amoE?e=gbK6Ih" xr:uid="{3E4662BB-C6B8-4147-A94C-9600F1D09FCB}"/>
    <hyperlink ref="H850" r:id="rId1448" xr:uid="{02EE04A5-9657-4C9F-A3D9-CCCF115B0469}"/>
    <hyperlink ref="T850" r:id="rId1449" display="https://1drv.ms/b/c/94bd56ed68f00427/IQDkdmTbcOD2Rqtyea-jsDUCAVhTKVj7JZqxaA2v470amoE?e=gbK6Ih" xr:uid="{3D398193-EDAA-488B-A1FB-C77BBA997731}"/>
    <hyperlink ref="H851" r:id="rId1450" xr:uid="{7DA39291-9304-4529-AE00-8FFC60B9E273}"/>
    <hyperlink ref="H852" r:id="rId1451" xr:uid="{AB645265-2DCC-421D-9249-C703F4CE2F19}"/>
    <hyperlink ref="H853" r:id="rId1452" xr:uid="{253D45B6-25EA-4BED-8B55-3125F98B534A}"/>
    <hyperlink ref="T851" r:id="rId1453" display="https://1drv.ms/b/c/94bd56ed68f00427/IQCcPoklni9uS6qLxd8eJbgdAYPrxEUXOG7oePT6Dtoh394?e=J5ZjMi" xr:uid="{49036523-8D1F-4974-81A0-7AD9061DFFE9}"/>
    <hyperlink ref="T852" r:id="rId1454" display="https://1drv.ms/b/c/94bd56ed68f00427/IQCcPoklni9uS6qLxd8eJbgdAYPrxEUXOG7oePT6Dtoh394?e=J5ZjMi" xr:uid="{941BBE10-82B6-41C5-958C-B0C3EF8773E6}"/>
    <hyperlink ref="T853" r:id="rId1455" display="https://1drv.ms/b/c/94bd56ed68f00427/IQCcPoklni9uS6qLxd8eJbgdAYPrxEUXOG7oePT6Dtoh394?e=J5ZjMi" xr:uid="{F2B8BDC1-6916-415E-A6BD-187976F23A04}"/>
    <hyperlink ref="H854" r:id="rId1456" xr:uid="{A14B00C3-228D-4ACA-824D-8A719A6F7157}"/>
    <hyperlink ref="T854" r:id="rId1457" display="https://1drv.ms/b/c/94bd56ed68f00427/IQC21ZlZpjBfT6b7l5yhD_qIAb11Tfp8N3Nw1vR5YWTbYrs?e=qPbG1D" xr:uid="{FA2A548D-3AAF-48AE-B00A-8E12ABCE729C}"/>
    <hyperlink ref="H943" r:id="rId1458" xr:uid="{6B7E414E-72C7-48EF-85F0-B0490C0F701B}"/>
    <hyperlink ref="H942" r:id="rId1459" xr:uid="{E0DD8E54-335D-4413-B52E-7F10D2331DD2}"/>
    <hyperlink ref="H944" r:id="rId1460" xr:uid="{45C4E87B-5B12-42DF-AF96-8E98665A41A8}"/>
    <hyperlink ref="H945" r:id="rId1461" xr:uid="{F94BAC25-B4FF-488A-9584-1A0E2F89477F}"/>
    <hyperlink ref="H946" r:id="rId1462" xr:uid="{38F35B64-78A9-49CC-877C-81EBA871654E}"/>
    <hyperlink ref="H948" r:id="rId1463" xr:uid="{42E9E476-8B7B-48A3-B933-7FC5B46CF9A3}"/>
    <hyperlink ref="H947" r:id="rId1464" xr:uid="{061A791A-E651-48BD-86C5-D15550F4463D}"/>
    <hyperlink ref="H949" r:id="rId1465" xr:uid="{13A0335F-224A-4D78-B4AF-0B1E95A5FBE2}"/>
    <hyperlink ref="H950" r:id="rId1466" xr:uid="{89BC121D-FD8B-47E3-B198-E232FBBA5963}"/>
    <hyperlink ref="H951" r:id="rId1467" xr:uid="{2F6C2776-ADCF-49C0-922C-608DE875F0B2}"/>
    <hyperlink ref="H952" r:id="rId1468" xr:uid="{A850AFA1-480C-42A4-8C57-3C751FD00E49}"/>
    <hyperlink ref="H953" r:id="rId1469" xr:uid="{A222F35A-57A6-4A50-A038-8860819F4F3C}"/>
    <hyperlink ref="H954" r:id="rId1470" xr:uid="{523621EF-A60F-4B77-BE68-252A99A70F39}"/>
    <hyperlink ref="H955" r:id="rId1471" xr:uid="{3D64CFB6-7795-4B62-BBF4-7831D7BA528B}"/>
    <hyperlink ref="H956" r:id="rId1472" xr:uid="{14597D37-A811-4061-98B5-C2AE327A2BB8}"/>
    <hyperlink ref="H964" r:id="rId1473" xr:uid="{F2D33F78-DAB8-4E6C-BD18-129B430CE37C}"/>
    <hyperlink ref="H963" r:id="rId1474" xr:uid="{D6566950-2D5B-4465-B00C-4F1E276BEF88}"/>
    <hyperlink ref="H962" r:id="rId1475" xr:uid="{A92AF4CF-2009-42CD-B569-E02213685E4C}"/>
    <hyperlink ref="H961" r:id="rId1476" xr:uid="{32E5FB22-B9AE-45A2-8755-84F20B9C3F68}"/>
    <hyperlink ref="H960" r:id="rId1477" xr:uid="{50F2C65A-CB04-4156-AB97-50AD96BBA853}"/>
    <hyperlink ref="H959" r:id="rId1478" xr:uid="{77724A8D-8AA3-44C6-BA70-E207D5D20AFC}"/>
    <hyperlink ref="H958" r:id="rId1479" xr:uid="{D252C728-4402-4F84-B3CE-5199363ECB28}"/>
    <hyperlink ref="H957" r:id="rId1480" xr:uid="{A60820BE-BC99-42CE-B2B9-1A2A5E78D5E7}"/>
    <hyperlink ref="H966" r:id="rId1481" xr:uid="{EAD8067B-8734-4721-863C-47BF1106703F}"/>
    <hyperlink ref="H967" r:id="rId1482" xr:uid="{32FBDAEC-E5B5-4D5F-B823-4D0044EFA4E3}"/>
    <hyperlink ref="H809" r:id="rId1483" xr:uid="{80C4EFC4-11C0-4977-BC19-1F2290AAD64A}"/>
    <hyperlink ref="H810" r:id="rId1484" xr:uid="{0631F542-FAB3-44AB-BBE8-0AD9D2AAE5C7}"/>
    <hyperlink ref="T809" r:id="rId1485" xr:uid="{1DBF236E-DA28-4723-B150-584ED7C75E14}"/>
    <hyperlink ref="T810" r:id="rId1486" xr:uid="{A7CC59C0-11FA-422A-B37B-3F418723D108}"/>
    <hyperlink ref="T874" r:id="rId1487" xr:uid="{E92D4059-C210-4A95-AD4A-AB3DA3EEDC2F}"/>
    <hyperlink ref="T873" r:id="rId1488" xr:uid="{98B7B94F-BE62-4942-A4C8-CB531EFA3B30}"/>
    <hyperlink ref="T872" r:id="rId1489" xr:uid="{3E96FF8D-0BFB-4E17-BE2D-0E2E73A73A55}"/>
    <hyperlink ref="T871" r:id="rId1490" xr:uid="{724A4E0D-2B4C-4C62-A4DC-5FCAF1BAF5A0}"/>
    <hyperlink ref="T870" r:id="rId1491" xr:uid="{C5E6D92A-5A56-4E29-9CF0-677B3BBE085D}"/>
    <hyperlink ref="T869" r:id="rId1492" xr:uid="{824A1156-C47A-43FC-BD3C-E04648ED9878}"/>
    <hyperlink ref="T868" r:id="rId1493" xr:uid="{FA7E6212-A2FB-4839-A1B9-3EA7F84BD504}"/>
    <hyperlink ref="T867" r:id="rId1494" xr:uid="{E6C1F1C3-F75C-4853-B8CE-290B9251E2FB}"/>
    <hyperlink ref="T866" r:id="rId1495" xr:uid="{AA7F56FF-800C-4B0A-A5EF-1CA5BF811D4D}"/>
    <hyperlink ref="T865" r:id="rId1496" xr:uid="{D6F8A31E-F776-4E5A-B20B-BA1F51F277A8}"/>
    <hyperlink ref="T878" r:id="rId1497" xr:uid="{62B7D7D4-91FE-44E3-A63C-7088A7D43254}"/>
    <hyperlink ref="T877" r:id="rId1498" xr:uid="{4CC496C9-913C-4BB9-9777-A9636BDFAD12}"/>
    <hyperlink ref="T876" r:id="rId1499" xr:uid="{AF95999B-27EB-4D15-9E27-E8DFE0994D24}"/>
    <hyperlink ref="T875" r:id="rId1500" xr:uid="{AA5C5C08-D86F-43A2-958C-EF6A9F03BC0E}"/>
    <hyperlink ref="T879" r:id="rId1501" xr:uid="{57969529-C4E9-4661-94B6-CF8F93FE907D}"/>
    <hyperlink ref="T880" r:id="rId1502" xr:uid="{D90FFD09-5320-471D-B212-B51A4BE1C251}"/>
    <hyperlink ref="T881" r:id="rId1503" xr:uid="{D5ED727F-A169-4A62-A857-F4CADC15384E}"/>
    <hyperlink ref="T882" r:id="rId1504" xr:uid="{2C05CA9A-ECFF-4AAB-8E80-FD057A6A5FF4}"/>
    <hyperlink ref="T883" r:id="rId1505" xr:uid="{426422CD-7FCB-4EFB-B31C-662853051035}"/>
    <hyperlink ref="T884" r:id="rId1506" xr:uid="{A79DB323-743B-4268-A90D-E4EEC2C4299E}"/>
    <hyperlink ref="T885" r:id="rId1507" xr:uid="{798F85EA-0AD1-4E30-AC54-1736E4051FEC}"/>
    <hyperlink ref="T886" r:id="rId1508" xr:uid="{A501E253-96BF-44DB-8A1A-0001B21CCA42}"/>
    <hyperlink ref="T887" r:id="rId1509" xr:uid="{70A9FF50-E9EE-48CA-B661-8B62AA7AEC7D}"/>
    <hyperlink ref="T888" r:id="rId1510" xr:uid="{02715138-10DA-4662-BA4D-0E5E3714D347}"/>
    <hyperlink ref="T889" r:id="rId1511" xr:uid="{B04CB434-AABC-424C-80AE-ED0DBD70CDD6}"/>
    <hyperlink ref="T890" r:id="rId1512" xr:uid="{DA85C8A9-1FAB-453C-925C-C3A03FA35647}"/>
    <hyperlink ref="T891" r:id="rId1513" xr:uid="{DCF5A663-D636-4077-B9C2-318EA26E49D2}"/>
    <hyperlink ref="T892" r:id="rId1514" xr:uid="{DA57210B-04B6-4E13-A976-430F799A8EEF}"/>
    <hyperlink ref="T893" r:id="rId1515" xr:uid="{0276F94F-68BF-4444-B417-CCD336B9A03C}"/>
    <hyperlink ref="T894" r:id="rId1516" xr:uid="{77958B2F-B427-4246-9F4E-D904006369A3}"/>
    <hyperlink ref="T895" r:id="rId1517" xr:uid="{A97FF0DB-0913-40CF-ADE9-CE71200E650C}"/>
    <hyperlink ref="T896" r:id="rId1518" xr:uid="{59A094F1-E51A-4E6D-AB1C-69E3DE877F94}"/>
    <hyperlink ref="T901" r:id="rId1519" xr:uid="{8CEA77BE-E913-40C8-88DA-1288AB8DFA91}"/>
    <hyperlink ref="T902" r:id="rId1520" xr:uid="{E394442C-34AA-4653-B49C-99982B2A4DF0}"/>
    <hyperlink ref="T903" r:id="rId1521" xr:uid="{FD6E0E5A-0E4C-4A80-81FC-034320913088}"/>
    <hyperlink ref="T904" r:id="rId1522" xr:uid="{CD132BE0-2D54-4CB1-B3EF-488ED766FF14}"/>
    <hyperlink ref="T907" r:id="rId1523" xr:uid="{374E153A-136F-4AF4-8F8C-A91192E90C55}"/>
    <hyperlink ref="T906" r:id="rId1524" xr:uid="{48297D4D-9133-456E-B724-3DE6879CAFE8}"/>
    <hyperlink ref="T905" r:id="rId1525" xr:uid="{2D213FDA-6088-4B1F-9443-BC303EB15EAE}"/>
    <hyperlink ref="T908" r:id="rId1526" xr:uid="{AC041FD2-D49A-47C2-A4AA-ABED04B51E37}"/>
    <hyperlink ref="T909" r:id="rId1527" xr:uid="{30AB151D-0AB6-4E6C-9368-95556401F930}"/>
    <hyperlink ref="T910" r:id="rId1528" xr:uid="{2466C60C-1CB1-4DB9-90C0-C6B19668F98D}"/>
    <hyperlink ref="T911" r:id="rId1529" xr:uid="{7F2C67E2-C249-4A4F-8465-14BBD147F611}"/>
    <hyperlink ref="T912" r:id="rId1530" xr:uid="{3C022934-F75B-4924-8EE1-49E6DC22CE49}"/>
    <hyperlink ref="T913" r:id="rId1531" xr:uid="{C8449BA9-5B3D-4D02-82E7-127091D44478}"/>
    <hyperlink ref="T914" r:id="rId1532" xr:uid="{91FB62F7-2BA9-4E87-AC23-8252B3A2E056}"/>
    <hyperlink ref="T915" r:id="rId1533" xr:uid="{0CE2D053-8124-4E39-B853-A9228EEADE5D}"/>
    <hyperlink ref="T916" r:id="rId1534" xr:uid="{652F30CD-F659-4AF8-954B-5FBD7838BD94}"/>
    <hyperlink ref="T917" r:id="rId1535" xr:uid="{3741B481-9815-4D01-A7E2-286EAE9D9C13}"/>
    <hyperlink ref="T918" r:id="rId1536" xr:uid="{B301E42B-A083-45BA-8A05-FAF696DDA0F9}"/>
    <hyperlink ref="T919" r:id="rId1537" xr:uid="{59A8FBBA-FE64-4685-A4E1-0944FBC30438}"/>
    <hyperlink ref="T920" r:id="rId1538" xr:uid="{8044AFA0-BDAB-4690-8F08-82E84FB9D9DD}"/>
    <hyperlink ref="T921" r:id="rId1539" xr:uid="{FA618F63-B5BA-40FA-B1A9-88FB1A801EF1}"/>
    <hyperlink ref="T922" r:id="rId1540" xr:uid="{7D5A24FB-92B6-4800-BEAA-B184AC2231C9}"/>
    <hyperlink ref="T923" r:id="rId1541" xr:uid="{CACD398D-B718-49F8-8E44-E609E67D6639}"/>
    <hyperlink ref="T924" r:id="rId1542" xr:uid="{3A178682-49F7-4300-B634-50E7A8DF405E}"/>
    <hyperlink ref="T925" r:id="rId1543" xr:uid="{EC50747B-A56B-4D72-8861-BB808BE3A295}"/>
    <hyperlink ref="T926" r:id="rId1544" xr:uid="{2B074152-D57C-40C6-A66E-98AD17FE3CF0}"/>
    <hyperlink ref="T929" r:id="rId1545" xr:uid="{EC9DB05D-4484-4D2F-B15E-C7F3EECF0E1D}"/>
    <hyperlink ref="T930" r:id="rId1546" xr:uid="{02BDDE54-3399-40D6-B0BD-F989A267FF39}"/>
    <hyperlink ref="T927" r:id="rId1547" xr:uid="{DF6AD654-9AC3-43D3-BA8F-78D751690FD1}"/>
    <hyperlink ref="T928" r:id="rId1548" xr:uid="{919DAAFF-1808-4202-A6DE-90B268F02381}"/>
    <hyperlink ref="T931" r:id="rId1549" xr:uid="{E640765D-A625-48B1-8165-585F41B110F6}"/>
    <hyperlink ref="T932" r:id="rId1550" xr:uid="{8A4D730F-DBE4-4310-A33A-60E01C032C31}"/>
    <hyperlink ref="T933" r:id="rId1551" xr:uid="{73B9A4B1-4D42-4E49-9B48-13114BE73919}"/>
    <hyperlink ref="T934" r:id="rId1552" xr:uid="{51B87AC9-945F-4B86-856C-A6A3708DBE6B}"/>
    <hyperlink ref="T935" r:id="rId1553" xr:uid="{726F4D5B-79FF-4156-9BF8-39E931FFDFA4}"/>
    <hyperlink ref="T936" r:id="rId1554" xr:uid="{F203DC0D-38DA-48F5-8F08-CC182CE8999F}"/>
    <hyperlink ref="T937" r:id="rId1555" xr:uid="{D0775B13-27F0-487D-B933-ED0AEA2421F9}"/>
    <hyperlink ref="T938" r:id="rId1556" xr:uid="{7A8051F7-5EF0-4D3C-BD40-912367E1501E}"/>
    <hyperlink ref="T939" r:id="rId1557" xr:uid="{F2C7B4CF-59BF-45B2-A495-8BC3991523BA}"/>
    <hyperlink ref="T940" r:id="rId1558" xr:uid="{765CF5CD-6E09-4B9E-BCC0-A3ABA871BD38}"/>
    <hyperlink ref="T941" r:id="rId1559" xr:uid="{73D605CB-5850-442A-8882-83C04A421F94}"/>
    <hyperlink ref="T955" r:id="rId1560" xr:uid="{A657C846-88FF-4259-973A-4C91586CF547}"/>
    <hyperlink ref="T945" r:id="rId1561" xr:uid="{6632E792-8A01-433D-8EFD-58C0A3977771}"/>
    <hyperlink ref="T946" r:id="rId1562" xr:uid="{31629C7D-68F9-4417-8A65-62A3FB26D801}"/>
    <hyperlink ref="T947" r:id="rId1563" xr:uid="{E67E9EF6-A323-4BB3-81CC-F8037F48F450}"/>
    <hyperlink ref="T948" r:id="rId1564" xr:uid="{45C14340-FF5B-4CEA-BCF0-EE85213C2338}"/>
    <hyperlink ref="T949" r:id="rId1565" xr:uid="{8BD99E34-20FE-4279-8086-821CD17EAFD0}"/>
    <hyperlink ref="T950" r:id="rId1566" xr:uid="{30AC84FE-73AE-49DA-9ECD-C6AECB798E82}"/>
    <hyperlink ref="T951" r:id="rId1567" xr:uid="{7C8D65E5-3FBD-4AEE-B952-08A90710DF30}"/>
    <hyperlink ref="T952" r:id="rId1568" xr:uid="{CE081F2D-5E89-4A53-8DB3-9847328ABF71}"/>
    <hyperlink ref="T953" r:id="rId1569" xr:uid="{A4148C17-4147-4D22-9EC5-F1F7A0330946}"/>
    <hyperlink ref="T954" r:id="rId1570" xr:uid="{B2B012DF-5244-4456-93CD-84436251C6E2}"/>
    <hyperlink ref="T944" r:id="rId1571" xr:uid="{E9CEAACE-5A46-4EE3-894B-F7D0CE967AF7}"/>
    <hyperlink ref="T943" r:id="rId1572" xr:uid="{34652AEF-6152-46AC-AB92-92541F1BD115}"/>
    <hyperlink ref="T942" r:id="rId1573" xr:uid="{E1432251-616A-4A40-80D2-B5C606AD2788}"/>
    <hyperlink ref="T964" r:id="rId1574" xr:uid="{3E4A7D4E-0C8D-4ACE-BCA0-62958F10D2AA}"/>
    <hyperlink ref="T963" r:id="rId1575" xr:uid="{EEFDF404-7E28-4F54-AEF5-7D79BCF9C678}"/>
    <hyperlink ref="T962" r:id="rId1576" xr:uid="{79516D58-347C-4EAB-9638-6267A965D0A1}"/>
    <hyperlink ref="T961" r:id="rId1577" xr:uid="{D1B52A15-E5CB-4BCE-AC86-83530F2F1B52}"/>
    <hyperlink ref="T960" r:id="rId1578" xr:uid="{B2FE13E5-4165-4797-B7DD-333357C2D3D1}"/>
    <hyperlink ref="T959" r:id="rId1579" xr:uid="{C7FC2B3F-B1DF-4ABC-8529-2636ECE7949D}"/>
    <hyperlink ref="T958" r:id="rId1580" xr:uid="{33030F37-8140-4891-9B88-2D071C6B2D5B}"/>
    <hyperlink ref="T957" r:id="rId1581" xr:uid="{149D68D6-D93E-47A1-B08C-2C7292F0B1C6}"/>
    <hyperlink ref="T956" r:id="rId1582" xr:uid="{ECD79BB9-1BBE-459A-BC23-54D138B420A0}"/>
    <hyperlink ref="T965" r:id="rId1583" xr:uid="{2102A043-95DA-4E63-9F17-A47955EA787C}"/>
    <hyperlink ref="T967" r:id="rId1584" xr:uid="{30D51596-0A40-47CC-BA1C-A57DE3B59258}"/>
    <hyperlink ref="T966" r:id="rId1585" xr:uid="{E48D2E6B-F60A-4180-80D2-DF795653F488}"/>
    <hyperlink ref="AA660" r:id="rId1586" xr:uid="{3B8EF5B3-33C1-4730-8B05-FBAC0FAD8760}"/>
    <hyperlink ref="AA661" r:id="rId1587" xr:uid="{EC90514B-211C-4560-B303-81ABC5462312}"/>
    <hyperlink ref="AA691" r:id="rId1588" xr:uid="{0A572E9A-902A-4A50-9A11-4E1CC38233D8}"/>
    <hyperlink ref="AA615" r:id="rId1589" xr:uid="{41782116-0FD9-4155-8506-487CF47FB74B}"/>
    <hyperlink ref="AA609" r:id="rId1590" xr:uid="{A5FCD249-BCE3-47EE-8204-2A9595637F47}"/>
    <hyperlink ref="AA415" r:id="rId1591" xr:uid="{E0BB7FF6-5BCD-47C0-998A-78AFD29B5DEE}"/>
    <hyperlink ref="AA177" r:id="rId1592" xr:uid="{CB3A4DF6-7F9D-4510-8129-2C6C07AA2073}"/>
    <hyperlink ref="H686" r:id="rId1593" xr:uid="{73A376B9-8F99-48B0-8899-BFD780C91578}"/>
    <hyperlink ref="H687" r:id="rId1594" xr:uid="{F7CEEEB4-66BC-43A5-B135-9346D8F28930}"/>
    <hyperlink ref="T687" r:id="rId1595" xr:uid="{E7A57394-98EB-467B-A750-212E6C56A51D}"/>
    <hyperlink ref="H692" r:id="rId1596" xr:uid="{0EF5A9CD-50F0-40B2-84E7-D0D782F044BE}"/>
    <hyperlink ref="T118" r:id="rId1597" display="https://1drv.ms/b/c/94bd56ed68f00427/IQDj4UgxOzLZTboH03sB9DfYARIrXIKV38ld1ENpMz_Jjvk?e=sWyvIr" xr:uid="{6425D370-7B2E-400A-9C23-78F29BB0454E}"/>
    <hyperlink ref="T115" r:id="rId1598" xr:uid="{11F8A887-1215-4177-ADAB-F6E343AFE190}"/>
    <hyperlink ref="T116" r:id="rId1599" xr:uid="{9D602CB9-36E1-4E6A-AEE1-A2A17D7D3DB1}"/>
    <hyperlink ref="T117" r:id="rId1600" xr:uid="{F23D7FD6-8F62-43AF-91D3-6F3E0908A44F}"/>
    <hyperlink ref="T23:T31" r:id="rId1601" display="https://1drv.ms/b/c/94bd56ed68f00427/IQAHdVrAS_vGT4RDfwHgUhwmASYe0mSje83sUuFaBN3sH8w?e=j5Ucsw" xr:uid="{900D4A9A-D167-4C96-BCC3-F1EFD2258A0A}"/>
    <hyperlink ref="AA29" r:id="rId1602" xr:uid="{F88B363B-24A5-4863-989E-169A76F2B0BA}"/>
    <hyperlink ref="AA59" r:id="rId1603" xr:uid="{B2C16DE4-4F34-41DD-8A71-26D3FF09627D}"/>
    <hyperlink ref="AA98" r:id="rId1604" xr:uid="{00B1AE78-33CB-4F2F-AF48-F5941188DD5B}"/>
    <hyperlink ref="AA969" r:id="rId1605" xr:uid="{BBCFF099-F2EB-48F9-B793-214F646FE633}"/>
    <hyperlink ref="AA687" r:id="rId1606" xr:uid="{557697ED-5AB2-4B59-AB4C-99CB87100CA6}"/>
    <hyperlink ref="AA978" r:id="rId1607" xr:uid="{DC15040E-847A-4226-8B4F-6C3181FF78E1}"/>
    <hyperlink ref="AA979" r:id="rId1608" xr:uid="{A72E5276-7089-4CB6-8E07-867483CBD103}"/>
    <hyperlink ref="AA981" r:id="rId1609" xr:uid="{A545F7F4-27F6-4E66-93E7-06C66A36C21B}"/>
  </hyperlinks>
  <pageMargins left="0.7" right="0.7" top="0.75" bottom="0.75" header="0.3" footer="0.3"/>
  <pageSetup orientation="portrait" r:id="rId1610"/>
  <drawing r:id="rId16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3D44B-1B29-4BE9-8FC6-109FBE794589}">
  <dimension ref="A1:AG401"/>
  <sheetViews>
    <sheetView topLeftCell="B30" workbookViewId="0">
      <selection activeCell="J40" sqref="J40"/>
    </sheetView>
  </sheetViews>
  <sheetFormatPr defaultRowHeight="14.4"/>
  <cols>
    <col min="1" max="1" width="4" customWidth="1"/>
    <col min="2" max="2" width="20.33203125" customWidth="1"/>
    <col min="3" max="3" width="14" customWidth="1"/>
    <col min="4" max="4" width="19.5546875" customWidth="1"/>
    <col min="5" max="5" width="35" customWidth="1"/>
    <col min="6" max="9" width="28" customWidth="1"/>
    <col min="10" max="10" width="14" style="117" customWidth="1"/>
    <col min="11" max="13" width="14" customWidth="1"/>
    <col min="14" max="14" width="18" customWidth="1"/>
    <col min="15" max="15" width="26" customWidth="1"/>
    <col min="16" max="16" width="32" customWidth="1"/>
    <col min="17" max="17" width="38" customWidth="1"/>
    <col min="18" max="18" width="12" customWidth="1"/>
    <col min="19" max="19" width="26" customWidth="1"/>
    <col min="20" max="21" width="14" customWidth="1"/>
    <col min="22" max="22" width="26" customWidth="1"/>
    <col min="23" max="23" width="12" customWidth="1"/>
    <col min="24" max="24" width="14" customWidth="1"/>
    <col min="25" max="25" width="18" customWidth="1"/>
    <col min="26" max="26" width="14" customWidth="1"/>
    <col min="27" max="27" width="18" customWidth="1"/>
    <col min="28" max="28" width="14" customWidth="1"/>
    <col min="29" max="29" width="18" customWidth="1"/>
    <col min="30" max="30" width="16" customWidth="1"/>
    <col min="31" max="31" width="12" customWidth="1"/>
    <col min="32" max="32" width="13" customWidth="1"/>
    <col min="33" max="33" width="28" customWidth="1"/>
  </cols>
  <sheetData>
    <row r="1" spans="1:33" ht="15" customHeight="1">
      <c r="A1" s="154" t="s">
        <v>3522</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row>
    <row r="2" spans="1:33" ht="15" customHeight="1">
      <c r="A2" s="156" t="s">
        <v>3523</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row>
    <row r="3" spans="1:33" ht="15" customHeight="1">
      <c r="A3" s="157" t="s">
        <v>3524</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row>
    <row r="4" spans="1:33" ht="55.2" customHeight="1">
      <c r="A4" s="82" t="s">
        <v>3525</v>
      </c>
      <c r="B4" s="83" t="s">
        <v>3526</v>
      </c>
      <c r="C4" s="82" t="s">
        <v>3527</v>
      </c>
      <c r="D4" s="82" t="s">
        <v>3528</v>
      </c>
      <c r="E4" s="84" t="s">
        <v>3529</v>
      </c>
      <c r="F4" s="84" t="s">
        <v>3530</v>
      </c>
      <c r="G4" s="84" t="s">
        <v>3531</v>
      </c>
      <c r="H4" s="84" t="s">
        <v>8</v>
      </c>
      <c r="I4" s="84" t="s">
        <v>7</v>
      </c>
      <c r="J4" s="147" t="s">
        <v>3532</v>
      </c>
      <c r="K4" s="85" t="s">
        <v>3533</v>
      </c>
      <c r="L4" s="85" t="s">
        <v>3534</v>
      </c>
      <c r="M4" s="85" t="s">
        <v>3535</v>
      </c>
      <c r="N4" s="84" t="s">
        <v>3536</v>
      </c>
      <c r="O4" s="84" t="s">
        <v>3537</v>
      </c>
      <c r="P4" s="84" t="s">
        <v>3538</v>
      </c>
      <c r="Q4" s="84" t="s">
        <v>3539</v>
      </c>
      <c r="R4" s="83" t="s">
        <v>3540</v>
      </c>
      <c r="S4" s="85" t="s">
        <v>3541</v>
      </c>
      <c r="T4" s="83" t="s">
        <v>3542</v>
      </c>
      <c r="U4" s="83" t="s">
        <v>3543</v>
      </c>
      <c r="V4" s="83" t="s">
        <v>3544</v>
      </c>
      <c r="W4" s="85" t="s">
        <v>3545</v>
      </c>
      <c r="X4" s="86" t="s">
        <v>3546</v>
      </c>
      <c r="Y4" s="86" t="s">
        <v>3547</v>
      </c>
      <c r="Z4" s="86" t="s">
        <v>3548</v>
      </c>
      <c r="AA4" s="86" t="s">
        <v>3549</v>
      </c>
      <c r="AB4" s="86" t="s">
        <v>3550</v>
      </c>
      <c r="AC4" s="86" t="s">
        <v>3551</v>
      </c>
      <c r="AD4" s="83" t="s">
        <v>3552</v>
      </c>
      <c r="AE4" s="83" t="s">
        <v>3553</v>
      </c>
      <c r="AF4" s="82" t="s">
        <v>3554</v>
      </c>
      <c r="AG4" s="82" t="s">
        <v>3555</v>
      </c>
    </row>
    <row r="5" spans="1:33" ht="30.6" customHeight="1">
      <c r="A5" s="87">
        <f t="shared" ref="A5:A69" si="0">IF(B5&lt;&gt;"",(ROW()-4),"")</f>
        <v>1</v>
      </c>
      <c r="B5" s="103" t="str">
        <f t="shared" ref="B5:B69" si="1">IF(D5&lt;&gt;"","CASE-PMS-ADV-2026-"&amp;TEXT(ROW()-4,"000"),"")</f>
        <v>CASE-PMS-ADV-2026-001</v>
      </c>
      <c r="C5" s="101">
        <v>46217</v>
      </c>
      <c r="D5" s="89" t="s">
        <v>149</v>
      </c>
      <c r="E5" s="89" t="s">
        <v>3556</v>
      </c>
      <c r="F5" s="105" t="s">
        <v>3557</v>
      </c>
      <c r="G5" s="105" t="s">
        <v>3558</v>
      </c>
      <c r="H5" s="145" t="s">
        <v>3559</v>
      </c>
      <c r="I5" s="146" t="s">
        <v>3560</v>
      </c>
      <c r="J5" s="148" t="s">
        <v>3561</v>
      </c>
      <c r="K5" s="87" t="s">
        <v>163</v>
      </c>
      <c r="L5" s="87" t="s">
        <v>3562</v>
      </c>
      <c r="M5" s="101">
        <v>46225</v>
      </c>
      <c r="N5" s="89" t="s">
        <v>3563</v>
      </c>
      <c r="O5" s="89" t="s">
        <v>3564</v>
      </c>
      <c r="P5" s="89" t="s">
        <v>3565</v>
      </c>
      <c r="Q5" s="89" t="s">
        <v>3566</v>
      </c>
      <c r="R5" s="87"/>
      <c r="S5" s="4" t="s">
        <v>3567</v>
      </c>
      <c r="T5" s="87"/>
      <c r="U5" s="87"/>
      <c r="V5" s="90"/>
      <c r="W5" s="90"/>
      <c r="X5" s="87"/>
      <c r="Y5" s="90"/>
      <c r="Z5" s="87"/>
      <c r="AA5" s="90"/>
      <c r="AB5" s="87"/>
      <c r="AC5" s="90"/>
      <c r="AD5" s="87" t="s">
        <v>3568</v>
      </c>
      <c r="AE5" s="87" t="s">
        <v>3569</v>
      </c>
      <c r="AF5" s="87"/>
      <c r="AG5" s="90"/>
    </row>
    <row r="6" spans="1:33" ht="24.6" customHeight="1">
      <c r="A6" s="87"/>
      <c r="B6" s="103"/>
      <c r="C6" s="101">
        <v>46217</v>
      </c>
      <c r="D6" s="89" t="s">
        <v>3570</v>
      </c>
      <c r="E6" s="89" t="s">
        <v>3571</v>
      </c>
      <c r="F6" s="105" t="s">
        <v>3572</v>
      </c>
      <c r="G6" s="89" t="s">
        <v>3573</v>
      </c>
      <c r="H6" s="145" t="s">
        <v>3574</v>
      </c>
      <c r="I6" s="146" t="s">
        <v>3575</v>
      </c>
      <c r="J6" s="148" t="s">
        <v>104</v>
      </c>
      <c r="K6" s="87" t="s">
        <v>3576</v>
      </c>
      <c r="L6" s="87" t="s">
        <v>3562</v>
      </c>
      <c r="M6" s="101">
        <v>46217</v>
      </c>
      <c r="N6" s="89" t="s">
        <v>3577</v>
      </c>
      <c r="O6" s="89" t="s">
        <v>145</v>
      </c>
      <c r="P6" s="89"/>
      <c r="Q6" s="89"/>
      <c r="R6" s="87"/>
      <c r="S6" s="89"/>
      <c r="T6" s="102">
        <v>46219</v>
      </c>
      <c r="U6" s="87"/>
      <c r="V6" s="90" t="s">
        <v>3578</v>
      </c>
      <c r="W6" s="90"/>
      <c r="X6" s="87"/>
      <c r="Y6" s="90"/>
      <c r="Z6" s="87"/>
      <c r="AA6" s="90"/>
      <c r="AB6" s="87"/>
      <c r="AC6" s="90"/>
      <c r="AD6" s="87"/>
      <c r="AE6" s="87"/>
      <c r="AF6" s="87"/>
      <c r="AG6" s="90"/>
    </row>
    <row r="7" spans="1:33" ht="43.2" customHeight="1">
      <c r="A7" s="91">
        <f t="shared" si="0"/>
        <v>3</v>
      </c>
      <c r="B7" s="104" t="str">
        <f t="shared" si="1"/>
        <v>CASE-PMS-ADV-2026-003</v>
      </c>
      <c r="C7" s="101">
        <v>46217</v>
      </c>
      <c r="D7" s="89" t="s">
        <v>149</v>
      </c>
      <c r="E7" s="89" t="s">
        <v>3579</v>
      </c>
      <c r="F7" s="105" t="s">
        <v>3580</v>
      </c>
      <c r="G7" s="89" t="s">
        <v>3581</v>
      </c>
      <c r="H7" s="145" t="s">
        <v>3582</v>
      </c>
      <c r="I7" s="146" t="s">
        <v>3583</v>
      </c>
      <c r="J7" s="148" t="s">
        <v>3584</v>
      </c>
      <c r="K7" s="91" t="s">
        <v>163</v>
      </c>
      <c r="L7" s="91" t="s">
        <v>3562</v>
      </c>
      <c r="M7" s="101">
        <v>46225</v>
      </c>
      <c r="N7" s="89" t="s">
        <v>3585</v>
      </c>
      <c r="O7" s="89" t="s">
        <v>3564</v>
      </c>
      <c r="P7" s="89" t="s">
        <v>3565</v>
      </c>
      <c r="Q7" s="89" t="s">
        <v>3586</v>
      </c>
      <c r="R7" s="91"/>
      <c r="S7" s="4" t="s">
        <v>3587</v>
      </c>
      <c r="T7" s="91"/>
      <c r="U7" s="91"/>
      <c r="V7" s="92"/>
      <c r="W7" s="92"/>
      <c r="X7" s="91"/>
      <c r="Y7" s="92"/>
      <c r="Z7" s="91"/>
      <c r="AA7" s="92"/>
      <c r="AB7" s="91"/>
      <c r="AC7" s="92"/>
      <c r="AD7" s="91" t="s">
        <v>3568</v>
      </c>
      <c r="AE7" s="91" t="s">
        <v>3569</v>
      </c>
      <c r="AF7" s="91"/>
      <c r="AG7" s="92"/>
    </row>
    <row r="8" spans="1:33" ht="50.4" customHeight="1">
      <c r="A8" s="87">
        <f t="shared" si="0"/>
        <v>4</v>
      </c>
      <c r="B8" s="103" t="str">
        <f t="shared" si="1"/>
        <v>CASE-PMS-ADV-2026-004</v>
      </c>
      <c r="C8" s="101">
        <v>46217</v>
      </c>
      <c r="D8" s="89" t="s">
        <v>149</v>
      </c>
      <c r="E8" s="89" t="s">
        <v>3588</v>
      </c>
      <c r="F8" s="105" t="s">
        <v>3589</v>
      </c>
      <c r="G8" s="89" t="s">
        <v>3590</v>
      </c>
      <c r="H8" s="145" t="s">
        <v>3591</v>
      </c>
      <c r="I8" s="146" t="s">
        <v>3592</v>
      </c>
      <c r="J8" s="148" t="s">
        <v>3593</v>
      </c>
      <c r="K8" s="87" t="s">
        <v>163</v>
      </c>
      <c r="L8" s="87" t="s">
        <v>3562</v>
      </c>
      <c r="M8" s="101">
        <v>46225</v>
      </c>
      <c r="N8" s="89" t="s">
        <v>3585</v>
      </c>
      <c r="O8" s="89" t="s">
        <v>3564</v>
      </c>
      <c r="P8" s="89" t="s">
        <v>3565</v>
      </c>
      <c r="Q8" s="89" t="s">
        <v>3594</v>
      </c>
      <c r="R8" s="87"/>
      <c r="S8" s="4" t="s">
        <v>3595</v>
      </c>
      <c r="T8" s="87"/>
      <c r="U8" s="87"/>
      <c r="V8" s="90"/>
      <c r="W8" s="90"/>
      <c r="X8" s="87"/>
      <c r="Y8" s="90"/>
      <c r="Z8" s="87"/>
      <c r="AA8" s="90"/>
      <c r="AB8" s="87"/>
      <c r="AC8" s="90"/>
      <c r="AD8" s="87" t="s">
        <v>3568</v>
      </c>
      <c r="AE8" s="87" t="s">
        <v>3569</v>
      </c>
      <c r="AF8" s="87"/>
      <c r="AG8" s="90" t="s">
        <v>3596</v>
      </c>
    </row>
    <row r="9" spans="1:33" ht="27.6" customHeight="1">
      <c r="A9" s="91">
        <f t="shared" si="0"/>
        <v>5</v>
      </c>
      <c r="B9" s="104" t="str">
        <f t="shared" si="1"/>
        <v>CASE-PMS-ADV-2026-005</v>
      </c>
      <c r="C9" s="101">
        <v>46217</v>
      </c>
      <c r="D9" s="89" t="s">
        <v>149</v>
      </c>
      <c r="E9" s="89" t="s">
        <v>3597</v>
      </c>
      <c r="F9" s="105" t="s">
        <v>3598</v>
      </c>
      <c r="G9" s="89" t="s">
        <v>3599</v>
      </c>
      <c r="H9" s="145" t="s">
        <v>3600</v>
      </c>
      <c r="I9" s="152" t="s">
        <v>3601</v>
      </c>
      <c r="J9" s="148" t="s">
        <v>3602</v>
      </c>
      <c r="K9" s="91" t="s">
        <v>163</v>
      </c>
      <c r="L9" s="91" t="s">
        <v>3562</v>
      </c>
      <c r="M9" s="101">
        <v>46225</v>
      </c>
      <c r="N9" s="89" t="s">
        <v>3585</v>
      </c>
      <c r="O9" s="89" t="s">
        <v>3564</v>
      </c>
      <c r="P9" s="89" t="s">
        <v>3565</v>
      </c>
      <c r="Q9" s="89" t="s">
        <v>3603</v>
      </c>
      <c r="R9" s="91"/>
      <c r="S9" s="4" t="s">
        <v>3604</v>
      </c>
      <c r="T9" s="91"/>
      <c r="U9" s="91"/>
      <c r="V9" s="92"/>
      <c r="W9" s="92"/>
      <c r="X9" s="91"/>
      <c r="Y9" s="92"/>
      <c r="Z9" s="91"/>
      <c r="AA9" s="92"/>
      <c r="AB9" s="91"/>
      <c r="AC9" s="92"/>
      <c r="AD9" s="91" t="s">
        <v>3568</v>
      </c>
      <c r="AE9" s="91" t="s">
        <v>3569</v>
      </c>
      <c r="AF9" s="91"/>
      <c r="AG9" s="92" t="s">
        <v>3605</v>
      </c>
    </row>
    <row r="10" spans="1:33" ht="47.4" customHeight="1">
      <c r="A10" s="87">
        <f t="shared" si="0"/>
        <v>6</v>
      </c>
      <c r="B10" s="103" t="str">
        <f t="shared" si="1"/>
        <v>CASE-PMS-ADV-2026-006</v>
      </c>
      <c r="C10" s="101">
        <v>46217</v>
      </c>
      <c r="D10" s="89" t="s">
        <v>149</v>
      </c>
      <c r="E10" s="89" t="s">
        <v>3606</v>
      </c>
      <c r="F10" s="105" t="s">
        <v>3580</v>
      </c>
      <c r="G10" s="89" t="s">
        <v>3581</v>
      </c>
      <c r="H10" s="145" t="s">
        <v>3582</v>
      </c>
      <c r="I10" s="146" t="s">
        <v>3583</v>
      </c>
      <c r="J10" s="148" t="s">
        <v>3607</v>
      </c>
      <c r="K10" s="87" t="s">
        <v>163</v>
      </c>
      <c r="L10" s="87" t="s">
        <v>3562</v>
      </c>
      <c r="M10" s="101">
        <v>46225</v>
      </c>
      <c r="N10" s="89" t="s">
        <v>3585</v>
      </c>
      <c r="O10" s="89" t="s">
        <v>3564</v>
      </c>
      <c r="P10" s="89" t="s">
        <v>3565</v>
      </c>
      <c r="Q10" s="89" t="s">
        <v>3608</v>
      </c>
      <c r="R10" s="87"/>
      <c r="S10" s="4" t="s">
        <v>3609</v>
      </c>
      <c r="T10" s="87"/>
      <c r="U10" s="87"/>
      <c r="V10" s="90"/>
      <c r="W10" s="90"/>
      <c r="X10" s="87"/>
      <c r="Y10" s="90"/>
      <c r="Z10" s="87"/>
      <c r="AA10" s="90"/>
      <c r="AB10" s="87"/>
      <c r="AC10" s="90"/>
      <c r="AD10" s="87" t="s">
        <v>3568</v>
      </c>
      <c r="AE10" s="87" t="s">
        <v>3569</v>
      </c>
      <c r="AF10" s="87"/>
      <c r="AG10" s="90"/>
    </row>
    <row r="11" spans="1:33" ht="23.4" customHeight="1">
      <c r="A11" s="91">
        <f t="shared" si="0"/>
        <v>7</v>
      </c>
      <c r="B11" s="104" t="str">
        <f t="shared" si="1"/>
        <v>CASE-PMS-ADV-2026-007</v>
      </c>
      <c r="C11" s="101">
        <v>46217</v>
      </c>
      <c r="D11" s="89" t="s">
        <v>149</v>
      </c>
      <c r="E11" s="89" t="s">
        <v>3610</v>
      </c>
      <c r="F11" s="105" t="s">
        <v>3611</v>
      </c>
      <c r="G11" s="89" t="s">
        <v>1131</v>
      </c>
      <c r="H11" s="105" t="s">
        <v>3612</v>
      </c>
      <c r="I11" s="105" t="s">
        <v>3070</v>
      </c>
      <c r="J11" s="148" t="s">
        <v>3613</v>
      </c>
      <c r="K11" s="91" t="s">
        <v>163</v>
      </c>
      <c r="L11" s="91" t="s">
        <v>3562</v>
      </c>
      <c r="M11" s="101">
        <v>46225</v>
      </c>
      <c r="N11" s="89" t="s">
        <v>3614</v>
      </c>
      <c r="O11" s="89" t="s">
        <v>3564</v>
      </c>
      <c r="P11" s="89" t="s">
        <v>3565</v>
      </c>
      <c r="Q11" s="89" t="s">
        <v>3615</v>
      </c>
      <c r="R11" s="91"/>
      <c r="S11" s="4" t="s">
        <v>3616</v>
      </c>
      <c r="T11" s="91"/>
      <c r="U11" s="91"/>
      <c r="V11" s="92"/>
      <c r="W11" s="92"/>
      <c r="X11" s="91"/>
      <c r="Y11" s="92"/>
      <c r="Z11" s="91"/>
      <c r="AA11" s="92"/>
      <c r="AB11" s="91"/>
      <c r="AC11" s="92"/>
      <c r="AD11" s="91" t="s">
        <v>3568</v>
      </c>
      <c r="AE11" s="91" t="s">
        <v>3569</v>
      </c>
      <c r="AF11" s="91"/>
      <c r="AG11" s="92"/>
    </row>
    <row r="12" spans="1:33" ht="24.6" customHeight="1">
      <c r="A12" s="87">
        <f t="shared" si="0"/>
        <v>8</v>
      </c>
      <c r="B12" s="103" t="str">
        <f t="shared" si="1"/>
        <v>CASE-PMS-ADV-2026-008</v>
      </c>
      <c r="C12" s="101">
        <v>46217</v>
      </c>
      <c r="D12" s="89" t="s">
        <v>149</v>
      </c>
      <c r="E12" s="89" t="s">
        <v>3617</v>
      </c>
      <c r="F12" s="105" t="s">
        <v>3618</v>
      </c>
      <c r="G12" s="89" t="s">
        <v>3619</v>
      </c>
      <c r="H12" s="151" t="s">
        <v>3620</v>
      </c>
      <c r="I12" s="152" t="s">
        <v>3621</v>
      </c>
      <c r="J12" s="148" t="s">
        <v>3622</v>
      </c>
      <c r="K12" s="87" t="s">
        <v>3576</v>
      </c>
      <c r="L12" s="87" t="s">
        <v>3562</v>
      </c>
      <c r="M12" s="101">
        <v>46225</v>
      </c>
      <c r="N12" s="89" t="s">
        <v>3614</v>
      </c>
      <c r="O12" s="89" t="s">
        <v>3564</v>
      </c>
      <c r="P12" s="89" t="s">
        <v>3565</v>
      </c>
      <c r="Q12" s="89" t="s">
        <v>3623</v>
      </c>
      <c r="R12" s="87"/>
      <c r="S12" s="4" t="s">
        <v>3624</v>
      </c>
      <c r="T12" s="87"/>
      <c r="U12" s="87"/>
      <c r="V12" s="90"/>
      <c r="W12" s="90"/>
      <c r="X12" s="87"/>
      <c r="Y12" s="90"/>
      <c r="Z12" s="87"/>
      <c r="AA12" s="90"/>
      <c r="AB12" s="87"/>
      <c r="AC12" s="90"/>
      <c r="AD12" s="87" t="s">
        <v>3568</v>
      </c>
      <c r="AE12" s="87" t="s">
        <v>3569</v>
      </c>
      <c r="AF12" s="87"/>
      <c r="AG12" s="90"/>
    </row>
    <row r="13" spans="1:33" ht="36" customHeight="1">
      <c r="A13" s="91">
        <f t="shared" si="0"/>
        <v>9</v>
      </c>
      <c r="B13" s="104" t="str">
        <f t="shared" si="1"/>
        <v>CASE-PMS-ADV-2026-009</v>
      </c>
      <c r="C13" s="101">
        <v>46217</v>
      </c>
      <c r="D13" s="89" t="s">
        <v>149</v>
      </c>
      <c r="E13" s="89" t="s">
        <v>3625</v>
      </c>
      <c r="F13" s="105" t="s">
        <v>3626</v>
      </c>
      <c r="G13" s="105" t="s">
        <v>3627</v>
      </c>
      <c r="H13" s="105" t="s">
        <v>3628</v>
      </c>
      <c r="I13" s="105" t="s">
        <v>3629</v>
      </c>
      <c r="J13" s="148" t="s">
        <v>3630</v>
      </c>
      <c r="K13" s="91" t="s">
        <v>163</v>
      </c>
      <c r="L13" s="91" t="s">
        <v>3562</v>
      </c>
      <c r="M13" s="101">
        <v>46225</v>
      </c>
      <c r="N13" s="89" t="s">
        <v>3614</v>
      </c>
      <c r="O13" s="89" t="s">
        <v>3564</v>
      </c>
      <c r="P13" s="89" t="s">
        <v>3565</v>
      </c>
      <c r="Q13" s="89" t="s">
        <v>3631</v>
      </c>
      <c r="R13" s="91"/>
      <c r="S13" s="4" t="s">
        <v>3632</v>
      </c>
      <c r="T13" s="91"/>
      <c r="U13" s="91"/>
      <c r="V13" s="92"/>
      <c r="W13" s="92"/>
      <c r="X13" s="91"/>
      <c r="Y13" s="92"/>
      <c r="Z13" s="91"/>
      <c r="AA13" s="92"/>
      <c r="AB13" s="91"/>
      <c r="AC13" s="92"/>
      <c r="AD13" s="91" t="s">
        <v>3568</v>
      </c>
      <c r="AE13" s="91" t="s">
        <v>3569</v>
      </c>
      <c r="AF13" s="91"/>
      <c r="AG13" s="92" t="s">
        <v>3633</v>
      </c>
    </row>
    <row r="14" spans="1:33" ht="25.2" customHeight="1">
      <c r="A14" s="87">
        <f t="shared" si="0"/>
        <v>10</v>
      </c>
      <c r="B14" s="103" t="str">
        <f t="shared" si="1"/>
        <v>CASE-PMS-ADV-2026-010</v>
      </c>
      <c r="C14" s="101">
        <v>46217</v>
      </c>
      <c r="D14" s="89" t="s">
        <v>149</v>
      </c>
      <c r="E14" s="89" t="s">
        <v>3634</v>
      </c>
      <c r="F14" s="89" t="s">
        <v>3635</v>
      </c>
      <c r="G14" s="105"/>
      <c r="H14" s="105"/>
      <c r="I14" s="105"/>
      <c r="J14" s="148" t="s">
        <v>3636</v>
      </c>
      <c r="K14" s="87" t="s">
        <v>163</v>
      </c>
      <c r="L14" s="87" t="s">
        <v>3562</v>
      </c>
      <c r="M14" s="101">
        <v>46225</v>
      </c>
      <c r="N14" s="89" t="s">
        <v>3614</v>
      </c>
      <c r="O14" s="89" t="s">
        <v>3564</v>
      </c>
      <c r="P14" s="89" t="s">
        <v>3565</v>
      </c>
      <c r="Q14" s="89" t="s">
        <v>3637</v>
      </c>
      <c r="R14" s="87"/>
      <c r="S14" s="4" t="s">
        <v>3638</v>
      </c>
      <c r="T14" s="87"/>
      <c r="U14" s="87"/>
      <c r="V14" s="90"/>
      <c r="W14" s="90"/>
      <c r="X14" s="87"/>
      <c r="Y14" s="90"/>
      <c r="Z14" s="87"/>
      <c r="AA14" s="90"/>
      <c r="AB14" s="87"/>
      <c r="AC14" s="90"/>
      <c r="AD14" s="87" t="s">
        <v>3568</v>
      </c>
      <c r="AE14" s="87" t="s">
        <v>3569</v>
      </c>
      <c r="AF14" s="87"/>
      <c r="AG14" s="90"/>
    </row>
    <row r="15" spans="1:33" ht="23.4" customHeight="1">
      <c r="A15" s="91">
        <f t="shared" si="0"/>
        <v>11</v>
      </c>
      <c r="B15" s="104" t="str">
        <f t="shared" si="1"/>
        <v>CASE-PMS-ADV-2026-011</v>
      </c>
      <c r="C15" s="101">
        <v>46217</v>
      </c>
      <c r="D15" s="89" t="s">
        <v>149</v>
      </c>
      <c r="E15" s="89" t="s">
        <v>3639</v>
      </c>
      <c r="F15" s="89" t="s">
        <v>3635</v>
      </c>
      <c r="G15" s="144"/>
      <c r="H15" s="144"/>
      <c r="I15" s="144"/>
      <c r="K15" s="91" t="s">
        <v>3576</v>
      </c>
      <c r="L15" s="91" t="s">
        <v>3562</v>
      </c>
      <c r="M15" s="101">
        <v>46225</v>
      </c>
      <c r="N15" s="89" t="s">
        <v>3614</v>
      </c>
      <c r="O15" s="89" t="s">
        <v>3564</v>
      </c>
      <c r="P15" s="89" t="s">
        <v>3565</v>
      </c>
      <c r="Q15" s="89" t="s">
        <v>3640</v>
      </c>
      <c r="R15" s="91"/>
      <c r="S15" s="4" t="s">
        <v>3638</v>
      </c>
      <c r="T15" s="91"/>
      <c r="U15" s="91"/>
      <c r="V15" s="92"/>
      <c r="W15" s="92"/>
      <c r="X15" s="91"/>
      <c r="Y15" s="92"/>
      <c r="Z15" s="91"/>
      <c r="AA15" s="92"/>
      <c r="AB15" s="91"/>
      <c r="AC15" s="92"/>
      <c r="AD15" s="91" t="s">
        <v>3568</v>
      </c>
      <c r="AE15" s="91" t="s">
        <v>3569</v>
      </c>
      <c r="AF15" s="91"/>
    </row>
    <row r="16" spans="1:33" ht="22.2" customHeight="1">
      <c r="A16" s="87">
        <f t="shared" si="0"/>
        <v>12</v>
      </c>
      <c r="B16" s="103" t="str">
        <f t="shared" si="1"/>
        <v>CASE-PMS-ADV-2026-012</v>
      </c>
      <c r="C16" s="101">
        <v>46217</v>
      </c>
      <c r="D16" s="89" t="s">
        <v>149</v>
      </c>
      <c r="E16" s="89" t="s">
        <v>3641</v>
      </c>
      <c r="F16" s="89" t="s">
        <v>3635</v>
      </c>
      <c r="G16" s="105"/>
      <c r="H16" s="105"/>
      <c r="I16" s="105"/>
      <c r="J16" s="148" t="s">
        <v>3642</v>
      </c>
      <c r="K16" s="87" t="s">
        <v>163</v>
      </c>
      <c r="L16" s="87" t="s">
        <v>3562</v>
      </c>
      <c r="M16" s="101">
        <v>46225</v>
      </c>
      <c r="N16" s="89" t="s">
        <v>3614</v>
      </c>
      <c r="O16" s="89" t="s">
        <v>3564</v>
      </c>
      <c r="P16" s="89" t="s">
        <v>3565</v>
      </c>
      <c r="Q16" s="89" t="s">
        <v>3631</v>
      </c>
      <c r="R16" s="87"/>
      <c r="S16" s="4" t="s">
        <v>3638</v>
      </c>
      <c r="T16" s="87"/>
      <c r="U16" s="87"/>
      <c r="V16" s="90"/>
      <c r="W16" s="90"/>
      <c r="X16" s="87"/>
      <c r="Y16" s="90"/>
      <c r="Z16" s="87"/>
      <c r="AA16" s="90"/>
      <c r="AB16" s="87"/>
      <c r="AC16" s="90"/>
      <c r="AD16" s="87" t="s">
        <v>3568</v>
      </c>
      <c r="AE16" s="87" t="s">
        <v>3569</v>
      </c>
      <c r="AF16" s="87"/>
      <c r="AG16" s="90"/>
    </row>
    <row r="17" spans="1:33" ht="15" customHeight="1">
      <c r="A17" s="91">
        <f t="shared" si="0"/>
        <v>13</v>
      </c>
      <c r="B17" s="104" t="str">
        <f t="shared" si="1"/>
        <v>CASE-PMS-ADV-2026-013</v>
      </c>
      <c r="C17" s="101">
        <v>46217</v>
      </c>
      <c r="D17" s="89" t="s">
        <v>149</v>
      </c>
      <c r="E17" s="89" t="s">
        <v>3643</v>
      </c>
      <c r="F17" s="105" t="s">
        <v>3626</v>
      </c>
      <c r="G17" s="105"/>
      <c r="H17" s="105"/>
      <c r="I17" s="105"/>
      <c r="J17" s="148" t="s">
        <v>3644</v>
      </c>
      <c r="K17" s="91" t="s">
        <v>163</v>
      </c>
      <c r="L17" s="91" t="s">
        <v>3562</v>
      </c>
      <c r="M17" s="101">
        <v>46225</v>
      </c>
      <c r="N17" s="89" t="s">
        <v>3614</v>
      </c>
      <c r="O17" s="89" t="s">
        <v>3564</v>
      </c>
      <c r="P17" s="89" t="s">
        <v>3565</v>
      </c>
      <c r="Q17" s="89"/>
      <c r="R17" s="91"/>
      <c r="S17" s="4" t="s">
        <v>3645</v>
      </c>
      <c r="T17" s="91"/>
      <c r="U17" s="91"/>
      <c r="V17" s="92"/>
      <c r="W17" s="92"/>
      <c r="X17" s="91"/>
      <c r="Y17" s="92"/>
      <c r="Z17" s="91"/>
      <c r="AA17" s="92"/>
      <c r="AB17" s="91"/>
      <c r="AC17" s="92"/>
      <c r="AD17" s="91" t="s">
        <v>3568</v>
      </c>
      <c r="AE17" s="91" t="s">
        <v>3569</v>
      </c>
      <c r="AF17" s="91"/>
      <c r="AG17" s="92"/>
    </row>
    <row r="18" spans="1:33" ht="21.6" customHeight="1">
      <c r="A18" s="87">
        <f t="shared" si="0"/>
        <v>14</v>
      </c>
      <c r="B18" s="103" t="str">
        <f t="shared" si="1"/>
        <v>CASE-PMS-ADV-2026-014</v>
      </c>
      <c r="C18" s="101">
        <v>46217</v>
      </c>
      <c r="D18" s="89" t="s">
        <v>149</v>
      </c>
      <c r="E18" s="89" t="s">
        <v>3646</v>
      </c>
      <c r="F18" s="105" t="s">
        <v>3647</v>
      </c>
      <c r="G18" s="105"/>
      <c r="H18" s="105"/>
      <c r="I18" s="105"/>
      <c r="J18" s="148" t="s">
        <v>3648</v>
      </c>
      <c r="K18" s="87" t="s">
        <v>163</v>
      </c>
      <c r="L18" s="87" t="s">
        <v>3562</v>
      </c>
      <c r="M18" s="101">
        <v>46225</v>
      </c>
      <c r="N18" s="89" t="s">
        <v>3585</v>
      </c>
      <c r="O18" s="89" t="s">
        <v>3564</v>
      </c>
      <c r="P18" s="89" t="s">
        <v>3565</v>
      </c>
      <c r="Q18" s="89" t="s">
        <v>3649</v>
      </c>
      <c r="R18" s="87"/>
      <c r="S18" s="4" t="s">
        <v>3650</v>
      </c>
      <c r="T18" s="87"/>
      <c r="U18" s="87"/>
      <c r="V18" s="90"/>
      <c r="W18" s="90"/>
      <c r="X18" s="87"/>
      <c r="Y18" s="90"/>
      <c r="Z18" s="87"/>
      <c r="AA18" s="90"/>
      <c r="AB18" s="87"/>
      <c r="AC18" s="90"/>
      <c r="AD18" s="87" t="s">
        <v>3568</v>
      </c>
      <c r="AE18" s="87" t="s">
        <v>3569</v>
      </c>
      <c r="AF18" s="87"/>
      <c r="AG18" s="90"/>
    </row>
    <row r="19" spans="1:33" ht="15" customHeight="1">
      <c r="A19" s="91">
        <f t="shared" si="0"/>
        <v>15</v>
      </c>
      <c r="B19" s="104" t="str">
        <f t="shared" si="1"/>
        <v>CASE-PMS-ADV-2026-015</v>
      </c>
      <c r="C19" s="101">
        <v>46217</v>
      </c>
      <c r="D19" s="89" t="s">
        <v>149</v>
      </c>
      <c r="E19" s="89" t="s">
        <v>3651</v>
      </c>
      <c r="F19" s="105" t="s">
        <v>3118</v>
      </c>
      <c r="G19" s="105"/>
      <c r="H19" s="105"/>
      <c r="I19" s="105"/>
      <c r="J19" s="148" t="s">
        <v>3652</v>
      </c>
      <c r="K19" s="87" t="s">
        <v>163</v>
      </c>
      <c r="L19" s="91" t="s">
        <v>3562</v>
      </c>
      <c r="M19" s="101">
        <v>46225</v>
      </c>
      <c r="N19" s="89" t="s">
        <v>3614</v>
      </c>
      <c r="O19" s="89" t="s">
        <v>3564</v>
      </c>
      <c r="P19" s="89" t="s">
        <v>3565</v>
      </c>
      <c r="Q19" s="89" t="s">
        <v>3653</v>
      </c>
      <c r="R19" s="91"/>
      <c r="S19" s="4" t="s">
        <v>3654</v>
      </c>
      <c r="T19" s="91"/>
      <c r="U19" s="91"/>
      <c r="V19" s="92"/>
      <c r="W19" s="92"/>
      <c r="X19" s="91"/>
      <c r="Y19" s="92"/>
      <c r="Z19" s="91"/>
      <c r="AA19" s="92"/>
      <c r="AB19" s="91"/>
      <c r="AC19" s="92"/>
      <c r="AD19" s="91" t="s">
        <v>3568</v>
      </c>
      <c r="AE19" s="91" t="s">
        <v>3569</v>
      </c>
      <c r="AF19" s="91"/>
      <c r="AG19" s="92"/>
    </row>
    <row r="20" spans="1:33" ht="15" customHeight="1">
      <c r="A20" s="87">
        <f t="shared" si="0"/>
        <v>16</v>
      </c>
      <c r="B20" s="103" t="str">
        <f t="shared" si="1"/>
        <v>CASE-PMS-ADV-2026-016</v>
      </c>
      <c r="C20" s="101">
        <v>46217</v>
      </c>
      <c r="D20" s="89" t="s">
        <v>149</v>
      </c>
      <c r="E20" s="89" t="s">
        <v>3655</v>
      </c>
      <c r="F20" s="105" t="s">
        <v>3656</v>
      </c>
      <c r="G20" s="105"/>
      <c r="H20" s="105"/>
      <c r="I20" s="105"/>
      <c r="J20" s="148" t="s">
        <v>3657</v>
      </c>
      <c r="K20" s="87" t="s">
        <v>163</v>
      </c>
      <c r="L20" s="87" t="s">
        <v>3562</v>
      </c>
      <c r="M20" s="101">
        <v>46225</v>
      </c>
      <c r="N20" s="89" t="s">
        <v>3614</v>
      </c>
      <c r="O20" s="89" t="s">
        <v>3564</v>
      </c>
      <c r="P20" s="89" t="s">
        <v>3565</v>
      </c>
      <c r="Q20" s="89" t="s">
        <v>3658</v>
      </c>
      <c r="R20" s="87"/>
      <c r="S20" s="4" t="s">
        <v>3659</v>
      </c>
      <c r="T20" s="87"/>
      <c r="U20" s="87"/>
      <c r="V20" s="90"/>
      <c r="W20" s="90"/>
      <c r="X20" s="87"/>
      <c r="Y20" s="90"/>
      <c r="Z20" s="87"/>
      <c r="AA20" s="90"/>
      <c r="AB20" s="87"/>
      <c r="AC20" s="90"/>
      <c r="AD20" s="87" t="s">
        <v>3568</v>
      </c>
      <c r="AE20" s="87" t="s">
        <v>3569</v>
      </c>
      <c r="AF20" s="87"/>
      <c r="AG20" s="90"/>
    </row>
    <row r="21" spans="1:33" ht="25.2" customHeight="1">
      <c r="A21" s="91">
        <f t="shared" si="0"/>
        <v>17</v>
      </c>
      <c r="B21" s="104" t="str">
        <f t="shared" si="1"/>
        <v>CASE-PMS-ADV-2026-017</v>
      </c>
      <c r="C21" s="101">
        <v>46217</v>
      </c>
      <c r="D21" s="89" t="s">
        <v>149</v>
      </c>
      <c r="E21" s="89" t="s">
        <v>3660</v>
      </c>
      <c r="F21" s="89" t="s">
        <v>3661</v>
      </c>
      <c r="G21" s="105"/>
      <c r="H21" s="105"/>
      <c r="I21" s="105"/>
      <c r="J21" s="148" t="s">
        <v>3662</v>
      </c>
      <c r="K21" s="91" t="s">
        <v>163</v>
      </c>
      <c r="L21" s="91" t="s">
        <v>3562</v>
      </c>
      <c r="M21" s="101">
        <v>46225</v>
      </c>
      <c r="N21" s="89" t="s">
        <v>3614</v>
      </c>
      <c r="O21" s="89" t="s">
        <v>3564</v>
      </c>
      <c r="P21" s="89" t="s">
        <v>3565</v>
      </c>
      <c r="Q21" s="89" t="s">
        <v>3663</v>
      </c>
      <c r="R21" s="91"/>
      <c r="S21" s="4" t="s">
        <v>3664</v>
      </c>
      <c r="T21" s="91"/>
      <c r="U21" s="91"/>
      <c r="V21" s="92"/>
      <c r="W21" s="92"/>
      <c r="X21" s="91"/>
      <c r="Y21" s="92"/>
      <c r="Z21" s="91"/>
      <c r="AA21" s="92"/>
      <c r="AB21" s="91"/>
      <c r="AC21" s="92"/>
      <c r="AD21" s="91" t="s">
        <v>3568</v>
      </c>
      <c r="AE21" s="91" t="s">
        <v>3569</v>
      </c>
      <c r="AF21" s="91"/>
      <c r="AG21" s="92"/>
    </row>
    <row r="22" spans="1:33" ht="15" customHeight="1">
      <c r="A22" s="87">
        <f t="shared" si="0"/>
        <v>18</v>
      </c>
      <c r="B22" s="103" t="str">
        <f t="shared" si="1"/>
        <v>CASE-PMS-ADV-2026-018</v>
      </c>
      <c r="C22" s="101">
        <v>46217</v>
      </c>
      <c r="D22" s="89" t="s">
        <v>3665</v>
      </c>
      <c r="E22" s="89" t="s">
        <v>3666</v>
      </c>
      <c r="F22" s="105" t="s">
        <v>3667</v>
      </c>
      <c r="G22" s="105"/>
      <c r="H22" s="105"/>
      <c r="I22" s="105"/>
      <c r="J22" s="148"/>
      <c r="K22" s="87" t="s">
        <v>3576</v>
      </c>
      <c r="L22" s="87" t="s">
        <v>3562</v>
      </c>
      <c r="M22" s="101">
        <v>46226</v>
      </c>
      <c r="N22" s="89" t="s">
        <v>3668</v>
      </c>
      <c r="O22" s="89"/>
      <c r="P22" s="89"/>
      <c r="Q22" s="89"/>
      <c r="R22" s="87"/>
      <c r="S22" s="89"/>
      <c r="T22" s="87"/>
      <c r="U22" s="87"/>
      <c r="V22" s="90"/>
      <c r="W22" s="90"/>
      <c r="X22" s="87"/>
      <c r="Y22" s="90"/>
      <c r="Z22" s="87"/>
      <c r="AA22" s="90"/>
      <c r="AB22" s="87"/>
      <c r="AC22" s="90"/>
      <c r="AD22" s="87" t="s">
        <v>3568</v>
      </c>
      <c r="AE22" s="87" t="s">
        <v>3569</v>
      </c>
      <c r="AF22" s="87"/>
      <c r="AG22" s="90"/>
    </row>
    <row r="23" spans="1:33" ht="15" customHeight="1">
      <c r="A23" s="91">
        <f t="shared" si="0"/>
        <v>19</v>
      </c>
      <c r="B23" s="104" t="str">
        <f t="shared" si="1"/>
        <v>CASE-PMS-ADV-2026-019</v>
      </c>
      <c r="C23" s="101">
        <v>46217</v>
      </c>
      <c r="D23" s="89" t="s">
        <v>3669</v>
      </c>
      <c r="E23" s="89" t="s">
        <v>3670</v>
      </c>
      <c r="F23" s="105" t="s">
        <v>3671</v>
      </c>
      <c r="G23" s="105"/>
      <c r="H23" s="105"/>
      <c r="I23" s="105"/>
      <c r="J23" s="148"/>
      <c r="K23" s="91" t="s">
        <v>163</v>
      </c>
      <c r="L23" s="91" t="s">
        <v>3562</v>
      </c>
      <c r="M23" s="101">
        <v>46226</v>
      </c>
      <c r="N23" s="89" t="s">
        <v>3672</v>
      </c>
      <c r="O23" s="89" t="s">
        <v>3564</v>
      </c>
      <c r="P23" s="89" t="s">
        <v>3565</v>
      </c>
      <c r="Q23" s="89" t="s">
        <v>3673</v>
      </c>
      <c r="R23" s="91"/>
      <c r="S23" s="4" t="s">
        <v>3674</v>
      </c>
      <c r="T23" s="91"/>
      <c r="U23" s="91"/>
      <c r="V23" s="92"/>
      <c r="W23" s="92"/>
      <c r="X23" s="91"/>
      <c r="Y23" s="92"/>
      <c r="Z23" s="91"/>
      <c r="AA23" s="92"/>
      <c r="AB23" s="91"/>
      <c r="AC23" s="92"/>
      <c r="AD23" s="91" t="s">
        <v>3568</v>
      </c>
      <c r="AE23" s="91" t="s">
        <v>3569</v>
      </c>
      <c r="AF23" s="91"/>
      <c r="AG23" s="92"/>
    </row>
    <row r="24" spans="1:33" ht="15" customHeight="1">
      <c r="A24" s="87">
        <f t="shared" si="0"/>
        <v>20</v>
      </c>
      <c r="B24" s="103" t="str">
        <f t="shared" si="1"/>
        <v>CASE-PMS-ADV-2026-020</v>
      </c>
      <c r="C24" s="101">
        <v>46217</v>
      </c>
      <c r="D24" s="89" t="s">
        <v>3669</v>
      </c>
      <c r="E24" s="89" t="s">
        <v>3675</v>
      </c>
      <c r="F24" s="105" t="s">
        <v>3676</v>
      </c>
      <c r="G24" s="105"/>
      <c r="H24" s="105"/>
      <c r="I24" s="105"/>
      <c r="J24" s="148" t="s">
        <v>3677</v>
      </c>
      <c r="K24" s="87" t="s">
        <v>163</v>
      </c>
      <c r="L24" s="87" t="s">
        <v>3562</v>
      </c>
      <c r="M24" s="101">
        <v>46226</v>
      </c>
      <c r="N24" s="89" t="s">
        <v>3672</v>
      </c>
      <c r="O24" s="89" t="s">
        <v>3564</v>
      </c>
      <c r="P24" s="89" t="s">
        <v>3565</v>
      </c>
      <c r="Q24" s="89"/>
      <c r="R24" s="87"/>
      <c r="S24" s="89"/>
      <c r="T24" s="87"/>
      <c r="U24" s="87"/>
      <c r="V24" s="90"/>
      <c r="W24" s="90"/>
      <c r="X24" s="87"/>
      <c r="Y24" s="90"/>
      <c r="Z24" s="87"/>
      <c r="AA24" s="90"/>
      <c r="AB24" s="87"/>
      <c r="AC24" s="90"/>
      <c r="AD24" s="87" t="s">
        <v>3568</v>
      </c>
      <c r="AE24" s="87" t="s">
        <v>3569</v>
      </c>
      <c r="AF24" s="87"/>
      <c r="AG24" s="90"/>
    </row>
    <row r="25" spans="1:33" ht="15" customHeight="1">
      <c r="A25" s="91">
        <f t="shared" si="0"/>
        <v>21</v>
      </c>
      <c r="B25" s="104" t="str">
        <f t="shared" si="1"/>
        <v>CASE-PMS-ADV-2026-021</v>
      </c>
      <c r="C25" s="101">
        <v>46217</v>
      </c>
      <c r="D25" s="89" t="s">
        <v>3669</v>
      </c>
      <c r="E25" s="89" t="s">
        <v>3678</v>
      </c>
      <c r="F25" s="105">
        <v>8032231068</v>
      </c>
      <c r="G25" s="4" t="s">
        <v>3679</v>
      </c>
      <c r="H25" s="105"/>
      <c r="I25" s="105"/>
      <c r="J25" s="148"/>
      <c r="K25" s="91" t="s">
        <v>3576</v>
      </c>
      <c r="L25" s="91" t="s">
        <v>3562</v>
      </c>
      <c r="M25" s="101">
        <v>46226</v>
      </c>
      <c r="N25" s="89" t="s">
        <v>3672</v>
      </c>
      <c r="O25" s="89" t="s">
        <v>3564</v>
      </c>
      <c r="P25" s="89" t="s">
        <v>3565</v>
      </c>
      <c r="Q25" s="89"/>
      <c r="R25" s="91"/>
      <c r="S25" s="89"/>
      <c r="T25" s="91"/>
      <c r="U25" s="91"/>
      <c r="V25" s="92"/>
      <c r="W25" s="92"/>
      <c r="X25" s="91"/>
      <c r="Y25" s="92"/>
      <c r="Z25" s="91"/>
      <c r="AA25" s="92"/>
      <c r="AB25" s="91"/>
      <c r="AC25" s="92"/>
      <c r="AD25" s="91" t="s">
        <v>3568</v>
      </c>
      <c r="AE25" s="91" t="s">
        <v>3569</v>
      </c>
      <c r="AF25" s="91"/>
      <c r="AG25" s="92"/>
    </row>
    <row r="26" spans="1:33" ht="21" customHeight="1">
      <c r="A26" s="87">
        <f t="shared" si="0"/>
        <v>22</v>
      </c>
      <c r="B26" s="103" t="str">
        <f t="shared" si="1"/>
        <v>CASE-PMS-ADV-2026-022</v>
      </c>
      <c r="C26" s="101">
        <v>46217</v>
      </c>
      <c r="D26" s="89" t="s">
        <v>3669</v>
      </c>
      <c r="E26" s="89" t="s">
        <v>3680</v>
      </c>
      <c r="F26" s="89" t="s">
        <v>3681</v>
      </c>
      <c r="G26" s="105"/>
      <c r="H26" s="105"/>
      <c r="I26" s="105"/>
      <c r="J26" s="148" t="s">
        <v>3682</v>
      </c>
      <c r="K26" s="87" t="s">
        <v>163</v>
      </c>
      <c r="L26" s="87" t="s">
        <v>3562</v>
      </c>
      <c r="M26" s="101">
        <v>46226</v>
      </c>
      <c r="N26" s="89" t="s">
        <v>3683</v>
      </c>
      <c r="O26" s="89" t="s">
        <v>3564</v>
      </c>
      <c r="P26" s="89" t="s">
        <v>3565</v>
      </c>
      <c r="Q26" s="89" t="s">
        <v>3684</v>
      </c>
      <c r="R26" s="87"/>
      <c r="S26" s="4" t="s">
        <v>3685</v>
      </c>
      <c r="T26" s="87"/>
      <c r="U26" s="87"/>
      <c r="V26" s="90"/>
      <c r="W26" s="90"/>
      <c r="X26" s="87"/>
      <c r="Y26" s="90"/>
      <c r="Z26" s="87"/>
      <c r="AA26" s="90"/>
      <c r="AB26" s="87"/>
      <c r="AC26" s="90"/>
      <c r="AD26" s="87" t="s">
        <v>3568</v>
      </c>
      <c r="AE26" s="87" t="s">
        <v>3569</v>
      </c>
      <c r="AF26" s="87"/>
      <c r="AG26" s="90"/>
    </row>
    <row r="27" spans="1:33" ht="24" customHeight="1">
      <c r="A27" s="91">
        <f t="shared" si="0"/>
        <v>23</v>
      </c>
      <c r="B27" s="104" t="str">
        <f t="shared" si="1"/>
        <v>CASE-PMS-ADV-2026-023</v>
      </c>
      <c r="C27" s="101">
        <v>46219</v>
      </c>
      <c r="D27" s="89" t="s">
        <v>3669</v>
      </c>
      <c r="E27" s="89" t="s">
        <v>3686</v>
      </c>
      <c r="F27" s="105" t="s">
        <v>3687</v>
      </c>
      <c r="G27" s="105"/>
      <c r="H27" s="105"/>
      <c r="I27" s="105"/>
      <c r="J27" s="148" t="s">
        <v>104</v>
      </c>
      <c r="K27" s="91" t="s">
        <v>3576</v>
      </c>
      <c r="L27" s="91" t="s">
        <v>3562</v>
      </c>
      <c r="M27" s="101">
        <v>46226</v>
      </c>
      <c r="N27" s="89" t="s">
        <v>3688</v>
      </c>
      <c r="O27" s="89" t="s">
        <v>3689</v>
      </c>
      <c r="P27" s="89" t="s">
        <v>3690</v>
      </c>
      <c r="Q27" s="89"/>
      <c r="R27" s="91"/>
      <c r="S27" s="4" t="s">
        <v>3691</v>
      </c>
      <c r="T27" s="91"/>
      <c r="U27" s="91"/>
      <c r="V27" s="92"/>
      <c r="W27" s="92"/>
      <c r="X27" s="91"/>
      <c r="Y27" s="92"/>
      <c r="Z27" s="91"/>
      <c r="AA27" s="92"/>
      <c r="AB27" s="91"/>
      <c r="AC27" s="92"/>
      <c r="AD27" s="91" t="s">
        <v>3568</v>
      </c>
      <c r="AE27" s="91" t="s">
        <v>3569</v>
      </c>
      <c r="AF27" s="91"/>
      <c r="AG27" s="92"/>
    </row>
    <row r="28" spans="1:33" ht="15" customHeight="1">
      <c r="A28" s="87">
        <f t="shared" si="0"/>
        <v>24</v>
      </c>
      <c r="B28" s="103" t="str">
        <f t="shared" si="1"/>
        <v>CASE-PMS-ADV-2026-024</v>
      </c>
      <c r="C28" s="101">
        <v>46219</v>
      </c>
      <c r="D28" s="89" t="s">
        <v>3669</v>
      </c>
      <c r="E28" s="89" t="s">
        <v>3692</v>
      </c>
      <c r="F28" s="105" t="s">
        <v>3693</v>
      </c>
      <c r="G28" s="105"/>
      <c r="H28" s="105"/>
      <c r="I28" s="105"/>
      <c r="J28" s="148" t="s">
        <v>3694</v>
      </c>
      <c r="K28" s="87" t="s">
        <v>163</v>
      </c>
      <c r="L28" s="87" t="s">
        <v>3562</v>
      </c>
      <c r="M28" s="101">
        <v>46226</v>
      </c>
      <c r="N28" s="89" t="s">
        <v>3672</v>
      </c>
      <c r="O28" s="89" t="s">
        <v>3564</v>
      </c>
      <c r="P28" s="89" t="s">
        <v>3565</v>
      </c>
      <c r="Q28" s="89" t="s">
        <v>3695</v>
      </c>
      <c r="R28" s="87"/>
      <c r="S28" s="4" t="s">
        <v>3696</v>
      </c>
      <c r="T28" s="87"/>
      <c r="U28" s="87"/>
      <c r="V28" s="90"/>
      <c r="W28" s="90"/>
      <c r="X28" s="87"/>
      <c r="Y28" s="90"/>
      <c r="Z28" s="87"/>
      <c r="AA28" s="90"/>
      <c r="AB28" s="87"/>
      <c r="AC28" s="90"/>
      <c r="AD28" s="87" t="s">
        <v>3568</v>
      </c>
      <c r="AE28" s="87" t="s">
        <v>3569</v>
      </c>
      <c r="AF28" s="87"/>
      <c r="AG28" s="90"/>
    </row>
    <row r="29" spans="1:33" ht="15" customHeight="1">
      <c r="A29" s="91">
        <f t="shared" si="0"/>
        <v>25</v>
      </c>
      <c r="B29" s="104" t="str">
        <f t="shared" si="1"/>
        <v>CASE-PMS-ADV-2026-025</v>
      </c>
      <c r="C29" s="101">
        <v>46224</v>
      </c>
      <c r="D29" s="89" t="s">
        <v>149</v>
      </c>
      <c r="E29" s="89" t="s">
        <v>3697</v>
      </c>
      <c r="F29" s="105" t="s">
        <v>3698</v>
      </c>
      <c r="G29" s="105"/>
      <c r="H29" s="105"/>
      <c r="I29" s="105"/>
      <c r="J29" s="61" t="s">
        <v>3699</v>
      </c>
      <c r="K29" s="91" t="s">
        <v>163</v>
      </c>
      <c r="L29" s="91" t="s">
        <v>3562</v>
      </c>
      <c r="M29" s="101">
        <v>46244</v>
      </c>
      <c r="N29" s="89" t="s">
        <v>3683</v>
      </c>
      <c r="O29" s="89" t="s">
        <v>3564</v>
      </c>
      <c r="P29" s="89" t="s">
        <v>3700</v>
      </c>
      <c r="Q29" s="89" t="s">
        <v>3701</v>
      </c>
      <c r="R29" s="91"/>
      <c r="S29" s="4" t="s">
        <v>3702</v>
      </c>
      <c r="T29" s="91"/>
      <c r="U29" s="91"/>
      <c r="V29" s="92"/>
      <c r="W29" s="92"/>
      <c r="X29" s="91"/>
      <c r="Y29" s="92"/>
      <c r="Z29" s="91"/>
      <c r="AA29" s="92"/>
      <c r="AB29" s="91"/>
      <c r="AC29" s="92"/>
      <c r="AD29" s="91" t="s">
        <v>3568</v>
      </c>
      <c r="AE29" s="91" t="s">
        <v>3569</v>
      </c>
      <c r="AF29" s="91"/>
      <c r="AG29" s="92"/>
    </row>
    <row r="30" spans="1:33" ht="25.2" customHeight="1">
      <c r="A30" s="87">
        <f t="shared" si="0"/>
        <v>26</v>
      </c>
      <c r="B30" s="103" t="str">
        <f t="shared" si="1"/>
        <v>CASE-PMS-ADV-2026-026</v>
      </c>
      <c r="C30" s="101">
        <v>46224</v>
      </c>
      <c r="D30" s="89" t="s">
        <v>149</v>
      </c>
      <c r="E30" s="89" t="s">
        <v>3703</v>
      </c>
      <c r="F30" s="105" t="s">
        <v>3611</v>
      </c>
      <c r="G30" s="105"/>
      <c r="H30" s="105"/>
      <c r="I30" s="105"/>
      <c r="J30" s="148" t="s">
        <v>3704</v>
      </c>
      <c r="K30" s="87" t="s">
        <v>2163</v>
      </c>
      <c r="L30" s="87" t="s">
        <v>3562</v>
      </c>
      <c r="M30" s="101">
        <v>46244</v>
      </c>
      <c r="N30" s="89" t="s">
        <v>3683</v>
      </c>
      <c r="O30" s="89" t="s">
        <v>3564</v>
      </c>
      <c r="P30" s="89" t="s">
        <v>3700</v>
      </c>
      <c r="Q30" s="89" t="s">
        <v>3705</v>
      </c>
      <c r="R30" s="87"/>
      <c r="S30" s="4" t="s">
        <v>3706</v>
      </c>
      <c r="T30" s="87"/>
      <c r="U30" s="87"/>
      <c r="V30" s="90"/>
      <c r="W30" s="90"/>
      <c r="X30" s="87"/>
      <c r="Y30" s="90"/>
      <c r="Z30" s="87"/>
      <c r="AA30" s="90"/>
      <c r="AB30" s="87"/>
      <c r="AC30" s="90"/>
      <c r="AD30" s="87" t="s">
        <v>3568</v>
      </c>
      <c r="AE30" s="87" t="s">
        <v>3569</v>
      </c>
      <c r="AF30" s="87"/>
      <c r="AG30" s="90"/>
    </row>
    <row r="31" spans="1:33" ht="31.2" customHeight="1">
      <c r="A31" s="91">
        <f t="shared" si="0"/>
        <v>27</v>
      </c>
      <c r="B31" s="104" t="str">
        <f t="shared" si="1"/>
        <v>CASE-PMS-ADV-2026-027</v>
      </c>
      <c r="C31" s="101">
        <v>46224</v>
      </c>
      <c r="D31" s="89" t="s">
        <v>149</v>
      </c>
      <c r="E31" s="89" t="s">
        <v>3707</v>
      </c>
      <c r="F31" s="105" t="s">
        <v>3708</v>
      </c>
      <c r="G31" s="105"/>
      <c r="H31" s="105"/>
      <c r="I31" s="105"/>
      <c r="J31" s="148" t="s">
        <v>3709</v>
      </c>
      <c r="K31" s="91" t="s">
        <v>2163</v>
      </c>
      <c r="L31" s="91" t="s">
        <v>2163</v>
      </c>
      <c r="M31" s="101">
        <v>46244</v>
      </c>
      <c r="N31" s="89" t="s">
        <v>159</v>
      </c>
      <c r="O31" s="89" t="s">
        <v>3710</v>
      </c>
      <c r="P31" s="89" t="s">
        <v>3711</v>
      </c>
      <c r="Q31" s="89" t="s">
        <v>3712</v>
      </c>
      <c r="R31" s="91"/>
      <c r="S31" s="89"/>
      <c r="T31" s="91"/>
      <c r="U31" s="91"/>
      <c r="V31" s="92"/>
      <c r="W31" s="92"/>
      <c r="X31" s="91"/>
      <c r="Y31" s="92"/>
      <c r="Z31" s="91"/>
      <c r="AA31" s="92"/>
      <c r="AB31" s="91"/>
      <c r="AC31" s="92"/>
      <c r="AD31" s="91" t="s">
        <v>3568</v>
      </c>
      <c r="AE31" s="91" t="s">
        <v>3569</v>
      </c>
      <c r="AF31" s="91"/>
      <c r="AG31" s="92"/>
    </row>
    <row r="32" spans="1:33" ht="27.6" customHeight="1">
      <c r="A32" s="87">
        <f t="shared" si="0"/>
        <v>28</v>
      </c>
      <c r="B32" s="103" t="str">
        <f>IF(D32&lt;&gt;"","CASE-PMS-ADV-2026-"&amp;TEXT(ROW()-4,"000"),"")</f>
        <v>CASE-PMS-ADV-2026-028</v>
      </c>
      <c r="C32" s="101">
        <v>46245</v>
      </c>
      <c r="D32" s="89" t="s">
        <v>3713</v>
      </c>
      <c r="E32" s="89" t="s">
        <v>3714</v>
      </c>
      <c r="F32" s="89" t="s">
        <v>2108</v>
      </c>
      <c r="G32" s="89" t="s">
        <v>3715</v>
      </c>
      <c r="H32" s="105" t="s">
        <v>3716</v>
      </c>
      <c r="I32" s="146" t="s">
        <v>3717</v>
      </c>
      <c r="J32" s="148" t="s">
        <v>3718</v>
      </c>
      <c r="K32" s="87" t="s">
        <v>2163</v>
      </c>
      <c r="L32" s="87" t="s">
        <v>3562</v>
      </c>
      <c r="M32" s="101" t="s">
        <v>3719</v>
      </c>
      <c r="N32" s="89" t="s">
        <v>57</v>
      </c>
      <c r="O32" s="89" t="s">
        <v>3564</v>
      </c>
      <c r="P32" s="89" t="s">
        <v>3720</v>
      </c>
      <c r="Q32" s="89" t="s">
        <v>3721</v>
      </c>
      <c r="R32" s="87"/>
      <c r="S32" s="152" t="s">
        <v>3722</v>
      </c>
      <c r="T32" s="87"/>
      <c r="U32" s="87"/>
      <c r="V32" s="90"/>
      <c r="W32" s="90"/>
      <c r="X32" s="87"/>
      <c r="Y32" s="90"/>
      <c r="Z32" s="87"/>
      <c r="AA32" s="90"/>
      <c r="AB32" s="87"/>
      <c r="AC32" s="90"/>
      <c r="AD32" s="87" t="s">
        <v>3568</v>
      </c>
      <c r="AE32" s="87" t="s">
        <v>3569</v>
      </c>
      <c r="AF32" s="87"/>
      <c r="AG32" s="90"/>
    </row>
    <row r="33" spans="1:33" ht="28.95" customHeight="1">
      <c r="A33" s="91">
        <v>29</v>
      </c>
      <c r="B33" s="104" t="s">
        <v>3723</v>
      </c>
      <c r="C33" s="101">
        <v>46245</v>
      </c>
      <c r="D33" s="89" t="s">
        <v>3713</v>
      </c>
      <c r="E33" s="89" t="s">
        <v>3724</v>
      </c>
      <c r="F33" s="105" t="s">
        <v>564</v>
      </c>
      <c r="G33" s="89" t="s">
        <v>3725</v>
      </c>
      <c r="H33" s="150" t="s">
        <v>3726</v>
      </c>
      <c r="I33" s="146" t="s">
        <v>1536</v>
      </c>
      <c r="J33" s="148" t="s">
        <v>3727</v>
      </c>
      <c r="K33" s="91" t="s">
        <v>2163</v>
      </c>
      <c r="L33" s="91" t="s">
        <v>3562</v>
      </c>
      <c r="M33" s="101" t="s">
        <v>3719</v>
      </c>
      <c r="N33" s="89" t="s">
        <v>57</v>
      </c>
      <c r="O33" s="89" t="s">
        <v>3564</v>
      </c>
      <c r="P33" s="89" t="s">
        <v>3720</v>
      </c>
      <c r="Q33" s="89" t="s">
        <v>3728</v>
      </c>
      <c r="R33" s="91"/>
      <c r="S33" s="152" t="s">
        <v>3724</v>
      </c>
      <c r="T33" s="91"/>
      <c r="U33" s="91"/>
      <c r="V33" s="92"/>
      <c r="W33" s="92"/>
      <c r="X33" s="91"/>
      <c r="Y33" s="92"/>
      <c r="Z33" s="91"/>
      <c r="AA33" s="92"/>
      <c r="AB33" s="91"/>
      <c r="AC33" s="92"/>
      <c r="AD33" s="91" t="s">
        <v>3568</v>
      </c>
      <c r="AE33" s="91" t="s">
        <v>3569</v>
      </c>
      <c r="AF33" s="91"/>
      <c r="AG33" s="92"/>
    </row>
    <row r="34" spans="1:33" ht="30.6" customHeight="1">
      <c r="A34" s="87">
        <v>30</v>
      </c>
      <c r="B34" s="103" t="s">
        <v>3729</v>
      </c>
      <c r="C34" s="101">
        <v>46245</v>
      </c>
      <c r="D34" s="89" t="s">
        <v>3713</v>
      </c>
      <c r="E34" s="89" t="s">
        <v>3730</v>
      </c>
      <c r="F34" s="89" t="s">
        <v>2108</v>
      </c>
      <c r="G34" s="89" t="s">
        <v>2497</v>
      </c>
      <c r="H34" s="105" t="s">
        <v>3716</v>
      </c>
      <c r="I34" s="146" t="s">
        <v>3717</v>
      </c>
      <c r="J34" s="148" t="s">
        <v>3731</v>
      </c>
      <c r="K34" s="87" t="s">
        <v>2163</v>
      </c>
      <c r="L34" s="87" t="s">
        <v>3562</v>
      </c>
      <c r="M34" s="101" t="s">
        <v>3719</v>
      </c>
      <c r="N34" s="89" t="s">
        <v>57</v>
      </c>
      <c r="O34" s="89" t="s">
        <v>3564</v>
      </c>
      <c r="P34" s="89" t="s">
        <v>3720</v>
      </c>
      <c r="Q34" s="89" t="s">
        <v>3732</v>
      </c>
      <c r="R34" s="87"/>
      <c r="S34" s="152" t="s">
        <v>3733</v>
      </c>
      <c r="T34" s="87"/>
      <c r="U34" s="87"/>
      <c r="V34" s="90"/>
      <c r="W34" s="90"/>
      <c r="X34" s="87"/>
      <c r="Y34" s="90"/>
      <c r="Z34" s="87"/>
      <c r="AA34" s="90"/>
      <c r="AB34" s="87"/>
      <c r="AC34" s="90"/>
      <c r="AD34" s="87" t="s">
        <v>3568</v>
      </c>
      <c r="AE34" s="87" t="s">
        <v>3569</v>
      </c>
      <c r="AF34" s="87"/>
      <c r="AG34" s="90"/>
    </row>
    <row r="35" spans="1:33" ht="37.200000000000003" customHeight="1">
      <c r="A35" s="91">
        <v>31</v>
      </c>
      <c r="B35" s="104" t="s">
        <v>3734</v>
      </c>
      <c r="C35" s="101">
        <v>46245</v>
      </c>
      <c r="D35" s="89" t="s">
        <v>3713</v>
      </c>
      <c r="E35" s="89" t="s">
        <v>3735</v>
      </c>
      <c r="F35" s="89" t="s">
        <v>2108</v>
      </c>
      <c r="G35" s="89" t="s">
        <v>2497</v>
      </c>
      <c r="H35" s="105" t="s">
        <v>3716</v>
      </c>
      <c r="I35" s="146" t="s">
        <v>3717</v>
      </c>
      <c r="J35" s="148" t="s">
        <v>3736</v>
      </c>
      <c r="K35" s="91" t="s">
        <v>2163</v>
      </c>
      <c r="L35" s="91" t="s">
        <v>3562</v>
      </c>
      <c r="M35" s="101" t="s">
        <v>3719</v>
      </c>
      <c r="N35" s="89" t="s">
        <v>57</v>
      </c>
      <c r="O35" s="89" t="s">
        <v>3564</v>
      </c>
      <c r="P35" s="89" t="s">
        <v>3720</v>
      </c>
      <c r="Q35" s="89" t="s">
        <v>3737</v>
      </c>
      <c r="R35" s="91"/>
      <c r="S35" s="152" t="s">
        <v>3738</v>
      </c>
      <c r="T35" s="91"/>
      <c r="U35" s="91"/>
      <c r="V35" s="92"/>
      <c r="W35" s="92"/>
      <c r="X35" s="91"/>
      <c r="Y35" s="92"/>
      <c r="Z35" s="91"/>
      <c r="AA35" s="92"/>
      <c r="AB35" s="91"/>
      <c r="AC35" s="92"/>
      <c r="AD35" s="91" t="s">
        <v>3568</v>
      </c>
      <c r="AE35" s="91" t="s">
        <v>3569</v>
      </c>
      <c r="AF35" s="91"/>
      <c r="AG35" s="92"/>
    </row>
    <row r="36" spans="1:33" ht="30" customHeight="1">
      <c r="A36" s="87">
        <f t="shared" si="0"/>
        <v>32</v>
      </c>
      <c r="B36" s="103" t="str">
        <f t="shared" si="1"/>
        <v>CASE-PMS-ADV-2026-032</v>
      </c>
      <c r="C36" s="101">
        <v>46245</v>
      </c>
      <c r="D36" s="89" t="s">
        <v>3713</v>
      </c>
      <c r="E36" s="89" t="s">
        <v>3739</v>
      </c>
      <c r="F36" s="89" t="s">
        <v>2108</v>
      </c>
      <c r="G36" s="89" t="s">
        <v>2497</v>
      </c>
      <c r="H36" s="105" t="s">
        <v>3716</v>
      </c>
      <c r="I36" s="146" t="s">
        <v>3717</v>
      </c>
      <c r="J36" s="148" t="s">
        <v>3740</v>
      </c>
      <c r="K36" s="87" t="s">
        <v>2163</v>
      </c>
      <c r="L36" s="87" t="s">
        <v>3562</v>
      </c>
      <c r="M36" s="101" t="s">
        <v>3719</v>
      </c>
      <c r="N36" s="89" t="s">
        <v>57</v>
      </c>
      <c r="O36" s="89" t="s">
        <v>3564</v>
      </c>
      <c r="P36" s="89" t="s">
        <v>3720</v>
      </c>
      <c r="Q36" s="89" t="s">
        <v>3741</v>
      </c>
      <c r="R36" s="87"/>
      <c r="S36" s="152" t="s">
        <v>3742</v>
      </c>
      <c r="T36" s="87"/>
      <c r="U36" s="87"/>
      <c r="V36" s="90"/>
      <c r="W36" s="90"/>
      <c r="X36" s="87"/>
      <c r="Y36" s="90"/>
      <c r="Z36" s="87"/>
      <c r="AA36" s="90"/>
      <c r="AB36" s="87"/>
      <c r="AC36" s="90"/>
      <c r="AD36" s="87" t="s">
        <v>3568</v>
      </c>
      <c r="AE36" s="87" t="s">
        <v>3569</v>
      </c>
      <c r="AF36" s="87"/>
      <c r="AG36" s="90"/>
    </row>
    <row r="37" spans="1:33" ht="29.4" customHeight="1">
      <c r="A37" s="91">
        <v>33</v>
      </c>
      <c r="B37" s="104" t="s">
        <v>3743</v>
      </c>
      <c r="C37" s="101">
        <v>46245</v>
      </c>
      <c r="D37" s="89" t="s">
        <v>3713</v>
      </c>
      <c r="E37" s="89" t="s">
        <v>3744</v>
      </c>
      <c r="F37" s="89" t="s">
        <v>2108</v>
      </c>
      <c r="G37" s="89" t="s">
        <v>2497</v>
      </c>
      <c r="H37" s="105" t="s">
        <v>3716</v>
      </c>
      <c r="I37" s="146" t="s">
        <v>3717</v>
      </c>
      <c r="J37" s="148" t="s">
        <v>3745</v>
      </c>
      <c r="K37" s="91" t="s">
        <v>2163</v>
      </c>
      <c r="L37" s="91" t="s">
        <v>3562</v>
      </c>
      <c r="M37" s="101" t="s">
        <v>3719</v>
      </c>
      <c r="N37" s="89" t="s">
        <v>57</v>
      </c>
      <c r="O37" s="89" t="s">
        <v>3564</v>
      </c>
      <c r="P37" s="89" t="s">
        <v>3720</v>
      </c>
      <c r="Q37" s="89" t="s">
        <v>3737</v>
      </c>
      <c r="R37" s="91"/>
      <c r="S37" s="152" t="s">
        <v>3746</v>
      </c>
      <c r="T37" s="91"/>
      <c r="U37" s="91"/>
      <c r="V37" s="92"/>
      <c r="W37" s="92"/>
      <c r="X37" s="91"/>
      <c r="Y37" s="92"/>
      <c r="Z37" s="91"/>
      <c r="AA37" s="92"/>
      <c r="AB37" s="91"/>
      <c r="AC37" s="92"/>
      <c r="AD37" s="91" t="s">
        <v>3568</v>
      </c>
      <c r="AE37" s="91" t="s">
        <v>3569</v>
      </c>
      <c r="AF37" s="91"/>
      <c r="AG37" s="92"/>
    </row>
    <row r="38" spans="1:33" ht="15" customHeight="1">
      <c r="A38" s="87">
        <v>34</v>
      </c>
      <c r="B38" s="103" t="s">
        <v>3747</v>
      </c>
      <c r="C38" s="101">
        <v>46247</v>
      </c>
      <c r="D38" s="89" t="s">
        <v>3713</v>
      </c>
      <c r="E38" s="89" t="s">
        <v>3748</v>
      </c>
      <c r="F38" s="105" t="s">
        <v>3749</v>
      </c>
      <c r="G38" s="105" t="s">
        <v>3750</v>
      </c>
      <c r="H38" s="105" t="s">
        <v>3751</v>
      </c>
      <c r="I38" s="146" t="s">
        <v>3752</v>
      </c>
      <c r="J38" s="148" t="s">
        <v>3753</v>
      </c>
      <c r="K38" s="87" t="s">
        <v>2163</v>
      </c>
      <c r="L38" s="87" t="s">
        <v>3562</v>
      </c>
      <c r="M38" s="101" t="s">
        <v>3719</v>
      </c>
      <c r="N38" s="89" t="s">
        <v>3585</v>
      </c>
      <c r="O38" s="89" t="s">
        <v>3754</v>
      </c>
      <c r="P38" s="89" t="s">
        <v>3051</v>
      </c>
      <c r="Q38" s="89" t="s">
        <v>3755</v>
      </c>
      <c r="R38" s="87"/>
      <c r="S38" s="153" t="s">
        <v>3756</v>
      </c>
      <c r="T38" s="87"/>
      <c r="U38" s="87"/>
      <c r="V38" s="90"/>
      <c r="W38" s="90"/>
      <c r="X38" s="87"/>
      <c r="Y38" s="90"/>
      <c r="Z38" s="87"/>
      <c r="AA38" s="90"/>
      <c r="AB38" s="87"/>
      <c r="AC38" s="90"/>
      <c r="AD38" s="87" t="s">
        <v>3568</v>
      </c>
      <c r="AE38" s="87" t="s">
        <v>3569</v>
      </c>
      <c r="AF38" s="87"/>
      <c r="AG38" s="90"/>
    </row>
    <row r="39" spans="1:33" ht="28.95" customHeight="1">
      <c r="A39" s="91">
        <v>35</v>
      </c>
      <c r="B39" s="104" t="s">
        <v>3757</v>
      </c>
      <c r="C39" s="101">
        <v>46247</v>
      </c>
      <c r="D39" s="89" t="s">
        <v>3713</v>
      </c>
      <c r="E39" s="89" t="s">
        <v>3758</v>
      </c>
      <c r="F39" s="105" t="s">
        <v>3759</v>
      </c>
      <c r="G39" s="89" t="s">
        <v>3760</v>
      </c>
      <c r="H39" s="105" t="s">
        <v>3761</v>
      </c>
      <c r="I39" s="105" t="s">
        <v>3762</v>
      </c>
      <c r="J39" s="148" t="s">
        <v>3763</v>
      </c>
      <c r="K39" s="91" t="s">
        <v>2163</v>
      </c>
      <c r="L39" s="91" t="s">
        <v>3562</v>
      </c>
      <c r="M39" s="88" t="s">
        <v>3764</v>
      </c>
      <c r="N39" s="89" t="s">
        <v>3585</v>
      </c>
      <c r="O39" s="89" t="s">
        <v>3754</v>
      </c>
      <c r="P39" s="89" t="s">
        <v>3051</v>
      </c>
      <c r="Q39" s="89" t="s">
        <v>3765</v>
      </c>
      <c r="R39" s="91"/>
      <c r="S39" s="152" t="s">
        <v>3758</v>
      </c>
      <c r="T39" s="91"/>
      <c r="U39" s="91"/>
      <c r="V39" s="92"/>
      <c r="W39" s="92"/>
      <c r="X39" s="91"/>
      <c r="Y39" s="92"/>
      <c r="Z39" s="91"/>
      <c r="AA39" s="92"/>
      <c r="AB39" s="91"/>
      <c r="AC39" s="92"/>
      <c r="AD39" s="91" t="s">
        <v>3568</v>
      </c>
      <c r="AE39" s="91" t="s">
        <v>3569</v>
      </c>
      <c r="AF39" s="91"/>
      <c r="AG39" s="92"/>
    </row>
    <row r="40" spans="1:33" ht="15" customHeight="1">
      <c r="A40" s="87">
        <f t="shared" si="0"/>
        <v>36</v>
      </c>
      <c r="B40" s="103" t="s">
        <v>3766</v>
      </c>
      <c r="C40" s="88"/>
      <c r="D40" s="89"/>
      <c r="E40" s="89"/>
      <c r="F40" s="105"/>
      <c r="G40" s="105"/>
      <c r="H40" s="105"/>
      <c r="I40" s="105"/>
      <c r="J40" s="148"/>
      <c r="K40" s="87" t="s">
        <v>3767</v>
      </c>
      <c r="L40" s="87" t="s">
        <v>3562</v>
      </c>
      <c r="M40" s="88"/>
      <c r="N40" s="89"/>
      <c r="O40" s="89"/>
      <c r="P40" s="89"/>
      <c r="Q40" s="89"/>
      <c r="R40" s="87"/>
      <c r="S40" s="89"/>
      <c r="T40" s="87"/>
      <c r="U40" s="87"/>
      <c r="V40" s="90"/>
      <c r="W40" s="90"/>
      <c r="X40" s="87"/>
      <c r="Y40" s="90"/>
      <c r="Z40" s="87"/>
      <c r="AA40" s="90"/>
      <c r="AB40" s="87"/>
      <c r="AC40" s="90"/>
      <c r="AD40" s="87" t="s">
        <v>3568</v>
      </c>
      <c r="AE40" s="87" t="s">
        <v>3569</v>
      </c>
      <c r="AF40" s="87"/>
      <c r="AG40" s="90"/>
    </row>
    <row r="41" spans="1:33" ht="15" customHeight="1">
      <c r="A41" s="91">
        <v>37</v>
      </c>
      <c r="B41" s="104" t="s">
        <v>3768</v>
      </c>
      <c r="C41" s="88"/>
      <c r="D41" s="89"/>
      <c r="E41" s="89"/>
      <c r="F41" s="105"/>
      <c r="G41" s="105"/>
      <c r="H41" s="105"/>
      <c r="I41" s="105"/>
      <c r="J41" s="148"/>
      <c r="K41" s="91" t="s">
        <v>3767</v>
      </c>
      <c r="L41" s="91" t="s">
        <v>3562</v>
      </c>
      <c r="M41" s="88"/>
      <c r="N41" s="89"/>
      <c r="O41" s="89"/>
      <c r="P41" s="89"/>
      <c r="Q41" s="89"/>
      <c r="R41" s="91"/>
      <c r="S41" s="89"/>
      <c r="T41" s="91"/>
      <c r="U41" s="91"/>
      <c r="V41" s="92"/>
      <c r="W41" s="92"/>
      <c r="X41" s="91"/>
      <c r="Y41" s="92"/>
      <c r="Z41" s="91"/>
      <c r="AA41" s="92"/>
      <c r="AB41" s="91"/>
      <c r="AC41" s="92"/>
      <c r="AD41" s="91" t="s">
        <v>3568</v>
      </c>
      <c r="AE41" s="91" t="s">
        <v>3569</v>
      </c>
      <c r="AF41" s="91"/>
      <c r="AG41" s="92"/>
    </row>
    <row r="42" spans="1:33" ht="15" customHeight="1">
      <c r="A42" s="87" t="str">
        <f t="shared" si="0"/>
        <v/>
      </c>
      <c r="B42" s="103" t="str">
        <f t="shared" si="1"/>
        <v/>
      </c>
      <c r="C42" s="88"/>
      <c r="D42" s="89"/>
      <c r="E42" s="89"/>
      <c r="F42" s="105"/>
      <c r="G42" s="105"/>
      <c r="H42" s="105"/>
      <c r="I42" s="105"/>
      <c r="J42" s="148"/>
      <c r="K42" s="87" t="s">
        <v>3767</v>
      </c>
      <c r="L42" s="87" t="s">
        <v>3562</v>
      </c>
      <c r="M42" s="88"/>
      <c r="N42" s="89"/>
      <c r="O42" s="89"/>
      <c r="P42" s="89"/>
      <c r="Q42" s="89"/>
      <c r="R42" s="87"/>
      <c r="S42" s="89"/>
      <c r="T42" s="87"/>
      <c r="U42" s="87"/>
      <c r="V42" s="90"/>
      <c r="W42" s="90"/>
      <c r="X42" s="87"/>
      <c r="Y42" s="90"/>
      <c r="Z42" s="87"/>
      <c r="AA42" s="90"/>
      <c r="AB42" s="87"/>
      <c r="AC42" s="90"/>
      <c r="AD42" s="87" t="s">
        <v>3568</v>
      </c>
      <c r="AE42" s="87" t="s">
        <v>3569</v>
      </c>
      <c r="AF42" s="87"/>
      <c r="AG42" s="90"/>
    </row>
    <row r="43" spans="1:33" ht="15" customHeight="1">
      <c r="A43" s="91" t="str">
        <f t="shared" si="0"/>
        <v/>
      </c>
      <c r="B43" s="104" t="str">
        <f t="shared" si="1"/>
        <v/>
      </c>
      <c r="C43" s="88"/>
      <c r="D43" s="89"/>
      <c r="E43" s="89"/>
      <c r="F43" s="105"/>
      <c r="G43" s="105"/>
      <c r="H43" s="105"/>
      <c r="I43" s="105"/>
      <c r="J43" s="148"/>
      <c r="K43" s="91" t="s">
        <v>3767</v>
      </c>
      <c r="L43" s="91" t="s">
        <v>3562</v>
      </c>
      <c r="M43" s="88"/>
      <c r="N43" s="89"/>
      <c r="O43" s="89"/>
      <c r="P43" s="89"/>
      <c r="Q43" s="89"/>
      <c r="R43" s="91"/>
      <c r="S43" s="89"/>
      <c r="T43" s="91"/>
      <c r="U43" s="91"/>
      <c r="V43" s="92"/>
      <c r="W43" s="92"/>
      <c r="X43" s="91"/>
      <c r="Y43" s="92"/>
      <c r="Z43" s="91"/>
      <c r="AA43" s="92"/>
      <c r="AB43" s="91"/>
      <c r="AC43" s="92"/>
      <c r="AD43" s="91" t="s">
        <v>3568</v>
      </c>
      <c r="AE43" s="91" t="s">
        <v>3569</v>
      </c>
      <c r="AF43" s="91"/>
      <c r="AG43" s="92"/>
    </row>
    <row r="44" spans="1:33" ht="15" customHeight="1">
      <c r="A44" s="87" t="str">
        <f t="shared" si="0"/>
        <v/>
      </c>
      <c r="B44" s="103" t="str">
        <f t="shared" si="1"/>
        <v/>
      </c>
      <c r="C44" s="88"/>
      <c r="D44" s="89"/>
      <c r="E44" s="89"/>
      <c r="F44" s="105"/>
      <c r="G44" s="105"/>
      <c r="H44" s="105"/>
      <c r="I44" s="105"/>
      <c r="J44" s="148"/>
      <c r="K44" s="87" t="s">
        <v>3767</v>
      </c>
      <c r="L44" s="87" t="s">
        <v>3562</v>
      </c>
      <c r="M44" s="88"/>
      <c r="N44" s="89"/>
      <c r="O44" s="89"/>
      <c r="P44" s="89"/>
      <c r="Q44" s="89"/>
      <c r="R44" s="87"/>
      <c r="S44" s="89"/>
      <c r="T44" s="87"/>
      <c r="U44" s="87"/>
      <c r="V44" s="90"/>
      <c r="W44" s="90"/>
      <c r="X44" s="87"/>
      <c r="Y44" s="90"/>
      <c r="Z44" s="87"/>
      <c r="AA44" s="90"/>
      <c r="AB44" s="87"/>
      <c r="AC44" s="90"/>
      <c r="AD44" s="87" t="s">
        <v>3568</v>
      </c>
      <c r="AE44" s="87" t="s">
        <v>3569</v>
      </c>
      <c r="AF44" s="87"/>
      <c r="AG44" s="90"/>
    </row>
    <row r="45" spans="1:33" ht="15" customHeight="1">
      <c r="A45" s="91" t="str">
        <f t="shared" si="0"/>
        <v/>
      </c>
      <c r="B45" s="104" t="str">
        <f t="shared" si="1"/>
        <v/>
      </c>
      <c r="C45" s="88"/>
      <c r="D45" s="89"/>
      <c r="E45" s="89"/>
      <c r="F45" s="105"/>
      <c r="G45" s="105"/>
      <c r="H45" s="105"/>
      <c r="I45" s="105"/>
      <c r="J45" s="148"/>
      <c r="K45" s="91" t="s">
        <v>3767</v>
      </c>
      <c r="L45" s="91" t="s">
        <v>3562</v>
      </c>
      <c r="M45" s="88"/>
      <c r="N45" s="89"/>
      <c r="O45" s="89"/>
      <c r="P45" s="89"/>
      <c r="Q45" s="89"/>
      <c r="R45" s="91"/>
      <c r="S45" s="89"/>
      <c r="T45" s="91"/>
      <c r="U45" s="91"/>
      <c r="V45" s="92"/>
      <c r="W45" s="92"/>
      <c r="X45" s="91"/>
      <c r="Y45" s="92"/>
      <c r="Z45" s="91"/>
      <c r="AA45" s="92"/>
      <c r="AB45" s="91"/>
      <c r="AC45" s="92"/>
      <c r="AD45" s="91" t="s">
        <v>3568</v>
      </c>
      <c r="AE45" s="91" t="s">
        <v>3569</v>
      </c>
      <c r="AF45" s="91"/>
      <c r="AG45" s="92"/>
    </row>
    <row r="46" spans="1:33" ht="15" customHeight="1">
      <c r="A46" s="87" t="str">
        <f t="shared" si="0"/>
        <v/>
      </c>
      <c r="B46" s="103" t="str">
        <f t="shared" si="1"/>
        <v/>
      </c>
      <c r="C46" s="88"/>
      <c r="D46" s="89"/>
      <c r="E46" s="89"/>
      <c r="F46" s="105"/>
      <c r="G46" s="105"/>
      <c r="H46" s="105"/>
      <c r="I46" s="105"/>
      <c r="J46" s="148"/>
      <c r="K46" s="87" t="s">
        <v>3767</v>
      </c>
      <c r="L46" s="87" t="s">
        <v>3562</v>
      </c>
      <c r="M46" s="88"/>
      <c r="N46" s="89"/>
      <c r="O46" s="89"/>
      <c r="P46" s="89"/>
      <c r="Q46" s="89"/>
      <c r="R46" s="87"/>
      <c r="S46" s="89"/>
      <c r="T46" s="87"/>
      <c r="U46" s="87"/>
      <c r="V46" s="90"/>
      <c r="W46" s="90"/>
      <c r="X46" s="87"/>
      <c r="Y46" s="90"/>
      <c r="Z46" s="87"/>
      <c r="AA46" s="90"/>
      <c r="AB46" s="87"/>
      <c r="AC46" s="90"/>
      <c r="AD46" s="87" t="s">
        <v>3568</v>
      </c>
      <c r="AE46" s="87" t="s">
        <v>3569</v>
      </c>
      <c r="AF46" s="87"/>
      <c r="AG46" s="90"/>
    </row>
    <row r="47" spans="1:33" ht="15" customHeight="1">
      <c r="A47" s="91" t="str">
        <f t="shared" si="0"/>
        <v/>
      </c>
      <c r="B47" s="104" t="str">
        <f t="shared" si="1"/>
        <v/>
      </c>
      <c r="C47" s="88"/>
      <c r="D47" s="89"/>
      <c r="E47" s="89"/>
      <c r="F47" s="105"/>
      <c r="G47" s="105"/>
      <c r="H47" s="105"/>
      <c r="I47" s="105"/>
      <c r="J47" s="148"/>
      <c r="K47" s="91" t="s">
        <v>3767</v>
      </c>
      <c r="L47" s="91" t="s">
        <v>3562</v>
      </c>
      <c r="M47" s="88"/>
      <c r="N47" s="89"/>
      <c r="O47" s="89"/>
      <c r="P47" s="89"/>
      <c r="Q47" s="89"/>
      <c r="R47" s="91"/>
      <c r="S47" s="89"/>
      <c r="T47" s="91"/>
      <c r="U47" s="91"/>
      <c r="V47" s="92"/>
      <c r="W47" s="92"/>
      <c r="X47" s="91"/>
      <c r="Y47" s="92"/>
      <c r="Z47" s="91"/>
      <c r="AA47" s="92"/>
      <c r="AB47" s="91"/>
      <c r="AC47" s="92"/>
      <c r="AD47" s="91" t="s">
        <v>3568</v>
      </c>
      <c r="AE47" s="91" t="s">
        <v>3569</v>
      </c>
      <c r="AF47" s="91"/>
      <c r="AG47" s="92"/>
    </row>
    <row r="48" spans="1:33" ht="15" customHeight="1">
      <c r="A48" s="87" t="str">
        <f t="shared" si="0"/>
        <v/>
      </c>
      <c r="B48" s="103" t="str">
        <f t="shared" si="1"/>
        <v/>
      </c>
      <c r="C48" s="88"/>
      <c r="D48" s="89"/>
      <c r="E48" s="89"/>
      <c r="F48" s="105"/>
      <c r="G48" s="105"/>
      <c r="H48" s="105"/>
      <c r="I48" s="105"/>
      <c r="J48" s="148"/>
      <c r="K48" s="87" t="s">
        <v>3767</v>
      </c>
      <c r="L48" s="87" t="s">
        <v>3562</v>
      </c>
      <c r="M48" s="88"/>
      <c r="N48" s="89"/>
      <c r="O48" s="89"/>
      <c r="P48" s="89"/>
      <c r="Q48" s="89"/>
      <c r="R48" s="87"/>
      <c r="S48" s="89"/>
      <c r="T48" s="87"/>
      <c r="U48" s="87"/>
      <c r="V48" s="90"/>
      <c r="W48" s="90"/>
      <c r="X48" s="87"/>
      <c r="Y48" s="90"/>
      <c r="Z48" s="87"/>
      <c r="AA48" s="90"/>
      <c r="AB48" s="87"/>
      <c r="AC48" s="90"/>
      <c r="AD48" s="87" t="s">
        <v>3568</v>
      </c>
      <c r="AE48" s="87" t="s">
        <v>3569</v>
      </c>
      <c r="AF48" s="87"/>
      <c r="AG48" s="90"/>
    </row>
    <row r="49" spans="1:33" ht="15" customHeight="1">
      <c r="A49" s="91" t="str">
        <f t="shared" si="0"/>
        <v/>
      </c>
      <c r="B49" s="104" t="str">
        <f t="shared" si="1"/>
        <v/>
      </c>
      <c r="C49" s="88"/>
      <c r="D49" s="89"/>
      <c r="E49" s="89"/>
      <c r="F49" s="105"/>
      <c r="G49" s="105"/>
      <c r="H49" s="105"/>
      <c r="I49" s="105"/>
      <c r="J49" s="148"/>
      <c r="K49" s="91" t="s">
        <v>3767</v>
      </c>
      <c r="L49" s="91" t="s">
        <v>3562</v>
      </c>
      <c r="M49" s="88"/>
      <c r="N49" s="89"/>
      <c r="O49" s="89"/>
      <c r="P49" s="89"/>
      <c r="Q49" s="89"/>
      <c r="R49" s="91"/>
      <c r="S49" s="89"/>
      <c r="T49" s="91"/>
      <c r="U49" s="91"/>
      <c r="V49" s="92"/>
      <c r="W49" s="92"/>
      <c r="X49" s="91"/>
      <c r="Y49" s="92"/>
      <c r="Z49" s="91"/>
      <c r="AA49" s="92"/>
      <c r="AB49" s="91"/>
      <c r="AC49" s="92"/>
      <c r="AD49" s="91" t="s">
        <v>3568</v>
      </c>
      <c r="AE49" s="91" t="s">
        <v>3569</v>
      </c>
      <c r="AF49" s="91"/>
      <c r="AG49" s="92"/>
    </row>
    <row r="50" spans="1:33" ht="15" customHeight="1">
      <c r="A50" s="87" t="str">
        <f t="shared" si="0"/>
        <v/>
      </c>
      <c r="B50" s="103" t="str">
        <f t="shared" si="1"/>
        <v/>
      </c>
      <c r="C50" s="88"/>
      <c r="D50" s="89"/>
      <c r="E50" s="89"/>
      <c r="F50" s="105"/>
      <c r="G50" s="105"/>
      <c r="H50" s="105"/>
      <c r="I50" s="105"/>
      <c r="J50" s="148"/>
      <c r="K50" s="87" t="s">
        <v>3767</v>
      </c>
      <c r="L50" s="87" t="s">
        <v>3562</v>
      </c>
      <c r="M50" s="88"/>
      <c r="N50" s="89"/>
      <c r="O50" s="89"/>
      <c r="P50" s="89"/>
      <c r="Q50" s="89"/>
      <c r="R50" s="87"/>
      <c r="S50" s="89"/>
      <c r="T50" s="87"/>
      <c r="U50" s="87"/>
      <c r="V50" s="90"/>
      <c r="W50" s="90"/>
      <c r="X50" s="87"/>
      <c r="Y50" s="90"/>
      <c r="Z50" s="87"/>
      <c r="AA50" s="90"/>
      <c r="AB50" s="87"/>
      <c r="AC50" s="90"/>
      <c r="AD50" s="87" t="s">
        <v>3568</v>
      </c>
      <c r="AE50" s="87" t="s">
        <v>3569</v>
      </c>
      <c r="AF50" s="87"/>
      <c r="AG50" s="90"/>
    </row>
    <row r="51" spans="1:33" ht="15" customHeight="1">
      <c r="A51" s="91" t="str">
        <f t="shared" si="0"/>
        <v/>
      </c>
      <c r="B51" s="104" t="str">
        <f t="shared" si="1"/>
        <v/>
      </c>
      <c r="C51" s="88"/>
      <c r="D51" s="89"/>
      <c r="E51" s="89"/>
      <c r="F51" s="105"/>
      <c r="G51" s="105"/>
      <c r="H51" s="105"/>
      <c r="I51" s="105"/>
      <c r="J51" s="148"/>
      <c r="K51" s="91" t="s">
        <v>3767</v>
      </c>
      <c r="L51" s="91" t="s">
        <v>3562</v>
      </c>
      <c r="M51" s="88"/>
      <c r="N51" s="89"/>
      <c r="O51" s="89"/>
      <c r="P51" s="89"/>
      <c r="Q51" s="89"/>
      <c r="R51" s="91"/>
      <c r="S51" s="89"/>
      <c r="T51" s="91"/>
      <c r="U51" s="91"/>
      <c r="V51" s="92"/>
      <c r="W51" s="92"/>
      <c r="X51" s="91"/>
      <c r="Y51" s="92"/>
      <c r="Z51" s="91"/>
      <c r="AA51" s="92"/>
      <c r="AB51" s="91"/>
      <c r="AC51" s="92"/>
      <c r="AD51" s="91" t="s">
        <v>3568</v>
      </c>
      <c r="AE51" s="91" t="s">
        <v>3569</v>
      </c>
      <c r="AF51" s="91"/>
      <c r="AG51" s="92"/>
    </row>
    <row r="52" spans="1:33" ht="15" customHeight="1">
      <c r="A52" s="87" t="str">
        <f t="shared" si="0"/>
        <v/>
      </c>
      <c r="B52" s="103" t="str">
        <f t="shared" si="1"/>
        <v/>
      </c>
      <c r="C52" s="88"/>
      <c r="D52" s="89"/>
      <c r="E52" s="89"/>
      <c r="F52" s="105"/>
      <c r="G52" s="105"/>
      <c r="H52" s="105"/>
      <c r="I52" s="105"/>
      <c r="J52" s="148"/>
      <c r="K52" s="87" t="s">
        <v>3767</v>
      </c>
      <c r="L52" s="87" t="s">
        <v>3562</v>
      </c>
      <c r="M52" s="88"/>
      <c r="N52" s="89"/>
      <c r="O52" s="89"/>
      <c r="P52" s="89"/>
      <c r="Q52" s="89"/>
      <c r="R52" s="87"/>
      <c r="S52" s="89"/>
      <c r="T52" s="87"/>
      <c r="U52" s="87"/>
      <c r="V52" s="90"/>
      <c r="W52" s="90"/>
      <c r="X52" s="87"/>
      <c r="Y52" s="90"/>
      <c r="Z52" s="87"/>
      <c r="AA52" s="90"/>
      <c r="AB52" s="87"/>
      <c r="AC52" s="90"/>
      <c r="AD52" s="87" t="s">
        <v>3568</v>
      </c>
      <c r="AE52" s="87" t="s">
        <v>3569</v>
      </c>
      <c r="AF52" s="87"/>
      <c r="AG52" s="90"/>
    </row>
    <row r="53" spans="1:33" ht="15" customHeight="1">
      <c r="A53" s="91" t="str">
        <f t="shared" si="0"/>
        <v/>
      </c>
      <c r="B53" s="104" t="str">
        <f t="shared" si="1"/>
        <v/>
      </c>
      <c r="C53" s="88"/>
      <c r="D53" s="89"/>
      <c r="E53" s="89"/>
      <c r="F53" s="105"/>
      <c r="G53" s="105"/>
      <c r="H53" s="105"/>
      <c r="I53" s="105"/>
      <c r="J53" s="148"/>
      <c r="K53" s="91" t="s">
        <v>3767</v>
      </c>
      <c r="L53" s="91" t="s">
        <v>3562</v>
      </c>
      <c r="M53" s="88"/>
      <c r="N53" s="89"/>
      <c r="O53" s="89"/>
      <c r="P53" s="89"/>
      <c r="Q53" s="89"/>
      <c r="R53" s="91"/>
      <c r="S53" s="89"/>
      <c r="T53" s="91"/>
      <c r="U53" s="91"/>
      <c r="V53" s="92"/>
      <c r="W53" s="92"/>
      <c r="X53" s="91"/>
      <c r="Y53" s="92"/>
      <c r="Z53" s="91"/>
      <c r="AA53" s="92"/>
      <c r="AB53" s="91"/>
      <c r="AC53" s="92"/>
      <c r="AD53" s="91" t="s">
        <v>3568</v>
      </c>
      <c r="AE53" s="91" t="s">
        <v>3569</v>
      </c>
      <c r="AF53" s="91"/>
      <c r="AG53" s="92"/>
    </row>
    <row r="54" spans="1:33" ht="15" customHeight="1">
      <c r="A54" s="87" t="str">
        <f t="shared" si="0"/>
        <v/>
      </c>
      <c r="B54" s="103" t="str">
        <f t="shared" si="1"/>
        <v/>
      </c>
      <c r="C54" s="88"/>
      <c r="D54" s="89"/>
      <c r="E54" s="89"/>
      <c r="F54" s="105"/>
      <c r="G54" s="105"/>
      <c r="H54" s="105"/>
      <c r="I54" s="105"/>
      <c r="J54" s="148"/>
      <c r="K54" s="87" t="s">
        <v>3767</v>
      </c>
      <c r="L54" s="87" t="s">
        <v>3562</v>
      </c>
      <c r="M54" s="88"/>
      <c r="N54" s="89"/>
      <c r="O54" s="89"/>
      <c r="P54" s="89"/>
      <c r="Q54" s="89"/>
      <c r="R54" s="87"/>
      <c r="S54" s="89"/>
      <c r="T54" s="87"/>
      <c r="U54" s="87"/>
      <c r="V54" s="90"/>
      <c r="W54" s="90"/>
      <c r="X54" s="87"/>
      <c r="Y54" s="90"/>
      <c r="Z54" s="87"/>
      <c r="AA54" s="90"/>
      <c r="AB54" s="87"/>
      <c r="AC54" s="90"/>
      <c r="AD54" s="87" t="s">
        <v>3568</v>
      </c>
      <c r="AE54" s="87" t="s">
        <v>3569</v>
      </c>
      <c r="AF54" s="87"/>
      <c r="AG54" s="90"/>
    </row>
    <row r="55" spans="1:33" ht="15" customHeight="1">
      <c r="A55" s="91" t="str">
        <f t="shared" si="0"/>
        <v/>
      </c>
      <c r="B55" s="104" t="str">
        <f t="shared" si="1"/>
        <v/>
      </c>
      <c r="C55" s="88"/>
      <c r="D55" s="89"/>
      <c r="E55" s="89"/>
      <c r="F55" s="105"/>
      <c r="G55" s="105"/>
      <c r="H55" s="105"/>
      <c r="I55" s="105"/>
      <c r="J55" s="148"/>
      <c r="K55" s="91" t="s">
        <v>3767</v>
      </c>
      <c r="L55" s="91" t="s">
        <v>3562</v>
      </c>
      <c r="M55" s="88"/>
      <c r="N55" s="89"/>
      <c r="O55" s="89"/>
      <c r="P55" s="89"/>
      <c r="Q55" s="89"/>
      <c r="R55" s="91"/>
      <c r="S55" s="89"/>
      <c r="T55" s="91"/>
      <c r="U55" s="91"/>
      <c r="V55" s="92"/>
      <c r="W55" s="92"/>
      <c r="X55" s="91"/>
      <c r="Y55" s="92"/>
      <c r="Z55" s="91"/>
      <c r="AA55" s="92"/>
      <c r="AB55" s="91"/>
      <c r="AC55" s="92"/>
      <c r="AD55" s="91" t="s">
        <v>3568</v>
      </c>
      <c r="AE55" s="91" t="s">
        <v>3569</v>
      </c>
      <c r="AF55" s="91"/>
      <c r="AG55" s="92"/>
    </row>
    <row r="56" spans="1:33">
      <c r="A56" s="87" t="str">
        <f t="shared" si="0"/>
        <v/>
      </c>
      <c r="B56" s="103" t="str">
        <f t="shared" si="1"/>
        <v/>
      </c>
      <c r="C56" s="88"/>
      <c r="D56" s="89"/>
      <c r="E56" s="89"/>
      <c r="F56" s="105"/>
      <c r="G56" s="105"/>
      <c r="H56" s="105"/>
      <c r="I56" s="105"/>
      <c r="J56" s="148"/>
      <c r="K56" s="87" t="s">
        <v>3767</v>
      </c>
      <c r="L56" s="87" t="s">
        <v>3562</v>
      </c>
      <c r="M56" s="88"/>
      <c r="N56" s="89"/>
      <c r="O56" s="89"/>
      <c r="P56" s="89"/>
      <c r="Q56" s="89"/>
      <c r="R56" s="87"/>
      <c r="S56" s="89"/>
      <c r="T56" s="87"/>
      <c r="U56" s="87"/>
      <c r="V56" s="90"/>
      <c r="W56" s="90"/>
      <c r="X56" s="87"/>
      <c r="Y56" s="90"/>
      <c r="Z56" s="87"/>
      <c r="AA56" s="90"/>
      <c r="AB56" s="87"/>
      <c r="AC56" s="90"/>
      <c r="AD56" s="87" t="s">
        <v>3568</v>
      </c>
      <c r="AE56" s="87" t="s">
        <v>3569</v>
      </c>
      <c r="AF56" s="87"/>
      <c r="AG56" s="90"/>
    </row>
    <row r="57" spans="1:33">
      <c r="A57" s="91" t="str">
        <f t="shared" si="0"/>
        <v/>
      </c>
      <c r="B57" s="104" t="str">
        <f t="shared" si="1"/>
        <v/>
      </c>
      <c r="C57" s="88"/>
      <c r="D57" s="89"/>
      <c r="E57" s="89"/>
      <c r="F57" s="105"/>
      <c r="G57" s="105"/>
      <c r="H57" s="105"/>
      <c r="I57" s="105"/>
      <c r="J57" s="148"/>
      <c r="K57" s="91" t="s">
        <v>3767</v>
      </c>
      <c r="L57" s="91" t="s">
        <v>3562</v>
      </c>
      <c r="M57" s="88"/>
      <c r="N57" s="89"/>
      <c r="O57" s="89"/>
      <c r="P57" s="89"/>
      <c r="Q57" s="89"/>
      <c r="R57" s="91"/>
      <c r="S57" s="89"/>
      <c r="T57" s="91"/>
      <c r="U57" s="91"/>
      <c r="V57" s="92"/>
      <c r="W57" s="92"/>
      <c r="X57" s="91"/>
      <c r="Y57" s="92"/>
      <c r="Z57" s="91"/>
      <c r="AA57" s="92"/>
      <c r="AB57" s="91"/>
      <c r="AC57" s="92"/>
      <c r="AD57" s="91" t="s">
        <v>3568</v>
      </c>
      <c r="AE57" s="91" t="s">
        <v>3569</v>
      </c>
      <c r="AF57" s="91"/>
      <c r="AG57" s="92"/>
    </row>
    <row r="58" spans="1:33">
      <c r="A58" s="87" t="str">
        <f t="shared" si="0"/>
        <v/>
      </c>
      <c r="B58" s="103" t="str">
        <f t="shared" si="1"/>
        <v/>
      </c>
      <c r="C58" s="88"/>
      <c r="D58" s="89"/>
      <c r="E58" s="89"/>
      <c r="F58" s="105"/>
      <c r="G58" s="105"/>
      <c r="H58" s="105"/>
      <c r="I58" s="105"/>
      <c r="J58" s="148"/>
      <c r="K58" s="87" t="s">
        <v>3767</v>
      </c>
      <c r="L58" s="87" t="s">
        <v>3562</v>
      </c>
      <c r="M58" s="88"/>
      <c r="N58" s="89"/>
      <c r="O58" s="89"/>
      <c r="P58" s="89"/>
      <c r="Q58" s="89"/>
      <c r="R58" s="87"/>
      <c r="S58" s="89"/>
      <c r="T58" s="87"/>
      <c r="U58" s="87"/>
      <c r="V58" s="90"/>
      <c r="W58" s="90"/>
      <c r="X58" s="87"/>
      <c r="Y58" s="90"/>
      <c r="Z58" s="87"/>
      <c r="AA58" s="90"/>
      <c r="AB58" s="87"/>
      <c r="AC58" s="90"/>
      <c r="AD58" s="87" t="s">
        <v>3568</v>
      </c>
      <c r="AE58" s="87" t="s">
        <v>3569</v>
      </c>
      <c r="AF58" s="87"/>
      <c r="AG58" s="90"/>
    </row>
    <row r="59" spans="1:33">
      <c r="A59" s="91" t="str">
        <f t="shared" si="0"/>
        <v/>
      </c>
      <c r="B59" s="104" t="str">
        <f t="shared" si="1"/>
        <v/>
      </c>
      <c r="C59" s="88"/>
      <c r="D59" s="89"/>
      <c r="E59" s="89"/>
      <c r="F59" s="105"/>
      <c r="G59" s="105"/>
      <c r="H59" s="105"/>
      <c r="I59" s="105"/>
      <c r="J59" s="148"/>
      <c r="K59" s="91" t="s">
        <v>3767</v>
      </c>
      <c r="L59" s="91" t="s">
        <v>3562</v>
      </c>
      <c r="M59" s="88"/>
      <c r="N59" s="89"/>
      <c r="O59" s="89"/>
      <c r="P59" s="89"/>
      <c r="Q59" s="89"/>
      <c r="R59" s="91"/>
      <c r="S59" s="89"/>
      <c r="T59" s="91"/>
      <c r="U59" s="91"/>
      <c r="V59" s="92"/>
      <c r="W59" s="92"/>
      <c r="X59" s="91"/>
      <c r="Y59" s="92"/>
      <c r="Z59" s="91"/>
      <c r="AA59" s="92"/>
      <c r="AB59" s="91"/>
      <c r="AC59" s="92"/>
      <c r="AD59" s="91" t="s">
        <v>3568</v>
      </c>
      <c r="AE59" s="91" t="s">
        <v>3569</v>
      </c>
      <c r="AF59" s="91"/>
      <c r="AG59" s="92"/>
    </row>
    <row r="60" spans="1:33">
      <c r="A60" s="87" t="str">
        <f t="shared" si="0"/>
        <v/>
      </c>
      <c r="B60" s="103" t="str">
        <f t="shared" si="1"/>
        <v/>
      </c>
      <c r="C60" s="88"/>
      <c r="D60" s="89"/>
      <c r="E60" s="89"/>
      <c r="F60" s="105"/>
      <c r="G60" s="105"/>
      <c r="H60" s="105"/>
      <c r="I60" s="105"/>
      <c r="J60" s="148"/>
      <c r="K60" s="87" t="s">
        <v>3767</v>
      </c>
      <c r="L60" s="87" t="s">
        <v>3562</v>
      </c>
      <c r="M60" s="88"/>
      <c r="N60" s="89"/>
      <c r="O60" s="89"/>
      <c r="P60" s="89"/>
      <c r="Q60" s="89"/>
      <c r="R60" s="87"/>
      <c r="S60" s="89"/>
      <c r="T60" s="87"/>
      <c r="U60" s="87"/>
      <c r="V60" s="90"/>
      <c r="W60" s="90"/>
      <c r="X60" s="87"/>
      <c r="Y60" s="90"/>
      <c r="Z60" s="87"/>
      <c r="AA60" s="90"/>
      <c r="AB60" s="87"/>
      <c r="AC60" s="90"/>
      <c r="AD60" s="87" t="s">
        <v>3568</v>
      </c>
      <c r="AE60" s="87" t="s">
        <v>3569</v>
      </c>
      <c r="AF60" s="87"/>
      <c r="AG60" s="90"/>
    </row>
    <row r="61" spans="1:33">
      <c r="A61" s="91" t="str">
        <f t="shared" si="0"/>
        <v/>
      </c>
      <c r="B61" s="104" t="str">
        <f t="shared" si="1"/>
        <v/>
      </c>
      <c r="C61" s="88"/>
      <c r="D61" s="89"/>
      <c r="E61" s="89"/>
      <c r="F61" s="105"/>
      <c r="G61" s="105"/>
      <c r="H61" s="105"/>
      <c r="I61" s="105"/>
      <c r="J61" s="148"/>
      <c r="K61" s="91" t="s">
        <v>3767</v>
      </c>
      <c r="L61" s="91" t="s">
        <v>3562</v>
      </c>
      <c r="M61" s="88"/>
      <c r="N61" s="89"/>
      <c r="O61" s="89"/>
      <c r="P61" s="89"/>
      <c r="Q61" s="89"/>
      <c r="R61" s="91"/>
      <c r="S61" s="89"/>
      <c r="T61" s="91"/>
      <c r="U61" s="91"/>
      <c r="V61" s="92"/>
      <c r="W61" s="92"/>
      <c r="X61" s="91"/>
      <c r="Y61" s="92"/>
      <c r="Z61" s="91"/>
      <c r="AA61" s="92"/>
      <c r="AB61" s="91"/>
      <c r="AC61" s="92"/>
      <c r="AD61" s="91" t="s">
        <v>3568</v>
      </c>
      <c r="AE61" s="91" t="s">
        <v>3569</v>
      </c>
      <c r="AF61" s="91"/>
      <c r="AG61" s="92"/>
    </row>
    <row r="62" spans="1:33">
      <c r="A62" s="87" t="str">
        <f t="shared" si="0"/>
        <v/>
      </c>
      <c r="B62" s="103" t="str">
        <f t="shared" si="1"/>
        <v/>
      </c>
      <c r="C62" s="88"/>
      <c r="D62" s="89"/>
      <c r="E62" s="89"/>
      <c r="F62" s="105"/>
      <c r="G62" s="105"/>
      <c r="H62" s="105"/>
      <c r="I62" s="105"/>
      <c r="J62" s="148"/>
      <c r="K62" s="87" t="s">
        <v>3767</v>
      </c>
      <c r="L62" s="87" t="s">
        <v>3562</v>
      </c>
      <c r="M62" s="88"/>
      <c r="N62" s="89"/>
      <c r="O62" s="89"/>
      <c r="P62" s="89"/>
      <c r="Q62" s="89"/>
      <c r="R62" s="87"/>
      <c r="S62" s="89"/>
      <c r="T62" s="87"/>
      <c r="U62" s="87"/>
      <c r="V62" s="90"/>
      <c r="W62" s="90"/>
      <c r="X62" s="87"/>
      <c r="Y62" s="90"/>
      <c r="Z62" s="87"/>
      <c r="AA62" s="90"/>
      <c r="AB62" s="87"/>
      <c r="AC62" s="90"/>
      <c r="AD62" s="87" t="s">
        <v>3568</v>
      </c>
      <c r="AE62" s="87" t="s">
        <v>3569</v>
      </c>
      <c r="AF62" s="87"/>
      <c r="AG62" s="90"/>
    </row>
    <row r="63" spans="1:33">
      <c r="A63" s="91" t="str">
        <f t="shared" si="0"/>
        <v/>
      </c>
      <c r="B63" s="104" t="str">
        <f t="shared" si="1"/>
        <v/>
      </c>
      <c r="C63" s="88"/>
      <c r="D63" s="89"/>
      <c r="E63" s="89"/>
      <c r="F63" s="105"/>
      <c r="G63" s="105"/>
      <c r="H63" s="105"/>
      <c r="I63" s="105"/>
      <c r="J63" s="148"/>
      <c r="K63" s="91" t="s">
        <v>3767</v>
      </c>
      <c r="L63" s="91" t="s">
        <v>3562</v>
      </c>
      <c r="M63" s="88"/>
      <c r="N63" s="89"/>
      <c r="O63" s="89"/>
      <c r="P63" s="89"/>
      <c r="Q63" s="89"/>
      <c r="R63" s="91"/>
      <c r="S63" s="89"/>
      <c r="T63" s="91"/>
      <c r="U63" s="91"/>
      <c r="V63" s="92"/>
      <c r="W63" s="92"/>
      <c r="X63" s="91"/>
      <c r="Y63" s="92"/>
      <c r="Z63" s="91"/>
      <c r="AA63" s="92"/>
      <c r="AB63" s="91"/>
      <c r="AC63" s="92"/>
      <c r="AD63" s="91" t="s">
        <v>3568</v>
      </c>
      <c r="AE63" s="91" t="s">
        <v>3569</v>
      </c>
      <c r="AF63" s="91"/>
      <c r="AG63" s="92"/>
    </row>
    <row r="64" spans="1:33">
      <c r="A64" s="87" t="str">
        <f t="shared" si="0"/>
        <v/>
      </c>
      <c r="B64" s="103" t="str">
        <f t="shared" si="1"/>
        <v/>
      </c>
      <c r="C64" s="88"/>
      <c r="D64" s="89"/>
      <c r="E64" s="89"/>
      <c r="F64" s="105"/>
      <c r="G64" s="105"/>
      <c r="H64" s="105"/>
      <c r="I64" s="105"/>
      <c r="J64" s="148"/>
      <c r="K64" s="87" t="s">
        <v>3767</v>
      </c>
      <c r="L64" s="87" t="s">
        <v>3562</v>
      </c>
      <c r="M64" s="88"/>
      <c r="N64" s="89"/>
      <c r="O64" s="89"/>
      <c r="P64" s="89"/>
      <c r="Q64" s="89"/>
      <c r="R64" s="87"/>
      <c r="S64" s="89"/>
      <c r="T64" s="87"/>
      <c r="U64" s="87"/>
      <c r="V64" s="90"/>
      <c r="W64" s="90"/>
      <c r="X64" s="87"/>
      <c r="Y64" s="90"/>
      <c r="Z64" s="87"/>
      <c r="AA64" s="90"/>
      <c r="AB64" s="87"/>
      <c r="AC64" s="90"/>
      <c r="AD64" s="87" t="s">
        <v>3568</v>
      </c>
      <c r="AE64" s="87" t="s">
        <v>3569</v>
      </c>
      <c r="AF64" s="87"/>
      <c r="AG64" s="90"/>
    </row>
    <row r="65" spans="1:33">
      <c r="A65" s="91" t="str">
        <f t="shared" si="0"/>
        <v/>
      </c>
      <c r="B65" s="104" t="str">
        <f t="shared" si="1"/>
        <v/>
      </c>
      <c r="C65" s="88"/>
      <c r="D65" s="89"/>
      <c r="E65" s="89"/>
      <c r="F65" s="105"/>
      <c r="G65" s="105"/>
      <c r="H65" s="105"/>
      <c r="I65" s="105"/>
      <c r="J65" s="148"/>
      <c r="K65" s="91" t="s">
        <v>3767</v>
      </c>
      <c r="L65" s="91" t="s">
        <v>3562</v>
      </c>
      <c r="M65" s="88"/>
      <c r="N65" s="89"/>
      <c r="O65" s="89"/>
      <c r="P65" s="89"/>
      <c r="Q65" s="89"/>
      <c r="R65" s="91"/>
      <c r="S65" s="89"/>
      <c r="T65" s="91"/>
      <c r="U65" s="91"/>
      <c r="V65" s="92"/>
      <c r="W65" s="92"/>
      <c r="X65" s="91"/>
      <c r="Y65" s="92"/>
      <c r="Z65" s="91"/>
      <c r="AA65" s="92"/>
      <c r="AB65" s="91"/>
      <c r="AC65" s="92"/>
      <c r="AD65" s="91" t="s">
        <v>3568</v>
      </c>
      <c r="AE65" s="91" t="s">
        <v>3569</v>
      </c>
      <c r="AF65" s="91"/>
      <c r="AG65" s="92"/>
    </row>
    <row r="66" spans="1:33">
      <c r="A66" s="87" t="str">
        <f t="shared" si="0"/>
        <v/>
      </c>
      <c r="B66" s="103" t="str">
        <f t="shared" si="1"/>
        <v/>
      </c>
      <c r="C66" s="88"/>
      <c r="D66" s="89"/>
      <c r="E66" s="89"/>
      <c r="F66" s="105"/>
      <c r="G66" s="105"/>
      <c r="H66" s="105"/>
      <c r="I66" s="105"/>
      <c r="J66" s="148"/>
      <c r="K66" s="87" t="s">
        <v>3767</v>
      </c>
      <c r="L66" s="87" t="s">
        <v>3562</v>
      </c>
      <c r="M66" s="88"/>
      <c r="N66" s="89"/>
      <c r="O66" s="89"/>
      <c r="P66" s="89"/>
      <c r="Q66" s="89"/>
      <c r="R66" s="87"/>
      <c r="S66" s="89"/>
      <c r="T66" s="87"/>
      <c r="U66" s="87"/>
      <c r="V66" s="90"/>
      <c r="W66" s="90"/>
      <c r="X66" s="87"/>
      <c r="Y66" s="90"/>
      <c r="Z66" s="87"/>
      <c r="AA66" s="90"/>
      <c r="AB66" s="87"/>
      <c r="AC66" s="90"/>
      <c r="AD66" s="87" t="s">
        <v>3568</v>
      </c>
      <c r="AE66" s="87" t="s">
        <v>3569</v>
      </c>
      <c r="AF66" s="87"/>
      <c r="AG66" s="90"/>
    </row>
    <row r="67" spans="1:33">
      <c r="A67" s="91" t="str">
        <f t="shared" si="0"/>
        <v/>
      </c>
      <c r="B67" s="104" t="str">
        <f t="shared" si="1"/>
        <v/>
      </c>
      <c r="C67" s="88"/>
      <c r="D67" s="89"/>
      <c r="E67" s="89"/>
      <c r="F67" s="105"/>
      <c r="G67" s="105"/>
      <c r="H67" s="105"/>
      <c r="I67" s="105"/>
      <c r="J67" s="148"/>
      <c r="K67" s="91" t="s">
        <v>3767</v>
      </c>
      <c r="L67" s="91" t="s">
        <v>3562</v>
      </c>
      <c r="M67" s="88"/>
      <c r="N67" s="89"/>
      <c r="O67" s="89"/>
      <c r="P67" s="89"/>
      <c r="Q67" s="89"/>
      <c r="R67" s="91"/>
      <c r="S67" s="89"/>
      <c r="T67" s="91"/>
      <c r="U67" s="91"/>
      <c r="V67" s="92"/>
      <c r="W67" s="92"/>
      <c r="X67" s="91"/>
      <c r="Y67" s="92"/>
      <c r="Z67" s="91"/>
      <c r="AA67" s="92"/>
      <c r="AB67" s="91"/>
      <c r="AC67" s="92"/>
      <c r="AD67" s="91" t="s">
        <v>3568</v>
      </c>
      <c r="AE67" s="91" t="s">
        <v>3569</v>
      </c>
      <c r="AF67" s="91"/>
      <c r="AG67" s="92"/>
    </row>
    <row r="68" spans="1:33">
      <c r="A68" s="87" t="str">
        <f t="shared" si="0"/>
        <v/>
      </c>
      <c r="B68" s="103" t="str">
        <f t="shared" si="1"/>
        <v/>
      </c>
      <c r="C68" s="88"/>
      <c r="D68" s="89"/>
      <c r="E68" s="89"/>
      <c r="F68" s="105"/>
      <c r="G68" s="105"/>
      <c r="H68" s="105"/>
      <c r="I68" s="105"/>
      <c r="J68" s="148"/>
      <c r="K68" s="87" t="s">
        <v>3767</v>
      </c>
      <c r="L68" s="87" t="s">
        <v>3562</v>
      </c>
      <c r="M68" s="88"/>
      <c r="N68" s="89"/>
      <c r="O68" s="89"/>
      <c r="P68" s="89"/>
      <c r="Q68" s="89"/>
      <c r="R68" s="87"/>
      <c r="S68" s="89"/>
      <c r="T68" s="87"/>
      <c r="U68" s="87"/>
      <c r="V68" s="90"/>
      <c r="W68" s="90"/>
      <c r="X68" s="87"/>
      <c r="Y68" s="90"/>
      <c r="Z68" s="87"/>
      <c r="AA68" s="90"/>
      <c r="AB68" s="87"/>
      <c r="AC68" s="90"/>
      <c r="AD68" s="87" t="s">
        <v>3568</v>
      </c>
      <c r="AE68" s="87" t="s">
        <v>3569</v>
      </c>
      <c r="AF68" s="87"/>
      <c r="AG68" s="90"/>
    </row>
    <row r="69" spans="1:33">
      <c r="A69" s="91" t="str">
        <f t="shared" si="0"/>
        <v/>
      </c>
      <c r="B69" s="104" t="str">
        <f t="shared" si="1"/>
        <v/>
      </c>
      <c r="C69" s="88"/>
      <c r="D69" s="89"/>
      <c r="E69" s="89"/>
      <c r="F69" s="105"/>
      <c r="G69" s="105"/>
      <c r="H69" s="105"/>
      <c r="I69" s="105"/>
      <c r="J69" s="148"/>
      <c r="K69" s="91" t="s">
        <v>3767</v>
      </c>
      <c r="L69" s="91" t="s">
        <v>3562</v>
      </c>
      <c r="M69" s="88"/>
      <c r="N69" s="89"/>
      <c r="O69" s="89"/>
      <c r="P69" s="89"/>
      <c r="Q69" s="89"/>
      <c r="R69" s="91"/>
      <c r="S69" s="89"/>
      <c r="T69" s="91"/>
      <c r="U69" s="91"/>
      <c r="V69" s="92"/>
      <c r="W69" s="92"/>
      <c r="X69" s="91"/>
      <c r="Y69" s="92"/>
      <c r="Z69" s="91"/>
      <c r="AA69" s="92"/>
      <c r="AB69" s="91"/>
      <c r="AC69" s="92"/>
      <c r="AD69" s="91" t="s">
        <v>3568</v>
      </c>
      <c r="AE69" s="91" t="s">
        <v>3569</v>
      </c>
      <c r="AF69" s="91"/>
      <c r="AG69" s="92"/>
    </row>
    <row r="70" spans="1:33">
      <c r="A70" s="87" t="str">
        <f t="shared" ref="A70:A133" si="2">IF(B70&lt;&gt;"",(ROW()-4),"")</f>
        <v/>
      </c>
      <c r="B70" s="103" t="str">
        <f t="shared" ref="B70:B133" si="3">IF(D70&lt;&gt;"","CASE-PMS-ADV-2026-"&amp;TEXT(ROW()-4,"000"),"")</f>
        <v/>
      </c>
      <c r="C70" s="88"/>
      <c r="D70" s="89"/>
      <c r="E70" s="89"/>
      <c r="F70" s="105"/>
      <c r="G70" s="105"/>
      <c r="H70" s="105"/>
      <c r="I70" s="105"/>
      <c r="J70" s="148"/>
      <c r="K70" s="87" t="s">
        <v>3767</v>
      </c>
      <c r="L70" s="87" t="s">
        <v>3562</v>
      </c>
      <c r="M70" s="88"/>
      <c r="N70" s="89"/>
      <c r="O70" s="89"/>
      <c r="P70" s="89"/>
      <c r="Q70" s="89"/>
      <c r="R70" s="87"/>
      <c r="S70" s="89"/>
      <c r="T70" s="87"/>
      <c r="U70" s="87"/>
      <c r="V70" s="90"/>
      <c r="W70" s="90"/>
      <c r="X70" s="87"/>
      <c r="Y70" s="90"/>
      <c r="Z70" s="87"/>
      <c r="AA70" s="90"/>
      <c r="AB70" s="87"/>
      <c r="AC70" s="90"/>
      <c r="AD70" s="87" t="s">
        <v>3568</v>
      </c>
      <c r="AE70" s="87" t="s">
        <v>3569</v>
      </c>
      <c r="AF70" s="87"/>
      <c r="AG70" s="90"/>
    </row>
    <row r="71" spans="1:33">
      <c r="A71" s="91" t="str">
        <f t="shared" si="2"/>
        <v/>
      </c>
      <c r="B71" s="104" t="str">
        <f t="shared" si="3"/>
        <v/>
      </c>
      <c r="C71" s="88"/>
      <c r="D71" s="89"/>
      <c r="E71" s="89"/>
      <c r="F71" s="105"/>
      <c r="G71" s="105"/>
      <c r="H71" s="105"/>
      <c r="I71" s="105"/>
      <c r="J71" s="148"/>
      <c r="K71" s="91" t="s">
        <v>3767</v>
      </c>
      <c r="L71" s="91" t="s">
        <v>3562</v>
      </c>
      <c r="M71" s="88"/>
      <c r="N71" s="89"/>
      <c r="O71" s="89"/>
      <c r="P71" s="89"/>
      <c r="Q71" s="89"/>
      <c r="R71" s="91"/>
      <c r="S71" s="89"/>
      <c r="T71" s="91"/>
      <c r="U71" s="91"/>
      <c r="V71" s="92"/>
      <c r="W71" s="92"/>
      <c r="X71" s="91"/>
      <c r="Y71" s="92"/>
      <c r="Z71" s="91"/>
      <c r="AA71" s="92"/>
      <c r="AB71" s="91"/>
      <c r="AC71" s="92"/>
      <c r="AD71" s="91" t="s">
        <v>3568</v>
      </c>
      <c r="AE71" s="91" t="s">
        <v>3569</v>
      </c>
      <c r="AF71" s="91"/>
      <c r="AG71" s="92"/>
    </row>
    <row r="72" spans="1:33">
      <c r="A72" s="87" t="str">
        <f t="shared" si="2"/>
        <v/>
      </c>
      <c r="B72" s="103" t="str">
        <f t="shared" si="3"/>
        <v/>
      </c>
      <c r="C72" s="88"/>
      <c r="D72" s="89"/>
      <c r="E72" s="89"/>
      <c r="F72" s="105"/>
      <c r="G72" s="105"/>
      <c r="H72" s="105"/>
      <c r="I72" s="105"/>
      <c r="J72" s="148"/>
      <c r="K72" s="87" t="s">
        <v>3767</v>
      </c>
      <c r="L72" s="87" t="s">
        <v>3562</v>
      </c>
      <c r="M72" s="88"/>
      <c r="N72" s="89"/>
      <c r="O72" s="89"/>
      <c r="P72" s="89"/>
      <c r="Q72" s="89"/>
      <c r="R72" s="87"/>
      <c r="S72" s="89"/>
      <c r="T72" s="87"/>
      <c r="U72" s="87"/>
      <c r="V72" s="90"/>
      <c r="W72" s="90"/>
      <c r="X72" s="87"/>
      <c r="Y72" s="90"/>
      <c r="Z72" s="87"/>
      <c r="AA72" s="90"/>
      <c r="AB72" s="87"/>
      <c r="AC72" s="90"/>
      <c r="AD72" s="87" t="s">
        <v>3568</v>
      </c>
      <c r="AE72" s="87" t="s">
        <v>3569</v>
      </c>
      <c r="AF72" s="87"/>
      <c r="AG72" s="90"/>
    </row>
    <row r="73" spans="1:33">
      <c r="A73" s="91" t="str">
        <f t="shared" si="2"/>
        <v/>
      </c>
      <c r="B73" s="104" t="str">
        <f t="shared" si="3"/>
        <v/>
      </c>
      <c r="C73" s="88"/>
      <c r="D73" s="89"/>
      <c r="E73" s="89"/>
      <c r="F73" s="105"/>
      <c r="G73" s="105"/>
      <c r="H73" s="105"/>
      <c r="I73" s="105"/>
      <c r="J73" s="148"/>
      <c r="K73" s="91" t="s">
        <v>3767</v>
      </c>
      <c r="L73" s="91" t="s">
        <v>3562</v>
      </c>
      <c r="M73" s="88"/>
      <c r="N73" s="89"/>
      <c r="O73" s="89"/>
      <c r="P73" s="89"/>
      <c r="Q73" s="89"/>
      <c r="R73" s="91"/>
      <c r="S73" s="89"/>
      <c r="T73" s="91"/>
      <c r="U73" s="91"/>
      <c r="V73" s="92"/>
      <c r="W73" s="92"/>
      <c r="X73" s="91"/>
      <c r="Y73" s="92"/>
      <c r="Z73" s="91"/>
      <c r="AA73" s="92"/>
      <c r="AB73" s="91"/>
      <c r="AC73" s="92"/>
      <c r="AD73" s="91" t="s">
        <v>3568</v>
      </c>
      <c r="AE73" s="91" t="s">
        <v>3569</v>
      </c>
      <c r="AF73" s="91"/>
      <c r="AG73" s="92"/>
    </row>
    <row r="74" spans="1:33">
      <c r="A74" s="87" t="str">
        <f t="shared" si="2"/>
        <v/>
      </c>
      <c r="B74" s="103" t="str">
        <f t="shared" si="3"/>
        <v/>
      </c>
      <c r="C74" s="88"/>
      <c r="D74" s="89"/>
      <c r="E74" s="89"/>
      <c r="F74" s="105"/>
      <c r="G74" s="105"/>
      <c r="H74" s="105"/>
      <c r="I74" s="105"/>
      <c r="J74" s="148"/>
      <c r="K74" s="87" t="s">
        <v>3767</v>
      </c>
      <c r="L74" s="87" t="s">
        <v>3562</v>
      </c>
      <c r="M74" s="88"/>
      <c r="N74" s="89"/>
      <c r="O74" s="89"/>
      <c r="P74" s="89"/>
      <c r="Q74" s="89"/>
      <c r="R74" s="87"/>
      <c r="S74" s="89"/>
      <c r="T74" s="87"/>
      <c r="U74" s="87"/>
      <c r="V74" s="90"/>
      <c r="W74" s="90"/>
      <c r="X74" s="87"/>
      <c r="Y74" s="90"/>
      <c r="Z74" s="87"/>
      <c r="AA74" s="90"/>
      <c r="AB74" s="87"/>
      <c r="AC74" s="90"/>
      <c r="AD74" s="87" t="s">
        <v>3568</v>
      </c>
      <c r="AE74" s="87" t="s">
        <v>3569</v>
      </c>
      <c r="AF74" s="87"/>
      <c r="AG74" s="90"/>
    </row>
    <row r="75" spans="1:33">
      <c r="A75" s="91" t="str">
        <f t="shared" si="2"/>
        <v/>
      </c>
      <c r="B75" s="104" t="str">
        <f t="shared" si="3"/>
        <v/>
      </c>
      <c r="C75" s="88"/>
      <c r="D75" s="89"/>
      <c r="E75" s="89"/>
      <c r="F75" s="105"/>
      <c r="G75" s="105"/>
      <c r="H75" s="105"/>
      <c r="I75" s="105"/>
      <c r="J75" s="148"/>
      <c r="K75" s="91" t="s">
        <v>3767</v>
      </c>
      <c r="L75" s="91" t="s">
        <v>3562</v>
      </c>
      <c r="M75" s="88"/>
      <c r="N75" s="89"/>
      <c r="O75" s="89"/>
      <c r="P75" s="89"/>
      <c r="Q75" s="89"/>
      <c r="R75" s="91"/>
      <c r="S75" s="89"/>
      <c r="T75" s="91"/>
      <c r="U75" s="91"/>
      <c r="V75" s="92"/>
      <c r="W75" s="92"/>
      <c r="X75" s="91"/>
      <c r="Y75" s="92"/>
      <c r="Z75" s="91"/>
      <c r="AA75" s="92"/>
      <c r="AB75" s="91"/>
      <c r="AC75" s="92"/>
      <c r="AD75" s="91" t="s">
        <v>3568</v>
      </c>
      <c r="AE75" s="91" t="s">
        <v>3569</v>
      </c>
      <c r="AF75" s="91"/>
      <c r="AG75" s="92"/>
    </row>
    <row r="76" spans="1:33">
      <c r="A76" s="87" t="str">
        <f t="shared" si="2"/>
        <v/>
      </c>
      <c r="B76" s="103" t="str">
        <f t="shared" si="3"/>
        <v/>
      </c>
      <c r="C76" s="88"/>
      <c r="D76" s="89"/>
      <c r="E76" s="89"/>
      <c r="F76" s="105"/>
      <c r="G76" s="105"/>
      <c r="H76" s="105"/>
      <c r="I76" s="105"/>
      <c r="J76" s="148"/>
      <c r="K76" s="87" t="s">
        <v>3767</v>
      </c>
      <c r="L76" s="87" t="s">
        <v>3562</v>
      </c>
      <c r="M76" s="88"/>
      <c r="N76" s="89"/>
      <c r="O76" s="89"/>
      <c r="P76" s="89"/>
      <c r="Q76" s="89"/>
      <c r="R76" s="87"/>
      <c r="S76" s="89"/>
      <c r="T76" s="87"/>
      <c r="U76" s="87"/>
      <c r="V76" s="90"/>
      <c r="W76" s="90"/>
      <c r="X76" s="87"/>
      <c r="Y76" s="90"/>
      <c r="Z76" s="87"/>
      <c r="AA76" s="90"/>
      <c r="AB76" s="87"/>
      <c r="AC76" s="90"/>
      <c r="AD76" s="87" t="s">
        <v>3568</v>
      </c>
      <c r="AE76" s="87" t="s">
        <v>3569</v>
      </c>
      <c r="AF76" s="87"/>
      <c r="AG76" s="90"/>
    </row>
    <row r="77" spans="1:33">
      <c r="A77" s="91" t="str">
        <f t="shared" si="2"/>
        <v/>
      </c>
      <c r="B77" s="104" t="str">
        <f t="shared" si="3"/>
        <v/>
      </c>
      <c r="C77" s="88"/>
      <c r="D77" s="89"/>
      <c r="E77" s="89"/>
      <c r="F77" s="105"/>
      <c r="G77" s="105"/>
      <c r="H77" s="105"/>
      <c r="I77" s="105"/>
      <c r="J77" s="148"/>
      <c r="K77" s="91" t="s">
        <v>3767</v>
      </c>
      <c r="L77" s="91" t="s">
        <v>3562</v>
      </c>
      <c r="M77" s="88"/>
      <c r="N77" s="89"/>
      <c r="O77" s="89"/>
      <c r="P77" s="89"/>
      <c r="Q77" s="89"/>
      <c r="R77" s="91"/>
      <c r="S77" s="89"/>
      <c r="T77" s="91"/>
      <c r="U77" s="91"/>
      <c r="V77" s="92"/>
      <c r="W77" s="92"/>
      <c r="X77" s="91"/>
      <c r="Y77" s="92"/>
      <c r="Z77" s="91"/>
      <c r="AA77" s="92"/>
      <c r="AB77" s="91"/>
      <c r="AC77" s="92"/>
      <c r="AD77" s="91" t="s">
        <v>3568</v>
      </c>
      <c r="AE77" s="91" t="s">
        <v>3569</v>
      </c>
      <c r="AF77" s="91"/>
      <c r="AG77" s="92"/>
    </row>
    <row r="78" spans="1:33">
      <c r="A78" s="87" t="str">
        <f t="shared" si="2"/>
        <v/>
      </c>
      <c r="B78" s="103" t="str">
        <f t="shared" si="3"/>
        <v/>
      </c>
      <c r="C78" s="88"/>
      <c r="D78" s="89"/>
      <c r="E78" s="89"/>
      <c r="F78" s="105"/>
      <c r="G78" s="105"/>
      <c r="H78" s="105"/>
      <c r="I78" s="105"/>
      <c r="J78" s="148"/>
      <c r="K78" s="87" t="s">
        <v>3767</v>
      </c>
      <c r="L78" s="87" t="s">
        <v>3562</v>
      </c>
      <c r="M78" s="88"/>
      <c r="N78" s="89"/>
      <c r="O78" s="89"/>
      <c r="P78" s="89"/>
      <c r="Q78" s="89"/>
      <c r="R78" s="87"/>
      <c r="S78" s="89"/>
      <c r="T78" s="87"/>
      <c r="U78" s="87"/>
      <c r="V78" s="90"/>
      <c r="W78" s="90"/>
      <c r="X78" s="87"/>
      <c r="Y78" s="90"/>
      <c r="Z78" s="87"/>
      <c r="AA78" s="90"/>
      <c r="AB78" s="87"/>
      <c r="AC78" s="90"/>
      <c r="AD78" s="87" t="s">
        <v>3568</v>
      </c>
      <c r="AE78" s="87" t="s">
        <v>3569</v>
      </c>
      <c r="AF78" s="87"/>
      <c r="AG78" s="90"/>
    </row>
    <row r="79" spans="1:33">
      <c r="A79" s="91" t="str">
        <f t="shared" si="2"/>
        <v/>
      </c>
      <c r="B79" s="104" t="str">
        <f t="shared" si="3"/>
        <v/>
      </c>
      <c r="C79" s="88"/>
      <c r="D79" s="89"/>
      <c r="E79" s="89"/>
      <c r="F79" s="105"/>
      <c r="G79" s="105"/>
      <c r="H79" s="105"/>
      <c r="I79" s="105"/>
      <c r="J79" s="148"/>
      <c r="K79" s="91" t="s">
        <v>3767</v>
      </c>
      <c r="L79" s="91" t="s">
        <v>3562</v>
      </c>
      <c r="M79" s="88"/>
      <c r="N79" s="89"/>
      <c r="O79" s="89"/>
      <c r="P79" s="89"/>
      <c r="Q79" s="89"/>
      <c r="R79" s="91"/>
      <c r="S79" s="89"/>
      <c r="T79" s="91"/>
      <c r="U79" s="91"/>
      <c r="V79" s="92"/>
      <c r="W79" s="92"/>
      <c r="X79" s="91"/>
      <c r="Y79" s="92"/>
      <c r="Z79" s="91"/>
      <c r="AA79" s="92"/>
      <c r="AB79" s="91"/>
      <c r="AC79" s="92"/>
      <c r="AD79" s="91" t="s">
        <v>3568</v>
      </c>
      <c r="AE79" s="91" t="s">
        <v>3569</v>
      </c>
      <c r="AF79" s="91"/>
      <c r="AG79" s="92"/>
    </row>
    <row r="80" spans="1:33">
      <c r="A80" s="87" t="str">
        <f t="shared" si="2"/>
        <v/>
      </c>
      <c r="B80" s="103" t="str">
        <f t="shared" si="3"/>
        <v/>
      </c>
      <c r="C80" s="88"/>
      <c r="D80" s="89"/>
      <c r="E80" s="89"/>
      <c r="F80" s="105"/>
      <c r="G80" s="105"/>
      <c r="H80" s="105"/>
      <c r="I80" s="105"/>
      <c r="J80" s="148"/>
      <c r="K80" s="87" t="s">
        <v>3767</v>
      </c>
      <c r="L80" s="87" t="s">
        <v>3562</v>
      </c>
      <c r="M80" s="88"/>
      <c r="N80" s="89"/>
      <c r="O80" s="89"/>
      <c r="P80" s="89"/>
      <c r="Q80" s="89"/>
      <c r="R80" s="87"/>
      <c r="S80" s="89"/>
      <c r="T80" s="87"/>
      <c r="U80" s="87"/>
      <c r="V80" s="90"/>
      <c r="W80" s="90"/>
      <c r="X80" s="87"/>
      <c r="Y80" s="90"/>
      <c r="Z80" s="87"/>
      <c r="AA80" s="90"/>
      <c r="AB80" s="87"/>
      <c r="AC80" s="90"/>
      <c r="AD80" s="87" t="s">
        <v>3568</v>
      </c>
      <c r="AE80" s="87" t="s">
        <v>3569</v>
      </c>
      <c r="AF80" s="87"/>
      <c r="AG80" s="90"/>
    </row>
    <row r="81" spans="1:33">
      <c r="A81" s="91" t="str">
        <f t="shared" si="2"/>
        <v/>
      </c>
      <c r="B81" s="104" t="str">
        <f t="shared" si="3"/>
        <v/>
      </c>
      <c r="C81" s="88"/>
      <c r="D81" s="89"/>
      <c r="E81" s="89"/>
      <c r="F81" s="105"/>
      <c r="G81" s="105"/>
      <c r="H81" s="105"/>
      <c r="I81" s="105"/>
      <c r="J81" s="148"/>
      <c r="K81" s="91" t="s">
        <v>3767</v>
      </c>
      <c r="L81" s="91" t="s">
        <v>3562</v>
      </c>
      <c r="M81" s="88"/>
      <c r="N81" s="89"/>
      <c r="O81" s="89"/>
      <c r="P81" s="89"/>
      <c r="Q81" s="89"/>
      <c r="R81" s="91"/>
      <c r="S81" s="89"/>
      <c r="T81" s="91"/>
      <c r="U81" s="91"/>
      <c r="V81" s="92"/>
      <c r="W81" s="92"/>
      <c r="X81" s="91"/>
      <c r="Y81" s="92"/>
      <c r="Z81" s="91"/>
      <c r="AA81" s="92"/>
      <c r="AB81" s="91"/>
      <c r="AC81" s="92"/>
      <c r="AD81" s="91" t="s">
        <v>3568</v>
      </c>
      <c r="AE81" s="91" t="s">
        <v>3569</v>
      </c>
      <c r="AF81" s="91"/>
      <c r="AG81" s="92"/>
    </row>
    <row r="82" spans="1:33">
      <c r="A82" s="87" t="str">
        <f t="shared" si="2"/>
        <v/>
      </c>
      <c r="B82" s="103" t="str">
        <f t="shared" si="3"/>
        <v/>
      </c>
      <c r="C82" s="88"/>
      <c r="D82" s="89"/>
      <c r="E82" s="89"/>
      <c r="F82" s="105"/>
      <c r="G82" s="105"/>
      <c r="H82" s="105"/>
      <c r="I82" s="105"/>
      <c r="J82" s="148"/>
      <c r="K82" s="87" t="s">
        <v>3767</v>
      </c>
      <c r="L82" s="87" t="s">
        <v>3562</v>
      </c>
      <c r="M82" s="88"/>
      <c r="N82" s="89"/>
      <c r="O82" s="89"/>
      <c r="P82" s="89"/>
      <c r="Q82" s="89"/>
      <c r="R82" s="87"/>
      <c r="S82" s="89"/>
      <c r="T82" s="87"/>
      <c r="U82" s="87"/>
      <c r="V82" s="90"/>
      <c r="W82" s="90"/>
      <c r="X82" s="87"/>
      <c r="Y82" s="90"/>
      <c r="Z82" s="87"/>
      <c r="AA82" s="90"/>
      <c r="AB82" s="87"/>
      <c r="AC82" s="90"/>
      <c r="AD82" s="87" t="s">
        <v>3568</v>
      </c>
      <c r="AE82" s="87" t="s">
        <v>3569</v>
      </c>
      <c r="AF82" s="87"/>
      <c r="AG82" s="90"/>
    </row>
    <row r="83" spans="1:33">
      <c r="A83" s="91" t="str">
        <f t="shared" si="2"/>
        <v/>
      </c>
      <c r="B83" s="104" t="str">
        <f t="shared" si="3"/>
        <v/>
      </c>
      <c r="C83" s="88"/>
      <c r="D83" s="89"/>
      <c r="E83" s="89"/>
      <c r="F83" s="105"/>
      <c r="G83" s="105"/>
      <c r="H83" s="105"/>
      <c r="I83" s="105"/>
      <c r="J83" s="148"/>
      <c r="K83" s="91" t="s">
        <v>3767</v>
      </c>
      <c r="L83" s="91" t="s">
        <v>3562</v>
      </c>
      <c r="M83" s="88"/>
      <c r="N83" s="89"/>
      <c r="O83" s="89"/>
      <c r="P83" s="89"/>
      <c r="Q83" s="89"/>
      <c r="R83" s="91"/>
      <c r="S83" s="89"/>
      <c r="T83" s="91"/>
      <c r="U83" s="91"/>
      <c r="V83" s="92"/>
      <c r="W83" s="92"/>
      <c r="X83" s="91"/>
      <c r="Y83" s="92"/>
      <c r="Z83" s="91"/>
      <c r="AA83" s="92"/>
      <c r="AB83" s="91"/>
      <c r="AC83" s="92"/>
      <c r="AD83" s="91" t="s">
        <v>3568</v>
      </c>
      <c r="AE83" s="91" t="s">
        <v>3569</v>
      </c>
      <c r="AF83" s="91"/>
      <c r="AG83" s="92"/>
    </row>
    <row r="84" spans="1:33">
      <c r="A84" s="87" t="str">
        <f t="shared" si="2"/>
        <v/>
      </c>
      <c r="B84" s="103" t="str">
        <f t="shared" si="3"/>
        <v/>
      </c>
      <c r="C84" s="88"/>
      <c r="D84" s="89"/>
      <c r="E84" s="89"/>
      <c r="F84" s="105"/>
      <c r="G84" s="105"/>
      <c r="H84" s="105"/>
      <c r="I84" s="105"/>
      <c r="J84" s="148"/>
      <c r="K84" s="87" t="s">
        <v>3767</v>
      </c>
      <c r="L84" s="87" t="s">
        <v>3562</v>
      </c>
      <c r="M84" s="88"/>
      <c r="N84" s="89"/>
      <c r="O84" s="89"/>
      <c r="P84" s="89"/>
      <c r="Q84" s="89"/>
      <c r="R84" s="87"/>
      <c r="S84" s="89"/>
      <c r="T84" s="87"/>
      <c r="U84" s="87"/>
      <c r="V84" s="90"/>
      <c r="W84" s="90"/>
      <c r="X84" s="87"/>
      <c r="Y84" s="90"/>
      <c r="Z84" s="87"/>
      <c r="AA84" s="90"/>
      <c r="AB84" s="87"/>
      <c r="AC84" s="90"/>
      <c r="AD84" s="87" t="s">
        <v>3568</v>
      </c>
      <c r="AE84" s="87" t="s">
        <v>3569</v>
      </c>
      <c r="AF84" s="87"/>
      <c r="AG84" s="90"/>
    </row>
    <row r="85" spans="1:33">
      <c r="A85" s="91" t="str">
        <f t="shared" si="2"/>
        <v/>
      </c>
      <c r="B85" s="104" t="str">
        <f t="shared" si="3"/>
        <v/>
      </c>
      <c r="C85" s="88"/>
      <c r="D85" s="89"/>
      <c r="E85" s="89"/>
      <c r="F85" s="105"/>
      <c r="G85" s="105"/>
      <c r="H85" s="105"/>
      <c r="I85" s="105"/>
      <c r="J85" s="148"/>
      <c r="K85" s="91" t="s">
        <v>3767</v>
      </c>
      <c r="L85" s="91" t="s">
        <v>3562</v>
      </c>
      <c r="M85" s="88"/>
      <c r="N85" s="89"/>
      <c r="O85" s="89"/>
      <c r="P85" s="89"/>
      <c r="Q85" s="89"/>
      <c r="R85" s="91"/>
      <c r="S85" s="89"/>
      <c r="T85" s="91"/>
      <c r="U85" s="91"/>
      <c r="V85" s="92"/>
      <c r="W85" s="92"/>
      <c r="X85" s="91"/>
      <c r="Y85" s="92"/>
      <c r="Z85" s="91"/>
      <c r="AA85" s="92"/>
      <c r="AB85" s="91"/>
      <c r="AC85" s="92"/>
      <c r="AD85" s="91" t="s">
        <v>3568</v>
      </c>
      <c r="AE85" s="91" t="s">
        <v>3569</v>
      </c>
      <c r="AF85" s="91"/>
      <c r="AG85" s="92"/>
    </row>
    <row r="86" spans="1:33">
      <c r="A86" s="87" t="str">
        <f t="shared" si="2"/>
        <v/>
      </c>
      <c r="B86" s="103" t="str">
        <f t="shared" si="3"/>
        <v/>
      </c>
      <c r="C86" s="88"/>
      <c r="D86" s="89"/>
      <c r="E86" s="89"/>
      <c r="F86" s="105"/>
      <c r="G86" s="105"/>
      <c r="H86" s="105"/>
      <c r="I86" s="105"/>
      <c r="J86" s="148"/>
      <c r="K86" s="87" t="s">
        <v>3767</v>
      </c>
      <c r="L86" s="87" t="s">
        <v>3562</v>
      </c>
      <c r="M86" s="88"/>
      <c r="N86" s="89"/>
      <c r="O86" s="89"/>
      <c r="P86" s="89"/>
      <c r="Q86" s="89"/>
      <c r="R86" s="87"/>
      <c r="S86" s="89"/>
      <c r="T86" s="87"/>
      <c r="U86" s="87"/>
      <c r="V86" s="90"/>
      <c r="W86" s="90"/>
      <c r="X86" s="87"/>
      <c r="Y86" s="90"/>
      <c r="Z86" s="87"/>
      <c r="AA86" s="90"/>
      <c r="AB86" s="87"/>
      <c r="AC86" s="90"/>
      <c r="AD86" s="87" t="s">
        <v>3568</v>
      </c>
      <c r="AE86" s="87" t="s">
        <v>3569</v>
      </c>
      <c r="AF86" s="87"/>
      <c r="AG86" s="90"/>
    </row>
    <row r="87" spans="1:33">
      <c r="A87" s="91" t="str">
        <f t="shared" si="2"/>
        <v/>
      </c>
      <c r="B87" s="104" t="str">
        <f t="shared" si="3"/>
        <v/>
      </c>
      <c r="C87" s="88"/>
      <c r="D87" s="89"/>
      <c r="E87" s="89"/>
      <c r="F87" s="105"/>
      <c r="G87" s="105"/>
      <c r="H87" s="105"/>
      <c r="I87" s="105"/>
      <c r="J87" s="148"/>
      <c r="K87" s="91" t="s">
        <v>3767</v>
      </c>
      <c r="L87" s="91" t="s">
        <v>3562</v>
      </c>
      <c r="M87" s="88"/>
      <c r="N87" s="89"/>
      <c r="O87" s="89"/>
      <c r="P87" s="89"/>
      <c r="Q87" s="89"/>
      <c r="R87" s="91"/>
      <c r="S87" s="89"/>
      <c r="T87" s="91"/>
      <c r="U87" s="91"/>
      <c r="V87" s="92"/>
      <c r="W87" s="92"/>
      <c r="X87" s="91"/>
      <c r="Y87" s="92"/>
      <c r="Z87" s="91"/>
      <c r="AA87" s="92"/>
      <c r="AB87" s="91"/>
      <c r="AC87" s="92"/>
      <c r="AD87" s="91" t="s">
        <v>3568</v>
      </c>
      <c r="AE87" s="91" t="s">
        <v>3569</v>
      </c>
      <c r="AF87" s="91"/>
      <c r="AG87" s="92"/>
    </row>
    <row r="88" spans="1:33">
      <c r="A88" s="87" t="str">
        <f t="shared" si="2"/>
        <v/>
      </c>
      <c r="B88" s="103" t="str">
        <f t="shared" si="3"/>
        <v/>
      </c>
      <c r="C88" s="88"/>
      <c r="D88" s="89"/>
      <c r="E88" s="89"/>
      <c r="F88" s="105"/>
      <c r="G88" s="105"/>
      <c r="H88" s="105"/>
      <c r="I88" s="105"/>
      <c r="J88" s="148"/>
      <c r="K88" s="87" t="s">
        <v>3767</v>
      </c>
      <c r="L88" s="87" t="s">
        <v>3562</v>
      </c>
      <c r="M88" s="88"/>
      <c r="N88" s="89"/>
      <c r="O88" s="89"/>
      <c r="P88" s="89"/>
      <c r="Q88" s="89"/>
      <c r="R88" s="87"/>
      <c r="S88" s="89"/>
      <c r="T88" s="87"/>
      <c r="U88" s="87"/>
      <c r="V88" s="90"/>
      <c r="W88" s="90"/>
      <c r="X88" s="87"/>
      <c r="Y88" s="90"/>
      <c r="Z88" s="87"/>
      <c r="AA88" s="90"/>
      <c r="AB88" s="87"/>
      <c r="AC88" s="90"/>
      <c r="AD88" s="87" t="s">
        <v>3568</v>
      </c>
      <c r="AE88" s="87" t="s">
        <v>3569</v>
      </c>
      <c r="AF88" s="87"/>
      <c r="AG88" s="90"/>
    </row>
    <row r="89" spans="1:33">
      <c r="A89" s="91" t="str">
        <f t="shared" si="2"/>
        <v/>
      </c>
      <c r="B89" s="104" t="str">
        <f t="shared" si="3"/>
        <v/>
      </c>
      <c r="C89" s="88"/>
      <c r="D89" s="89"/>
      <c r="E89" s="89"/>
      <c r="F89" s="105"/>
      <c r="G89" s="105"/>
      <c r="H89" s="105"/>
      <c r="I89" s="105"/>
      <c r="J89" s="148"/>
      <c r="K89" s="91" t="s">
        <v>3767</v>
      </c>
      <c r="L89" s="91" t="s">
        <v>3562</v>
      </c>
      <c r="M89" s="88"/>
      <c r="N89" s="89"/>
      <c r="O89" s="89"/>
      <c r="P89" s="89"/>
      <c r="Q89" s="89"/>
      <c r="R89" s="91"/>
      <c r="S89" s="89"/>
      <c r="T89" s="91"/>
      <c r="U89" s="91"/>
      <c r="V89" s="92"/>
      <c r="W89" s="92"/>
      <c r="X89" s="91"/>
      <c r="Y89" s="92"/>
      <c r="Z89" s="91"/>
      <c r="AA89" s="92"/>
      <c r="AB89" s="91"/>
      <c r="AC89" s="92"/>
      <c r="AD89" s="91" t="s">
        <v>3568</v>
      </c>
      <c r="AE89" s="91" t="s">
        <v>3569</v>
      </c>
      <c r="AF89" s="91"/>
      <c r="AG89" s="92"/>
    </row>
    <row r="90" spans="1:33">
      <c r="A90" s="87" t="str">
        <f t="shared" si="2"/>
        <v/>
      </c>
      <c r="B90" s="103" t="str">
        <f t="shared" si="3"/>
        <v/>
      </c>
      <c r="C90" s="88"/>
      <c r="D90" s="89"/>
      <c r="E90" s="89"/>
      <c r="F90" s="105"/>
      <c r="G90" s="105"/>
      <c r="H90" s="105"/>
      <c r="I90" s="105"/>
      <c r="J90" s="148"/>
      <c r="K90" s="87" t="s">
        <v>3767</v>
      </c>
      <c r="L90" s="87" t="s">
        <v>3562</v>
      </c>
      <c r="M90" s="88"/>
      <c r="N90" s="89"/>
      <c r="O90" s="89"/>
      <c r="P90" s="89"/>
      <c r="Q90" s="89"/>
      <c r="R90" s="87"/>
      <c r="S90" s="89"/>
      <c r="T90" s="87"/>
      <c r="U90" s="87"/>
      <c r="V90" s="90"/>
      <c r="W90" s="90"/>
      <c r="X90" s="87"/>
      <c r="Y90" s="90"/>
      <c r="Z90" s="87"/>
      <c r="AA90" s="90"/>
      <c r="AB90" s="87"/>
      <c r="AC90" s="90"/>
      <c r="AD90" s="87" t="s">
        <v>3568</v>
      </c>
      <c r="AE90" s="87" t="s">
        <v>3569</v>
      </c>
      <c r="AF90" s="87"/>
      <c r="AG90" s="90"/>
    </row>
    <row r="91" spans="1:33">
      <c r="A91" s="91" t="str">
        <f t="shared" si="2"/>
        <v/>
      </c>
      <c r="B91" s="104" t="str">
        <f t="shared" si="3"/>
        <v/>
      </c>
      <c r="C91" s="88"/>
      <c r="D91" s="89"/>
      <c r="E91" s="89"/>
      <c r="F91" s="105"/>
      <c r="G91" s="105"/>
      <c r="H91" s="105"/>
      <c r="I91" s="105"/>
      <c r="J91" s="148"/>
      <c r="K91" s="91" t="s">
        <v>3767</v>
      </c>
      <c r="L91" s="91" t="s">
        <v>3562</v>
      </c>
      <c r="M91" s="88"/>
      <c r="N91" s="89"/>
      <c r="O91" s="89"/>
      <c r="P91" s="89"/>
      <c r="Q91" s="89"/>
      <c r="R91" s="91"/>
      <c r="S91" s="89"/>
      <c r="T91" s="91"/>
      <c r="U91" s="91"/>
      <c r="V91" s="92"/>
      <c r="W91" s="92"/>
      <c r="X91" s="91"/>
      <c r="Y91" s="92"/>
      <c r="Z91" s="91"/>
      <c r="AA91" s="92"/>
      <c r="AB91" s="91"/>
      <c r="AC91" s="92"/>
      <c r="AD91" s="91" t="s">
        <v>3568</v>
      </c>
      <c r="AE91" s="91" t="s">
        <v>3569</v>
      </c>
      <c r="AF91" s="91"/>
      <c r="AG91" s="92"/>
    </row>
    <row r="92" spans="1:33">
      <c r="A92" s="87" t="str">
        <f t="shared" si="2"/>
        <v/>
      </c>
      <c r="B92" s="103" t="str">
        <f t="shared" si="3"/>
        <v/>
      </c>
      <c r="C92" s="88"/>
      <c r="D92" s="89"/>
      <c r="E92" s="89"/>
      <c r="F92" s="105"/>
      <c r="G92" s="105"/>
      <c r="H92" s="105"/>
      <c r="I92" s="105"/>
      <c r="J92" s="148"/>
      <c r="K92" s="87" t="s">
        <v>3767</v>
      </c>
      <c r="L92" s="87" t="s">
        <v>3562</v>
      </c>
      <c r="M92" s="88"/>
      <c r="N92" s="89"/>
      <c r="O92" s="89"/>
      <c r="P92" s="89"/>
      <c r="Q92" s="89"/>
      <c r="R92" s="87"/>
      <c r="S92" s="89"/>
      <c r="T92" s="87"/>
      <c r="U92" s="87"/>
      <c r="V92" s="90"/>
      <c r="W92" s="90"/>
      <c r="X92" s="87"/>
      <c r="Y92" s="90"/>
      <c r="Z92" s="87"/>
      <c r="AA92" s="90"/>
      <c r="AB92" s="87"/>
      <c r="AC92" s="90"/>
      <c r="AD92" s="87" t="s">
        <v>3568</v>
      </c>
      <c r="AE92" s="87" t="s">
        <v>3569</v>
      </c>
      <c r="AF92" s="87"/>
      <c r="AG92" s="90"/>
    </row>
    <row r="93" spans="1:33">
      <c r="A93" s="91" t="str">
        <f t="shared" si="2"/>
        <v/>
      </c>
      <c r="B93" s="104" t="str">
        <f t="shared" si="3"/>
        <v/>
      </c>
      <c r="C93" s="88"/>
      <c r="D93" s="89"/>
      <c r="E93" s="89"/>
      <c r="F93" s="105"/>
      <c r="G93" s="105"/>
      <c r="H93" s="105"/>
      <c r="I93" s="105"/>
      <c r="J93" s="148"/>
      <c r="K93" s="91" t="s">
        <v>3767</v>
      </c>
      <c r="L93" s="91" t="s">
        <v>3562</v>
      </c>
      <c r="M93" s="88"/>
      <c r="N93" s="89"/>
      <c r="O93" s="89"/>
      <c r="P93" s="89"/>
      <c r="Q93" s="89"/>
      <c r="R93" s="91"/>
      <c r="S93" s="89"/>
      <c r="T93" s="91"/>
      <c r="U93" s="91"/>
      <c r="V93" s="92"/>
      <c r="W93" s="92"/>
      <c r="X93" s="91"/>
      <c r="Y93" s="92"/>
      <c r="Z93" s="91"/>
      <c r="AA93" s="92"/>
      <c r="AB93" s="91"/>
      <c r="AC93" s="92"/>
      <c r="AD93" s="91" t="s">
        <v>3568</v>
      </c>
      <c r="AE93" s="91" t="s">
        <v>3569</v>
      </c>
      <c r="AF93" s="91"/>
      <c r="AG93" s="92"/>
    </row>
    <row r="94" spans="1:33">
      <c r="A94" s="87" t="str">
        <f t="shared" si="2"/>
        <v/>
      </c>
      <c r="B94" s="103" t="str">
        <f t="shared" si="3"/>
        <v/>
      </c>
      <c r="C94" s="88"/>
      <c r="D94" s="89"/>
      <c r="E94" s="89"/>
      <c r="F94" s="105"/>
      <c r="G94" s="105"/>
      <c r="H94" s="105"/>
      <c r="I94" s="105"/>
      <c r="J94" s="148"/>
      <c r="K94" s="87" t="s">
        <v>3767</v>
      </c>
      <c r="L94" s="87" t="s">
        <v>3562</v>
      </c>
      <c r="M94" s="88"/>
      <c r="N94" s="89"/>
      <c r="O94" s="89"/>
      <c r="P94" s="89"/>
      <c r="Q94" s="89"/>
      <c r="R94" s="87"/>
      <c r="S94" s="89"/>
      <c r="T94" s="87"/>
      <c r="U94" s="87"/>
      <c r="V94" s="90"/>
      <c r="W94" s="90"/>
      <c r="X94" s="87"/>
      <c r="Y94" s="90"/>
      <c r="Z94" s="87"/>
      <c r="AA94" s="90"/>
      <c r="AB94" s="87"/>
      <c r="AC94" s="90"/>
      <c r="AD94" s="87" t="s">
        <v>3568</v>
      </c>
      <c r="AE94" s="87" t="s">
        <v>3569</v>
      </c>
      <c r="AF94" s="87"/>
      <c r="AG94" s="90"/>
    </row>
    <row r="95" spans="1:33">
      <c r="A95" s="91" t="str">
        <f t="shared" si="2"/>
        <v/>
      </c>
      <c r="B95" s="104" t="str">
        <f t="shared" si="3"/>
        <v/>
      </c>
      <c r="C95" s="88"/>
      <c r="D95" s="89"/>
      <c r="E95" s="89"/>
      <c r="F95" s="105"/>
      <c r="G95" s="105"/>
      <c r="H95" s="105"/>
      <c r="I95" s="105"/>
      <c r="J95" s="148"/>
      <c r="K95" s="91" t="s">
        <v>3767</v>
      </c>
      <c r="L95" s="91" t="s">
        <v>3562</v>
      </c>
      <c r="M95" s="88"/>
      <c r="N95" s="89"/>
      <c r="O95" s="89"/>
      <c r="P95" s="89"/>
      <c r="Q95" s="89"/>
      <c r="R95" s="91"/>
      <c r="S95" s="89"/>
      <c r="T95" s="91"/>
      <c r="U95" s="91"/>
      <c r="V95" s="92"/>
      <c r="W95" s="92"/>
      <c r="X95" s="91"/>
      <c r="Y95" s="92"/>
      <c r="Z95" s="91"/>
      <c r="AA95" s="92"/>
      <c r="AB95" s="91"/>
      <c r="AC95" s="92"/>
      <c r="AD95" s="91" t="s">
        <v>3568</v>
      </c>
      <c r="AE95" s="91" t="s">
        <v>3569</v>
      </c>
      <c r="AF95" s="91"/>
      <c r="AG95" s="92"/>
    </row>
    <row r="96" spans="1:33">
      <c r="A96" s="87" t="str">
        <f t="shared" si="2"/>
        <v/>
      </c>
      <c r="B96" s="103" t="str">
        <f t="shared" si="3"/>
        <v/>
      </c>
      <c r="C96" s="88"/>
      <c r="D96" s="89"/>
      <c r="E96" s="89"/>
      <c r="F96" s="105"/>
      <c r="G96" s="105"/>
      <c r="H96" s="105"/>
      <c r="I96" s="105"/>
      <c r="J96" s="148"/>
      <c r="K96" s="87" t="s">
        <v>3767</v>
      </c>
      <c r="L96" s="87" t="s">
        <v>3562</v>
      </c>
      <c r="M96" s="88"/>
      <c r="N96" s="89"/>
      <c r="O96" s="89"/>
      <c r="P96" s="89"/>
      <c r="Q96" s="89"/>
      <c r="R96" s="87"/>
      <c r="S96" s="89"/>
      <c r="T96" s="87"/>
      <c r="U96" s="87"/>
      <c r="V96" s="90"/>
      <c r="W96" s="90"/>
      <c r="X96" s="87"/>
      <c r="Y96" s="90"/>
      <c r="Z96" s="87"/>
      <c r="AA96" s="90"/>
      <c r="AB96" s="87"/>
      <c r="AC96" s="90"/>
      <c r="AD96" s="87" t="s">
        <v>3568</v>
      </c>
      <c r="AE96" s="87" t="s">
        <v>3569</v>
      </c>
      <c r="AF96" s="87"/>
      <c r="AG96" s="90"/>
    </row>
    <row r="97" spans="1:33">
      <c r="A97" s="91" t="str">
        <f t="shared" si="2"/>
        <v/>
      </c>
      <c r="B97" s="104" t="str">
        <f t="shared" si="3"/>
        <v/>
      </c>
      <c r="C97" s="88"/>
      <c r="D97" s="89"/>
      <c r="E97" s="89"/>
      <c r="F97" s="105"/>
      <c r="G97" s="105"/>
      <c r="H97" s="105"/>
      <c r="I97" s="105"/>
      <c r="J97" s="148"/>
      <c r="K97" s="91" t="s">
        <v>3767</v>
      </c>
      <c r="L97" s="91" t="s">
        <v>3562</v>
      </c>
      <c r="M97" s="88"/>
      <c r="N97" s="89"/>
      <c r="O97" s="89"/>
      <c r="P97" s="89"/>
      <c r="Q97" s="89"/>
      <c r="R97" s="91"/>
      <c r="S97" s="89"/>
      <c r="T97" s="91"/>
      <c r="U97" s="91"/>
      <c r="V97" s="92"/>
      <c r="W97" s="92"/>
      <c r="X97" s="91"/>
      <c r="Y97" s="92"/>
      <c r="Z97" s="91"/>
      <c r="AA97" s="92"/>
      <c r="AB97" s="91"/>
      <c r="AC97" s="92"/>
      <c r="AD97" s="91" t="s">
        <v>3568</v>
      </c>
      <c r="AE97" s="91" t="s">
        <v>3569</v>
      </c>
      <c r="AF97" s="91"/>
      <c r="AG97" s="92"/>
    </row>
    <row r="98" spans="1:33">
      <c r="A98" s="87" t="str">
        <f t="shared" si="2"/>
        <v/>
      </c>
      <c r="B98" s="103" t="str">
        <f t="shared" si="3"/>
        <v/>
      </c>
      <c r="C98" s="88"/>
      <c r="D98" s="89"/>
      <c r="E98" s="89"/>
      <c r="F98" s="105"/>
      <c r="G98" s="105"/>
      <c r="H98" s="105"/>
      <c r="I98" s="105"/>
      <c r="J98" s="148"/>
      <c r="K98" s="87" t="s">
        <v>3767</v>
      </c>
      <c r="L98" s="87" t="s">
        <v>3562</v>
      </c>
      <c r="M98" s="88"/>
      <c r="N98" s="89"/>
      <c r="O98" s="89"/>
      <c r="P98" s="89"/>
      <c r="Q98" s="89"/>
      <c r="R98" s="87"/>
      <c r="S98" s="89"/>
      <c r="T98" s="87"/>
      <c r="U98" s="87"/>
      <c r="V98" s="90"/>
      <c r="W98" s="90"/>
      <c r="X98" s="87"/>
      <c r="Y98" s="90"/>
      <c r="Z98" s="87"/>
      <c r="AA98" s="90"/>
      <c r="AB98" s="87"/>
      <c r="AC98" s="90"/>
      <c r="AD98" s="87" t="s">
        <v>3568</v>
      </c>
      <c r="AE98" s="87" t="s">
        <v>3569</v>
      </c>
      <c r="AF98" s="87"/>
      <c r="AG98" s="90"/>
    </row>
    <row r="99" spans="1:33">
      <c r="A99" s="91" t="str">
        <f t="shared" si="2"/>
        <v/>
      </c>
      <c r="B99" s="104" t="str">
        <f t="shared" si="3"/>
        <v/>
      </c>
      <c r="C99" s="88"/>
      <c r="D99" s="89"/>
      <c r="E99" s="89"/>
      <c r="F99" s="105"/>
      <c r="G99" s="105"/>
      <c r="H99" s="105"/>
      <c r="I99" s="105"/>
      <c r="J99" s="148"/>
      <c r="K99" s="91" t="s">
        <v>3767</v>
      </c>
      <c r="L99" s="91" t="s">
        <v>3562</v>
      </c>
      <c r="M99" s="88"/>
      <c r="N99" s="89"/>
      <c r="O99" s="89"/>
      <c r="P99" s="89"/>
      <c r="Q99" s="89"/>
      <c r="R99" s="91"/>
      <c r="S99" s="89"/>
      <c r="T99" s="91"/>
      <c r="U99" s="91"/>
      <c r="V99" s="92"/>
      <c r="W99" s="92"/>
      <c r="X99" s="91"/>
      <c r="Y99" s="92"/>
      <c r="Z99" s="91"/>
      <c r="AA99" s="92"/>
      <c r="AB99" s="91"/>
      <c r="AC99" s="92"/>
      <c r="AD99" s="91" t="s">
        <v>3568</v>
      </c>
      <c r="AE99" s="91" t="s">
        <v>3569</v>
      </c>
      <c r="AF99" s="91"/>
      <c r="AG99" s="92"/>
    </row>
    <row r="100" spans="1:33">
      <c r="A100" s="87" t="str">
        <f t="shared" si="2"/>
        <v/>
      </c>
      <c r="B100" s="103" t="str">
        <f t="shared" si="3"/>
        <v/>
      </c>
      <c r="C100" s="88"/>
      <c r="D100" s="89"/>
      <c r="E100" s="89"/>
      <c r="F100" s="105"/>
      <c r="G100" s="105"/>
      <c r="H100" s="105"/>
      <c r="I100" s="105"/>
      <c r="J100" s="148"/>
      <c r="K100" s="87" t="s">
        <v>3767</v>
      </c>
      <c r="L100" s="87" t="s">
        <v>3562</v>
      </c>
      <c r="M100" s="88"/>
      <c r="N100" s="89"/>
      <c r="O100" s="89"/>
      <c r="P100" s="89"/>
      <c r="Q100" s="89"/>
      <c r="R100" s="87"/>
      <c r="S100" s="89"/>
      <c r="T100" s="87"/>
      <c r="U100" s="87"/>
      <c r="V100" s="90"/>
      <c r="W100" s="90"/>
      <c r="X100" s="87"/>
      <c r="Y100" s="90"/>
      <c r="Z100" s="87"/>
      <c r="AA100" s="90"/>
      <c r="AB100" s="87"/>
      <c r="AC100" s="90"/>
      <c r="AD100" s="87" t="s">
        <v>3568</v>
      </c>
      <c r="AE100" s="87" t="s">
        <v>3569</v>
      </c>
      <c r="AF100" s="87"/>
      <c r="AG100" s="90"/>
    </row>
    <row r="101" spans="1:33">
      <c r="A101" s="91" t="str">
        <f t="shared" si="2"/>
        <v/>
      </c>
      <c r="B101" s="104" t="str">
        <f t="shared" si="3"/>
        <v/>
      </c>
      <c r="C101" s="88"/>
      <c r="D101" s="89"/>
      <c r="E101" s="89"/>
      <c r="F101" s="105"/>
      <c r="G101" s="105"/>
      <c r="H101" s="105"/>
      <c r="I101" s="105"/>
      <c r="J101" s="148"/>
      <c r="K101" s="91" t="s">
        <v>3767</v>
      </c>
      <c r="L101" s="91" t="s">
        <v>3562</v>
      </c>
      <c r="M101" s="88"/>
      <c r="N101" s="89"/>
      <c r="O101" s="89"/>
      <c r="P101" s="89"/>
      <c r="Q101" s="89"/>
      <c r="R101" s="91"/>
      <c r="S101" s="89"/>
      <c r="T101" s="91"/>
      <c r="U101" s="91"/>
      <c r="V101" s="92"/>
      <c r="W101" s="92"/>
      <c r="X101" s="91"/>
      <c r="Y101" s="92"/>
      <c r="Z101" s="91"/>
      <c r="AA101" s="92"/>
      <c r="AB101" s="91"/>
      <c r="AC101" s="92"/>
      <c r="AD101" s="91" t="s">
        <v>3568</v>
      </c>
      <c r="AE101" s="91" t="s">
        <v>3569</v>
      </c>
      <c r="AF101" s="91"/>
      <c r="AG101" s="92"/>
    </row>
    <row r="102" spans="1:33">
      <c r="A102" s="87" t="str">
        <f t="shared" si="2"/>
        <v/>
      </c>
      <c r="B102" s="103" t="str">
        <f t="shared" si="3"/>
        <v/>
      </c>
      <c r="C102" s="88"/>
      <c r="D102" s="89"/>
      <c r="E102" s="89"/>
      <c r="F102" s="105"/>
      <c r="G102" s="105"/>
      <c r="H102" s="105"/>
      <c r="I102" s="105"/>
      <c r="J102" s="148"/>
      <c r="K102" s="87" t="s">
        <v>3767</v>
      </c>
      <c r="L102" s="87" t="s">
        <v>3562</v>
      </c>
      <c r="M102" s="88"/>
      <c r="N102" s="89"/>
      <c r="O102" s="89"/>
      <c r="P102" s="89"/>
      <c r="Q102" s="89"/>
      <c r="R102" s="87"/>
      <c r="S102" s="89"/>
      <c r="T102" s="87"/>
      <c r="U102" s="87"/>
      <c r="V102" s="90"/>
      <c r="W102" s="90"/>
      <c r="X102" s="87"/>
      <c r="Y102" s="90"/>
      <c r="Z102" s="87"/>
      <c r="AA102" s="90"/>
      <c r="AB102" s="87"/>
      <c r="AC102" s="90"/>
      <c r="AD102" s="87" t="s">
        <v>3568</v>
      </c>
      <c r="AE102" s="87" t="s">
        <v>3569</v>
      </c>
      <c r="AF102" s="87"/>
      <c r="AG102" s="90"/>
    </row>
    <row r="103" spans="1:33">
      <c r="A103" s="91" t="str">
        <f t="shared" si="2"/>
        <v/>
      </c>
      <c r="B103" s="104" t="str">
        <f t="shared" si="3"/>
        <v/>
      </c>
      <c r="C103" s="88"/>
      <c r="D103" s="89"/>
      <c r="E103" s="89"/>
      <c r="F103" s="105"/>
      <c r="G103" s="105"/>
      <c r="H103" s="105"/>
      <c r="I103" s="105"/>
      <c r="J103" s="148"/>
      <c r="K103" s="91" t="s">
        <v>3767</v>
      </c>
      <c r="L103" s="91" t="s">
        <v>3562</v>
      </c>
      <c r="M103" s="88"/>
      <c r="N103" s="89"/>
      <c r="O103" s="89"/>
      <c r="P103" s="89"/>
      <c r="Q103" s="89"/>
      <c r="R103" s="91"/>
      <c r="S103" s="89"/>
      <c r="T103" s="91"/>
      <c r="U103" s="91"/>
      <c r="V103" s="92"/>
      <c r="W103" s="92"/>
      <c r="X103" s="91"/>
      <c r="Y103" s="92"/>
      <c r="Z103" s="91"/>
      <c r="AA103" s="92"/>
      <c r="AB103" s="91"/>
      <c r="AC103" s="92"/>
      <c r="AD103" s="91" t="s">
        <v>3568</v>
      </c>
      <c r="AE103" s="91" t="s">
        <v>3569</v>
      </c>
      <c r="AF103" s="91"/>
      <c r="AG103" s="92"/>
    </row>
    <row r="104" spans="1:33">
      <c r="A104" s="87" t="str">
        <f t="shared" si="2"/>
        <v/>
      </c>
      <c r="B104" s="103" t="str">
        <f t="shared" si="3"/>
        <v/>
      </c>
      <c r="C104" s="88"/>
      <c r="D104" s="89"/>
      <c r="E104" s="89"/>
      <c r="F104" s="105"/>
      <c r="G104" s="105"/>
      <c r="H104" s="105"/>
      <c r="I104" s="105"/>
      <c r="J104" s="148"/>
      <c r="K104" s="87" t="s">
        <v>3767</v>
      </c>
      <c r="L104" s="87" t="s">
        <v>3562</v>
      </c>
      <c r="M104" s="88"/>
      <c r="N104" s="89"/>
      <c r="O104" s="89"/>
      <c r="P104" s="89"/>
      <c r="Q104" s="89"/>
      <c r="R104" s="87"/>
      <c r="S104" s="89"/>
      <c r="T104" s="87"/>
      <c r="U104" s="87"/>
      <c r="V104" s="90"/>
      <c r="W104" s="90"/>
      <c r="X104" s="87"/>
      <c r="Y104" s="90"/>
      <c r="Z104" s="87"/>
      <c r="AA104" s="90"/>
      <c r="AB104" s="87"/>
      <c r="AC104" s="90"/>
      <c r="AD104" s="87" t="s">
        <v>3568</v>
      </c>
      <c r="AE104" s="87" t="s">
        <v>3569</v>
      </c>
      <c r="AF104" s="87"/>
      <c r="AG104" s="90"/>
    </row>
    <row r="105" spans="1:33">
      <c r="A105" s="91" t="str">
        <f t="shared" si="2"/>
        <v/>
      </c>
      <c r="B105" s="104" t="str">
        <f t="shared" si="3"/>
        <v/>
      </c>
      <c r="C105" s="88"/>
      <c r="D105" s="89"/>
      <c r="E105" s="89"/>
      <c r="F105" s="105"/>
      <c r="G105" s="105"/>
      <c r="H105" s="105"/>
      <c r="I105" s="105"/>
      <c r="J105" s="148"/>
      <c r="K105" s="91" t="s">
        <v>3767</v>
      </c>
      <c r="L105" s="91" t="s">
        <v>3562</v>
      </c>
      <c r="M105" s="88"/>
      <c r="N105" s="89"/>
      <c r="O105" s="89"/>
      <c r="P105" s="89"/>
      <c r="Q105" s="89"/>
      <c r="R105" s="91"/>
      <c r="S105" s="89"/>
      <c r="T105" s="91"/>
      <c r="U105" s="91"/>
      <c r="V105" s="92"/>
      <c r="W105" s="92"/>
      <c r="X105" s="91"/>
      <c r="Y105" s="92"/>
      <c r="Z105" s="91"/>
      <c r="AA105" s="92"/>
      <c r="AB105" s="91"/>
      <c r="AC105" s="92"/>
      <c r="AD105" s="91" t="s">
        <v>3568</v>
      </c>
      <c r="AE105" s="91" t="s">
        <v>3569</v>
      </c>
      <c r="AF105" s="91"/>
      <c r="AG105" s="92"/>
    </row>
    <row r="106" spans="1:33">
      <c r="A106" s="87" t="str">
        <f t="shared" si="2"/>
        <v/>
      </c>
      <c r="B106" s="103" t="str">
        <f t="shared" si="3"/>
        <v/>
      </c>
      <c r="C106" s="88"/>
      <c r="D106" s="89"/>
      <c r="E106" s="89"/>
      <c r="F106" s="105"/>
      <c r="G106" s="105"/>
      <c r="H106" s="105"/>
      <c r="I106" s="105"/>
      <c r="J106" s="148"/>
      <c r="K106" s="87" t="s">
        <v>3767</v>
      </c>
      <c r="L106" s="87" t="s">
        <v>3562</v>
      </c>
      <c r="M106" s="88"/>
      <c r="N106" s="89"/>
      <c r="O106" s="89"/>
      <c r="P106" s="89"/>
      <c r="Q106" s="89"/>
      <c r="R106" s="87"/>
      <c r="S106" s="89"/>
      <c r="T106" s="87"/>
      <c r="U106" s="87"/>
      <c r="V106" s="90"/>
      <c r="W106" s="90"/>
      <c r="X106" s="87"/>
      <c r="Y106" s="90"/>
      <c r="Z106" s="87"/>
      <c r="AA106" s="90"/>
      <c r="AB106" s="87"/>
      <c r="AC106" s="90"/>
      <c r="AD106" s="87" t="s">
        <v>3568</v>
      </c>
      <c r="AE106" s="87" t="s">
        <v>3569</v>
      </c>
      <c r="AF106" s="87"/>
      <c r="AG106" s="90"/>
    </row>
    <row r="107" spans="1:33">
      <c r="A107" s="91" t="str">
        <f t="shared" si="2"/>
        <v/>
      </c>
      <c r="B107" s="104" t="str">
        <f t="shared" si="3"/>
        <v/>
      </c>
      <c r="C107" s="88"/>
      <c r="D107" s="89"/>
      <c r="E107" s="89"/>
      <c r="F107" s="105"/>
      <c r="G107" s="105"/>
      <c r="H107" s="105"/>
      <c r="I107" s="105"/>
      <c r="J107" s="148"/>
      <c r="K107" s="91" t="s">
        <v>3767</v>
      </c>
      <c r="L107" s="91" t="s">
        <v>3562</v>
      </c>
      <c r="M107" s="88"/>
      <c r="N107" s="89"/>
      <c r="O107" s="89"/>
      <c r="P107" s="89"/>
      <c r="Q107" s="89"/>
      <c r="R107" s="91"/>
      <c r="S107" s="89"/>
      <c r="T107" s="91"/>
      <c r="U107" s="91"/>
      <c r="V107" s="92"/>
      <c r="W107" s="92"/>
      <c r="X107" s="91"/>
      <c r="Y107" s="92"/>
      <c r="Z107" s="91"/>
      <c r="AA107" s="92"/>
      <c r="AB107" s="91"/>
      <c r="AC107" s="92"/>
      <c r="AD107" s="91" t="s">
        <v>3568</v>
      </c>
      <c r="AE107" s="91" t="s">
        <v>3569</v>
      </c>
      <c r="AF107" s="91"/>
      <c r="AG107" s="92"/>
    </row>
    <row r="108" spans="1:33">
      <c r="A108" s="87" t="str">
        <f t="shared" si="2"/>
        <v/>
      </c>
      <c r="B108" s="103" t="str">
        <f t="shared" si="3"/>
        <v/>
      </c>
      <c r="C108" s="88"/>
      <c r="D108" s="89"/>
      <c r="E108" s="89"/>
      <c r="F108" s="105"/>
      <c r="G108" s="105"/>
      <c r="H108" s="105"/>
      <c r="I108" s="105"/>
      <c r="J108" s="148"/>
      <c r="K108" s="87" t="s">
        <v>3767</v>
      </c>
      <c r="L108" s="87" t="s">
        <v>3562</v>
      </c>
      <c r="M108" s="88"/>
      <c r="N108" s="89"/>
      <c r="O108" s="89"/>
      <c r="P108" s="89"/>
      <c r="Q108" s="89"/>
      <c r="R108" s="87"/>
      <c r="S108" s="89"/>
      <c r="T108" s="87"/>
      <c r="U108" s="87"/>
      <c r="V108" s="90"/>
      <c r="W108" s="90"/>
      <c r="X108" s="87"/>
      <c r="Y108" s="90"/>
      <c r="Z108" s="87"/>
      <c r="AA108" s="90"/>
      <c r="AB108" s="87"/>
      <c r="AC108" s="90"/>
      <c r="AD108" s="87" t="s">
        <v>3568</v>
      </c>
      <c r="AE108" s="87" t="s">
        <v>3569</v>
      </c>
      <c r="AF108" s="87"/>
      <c r="AG108" s="90"/>
    </row>
    <row r="109" spans="1:33">
      <c r="A109" s="91" t="str">
        <f t="shared" si="2"/>
        <v/>
      </c>
      <c r="B109" s="104" t="str">
        <f t="shared" si="3"/>
        <v/>
      </c>
      <c r="C109" s="88"/>
      <c r="D109" s="89"/>
      <c r="E109" s="89"/>
      <c r="F109" s="105"/>
      <c r="G109" s="105"/>
      <c r="H109" s="105"/>
      <c r="I109" s="105"/>
      <c r="J109" s="148"/>
      <c r="K109" s="91" t="s">
        <v>3767</v>
      </c>
      <c r="L109" s="91" t="s">
        <v>3562</v>
      </c>
      <c r="M109" s="88"/>
      <c r="N109" s="89"/>
      <c r="O109" s="89"/>
      <c r="P109" s="89"/>
      <c r="Q109" s="89"/>
      <c r="R109" s="91"/>
      <c r="S109" s="89"/>
      <c r="T109" s="91"/>
      <c r="U109" s="91"/>
      <c r="V109" s="92"/>
      <c r="W109" s="92"/>
      <c r="X109" s="91"/>
      <c r="Y109" s="92"/>
      <c r="Z109" s="91"/>
      <c r="AA109" s="92"/>
      <c r="AB109" s="91"/>
      <c r="AC109" s="92"/>
      <c r="AD109" s="91" t="s">
        <v>3568</v>
      </c>
      <c r="AE109" s="91" t="s">
        <v>3569</v>
      </c>
      <c r="AF109" s="91"/>
      <c r="AG109" s="92"/>
    </row>
    <row r="110" spans="1:33">
      <c r="A110" s="87" t="str">
        <f t="shared" si="2"/>
        <v/>
      </c>
      <c r="B110" s="103" t="str">
        <f t="shared" si="3"/>
        <v/>
      </c>
      <c r="C110" s="88"/>
      <c r="D110" s="89"/>
      <c r="E110" s="89"/>
      <c r="F110" s="105"/>
      <c r="G110" s="105"/>
      <c r="H110" s="105"/>
      <c r="I110" s="105"/>
      <c r="J110" s="148"/>
      <c r="K110" s="87" t="s">
        <v>3767</v>
      </c>
      <c r="L110" s="87" t="s">
        <v>3562</v>
      </c>
      <c r="M110" s="88"/>
      <c r="N110" s="89"/>
      <c r="O110" s="89"/>
      <c r="P110" s="89"/>
      <c r="Q110" s="89"/>
      <c r="R110" s="87"/>
      <c r="S110" s="89"/>
      <c r="T110" s="87"/>
      <c r="U110" s="87"/>
      <c r="V110" s="90"/>
      <c r="W110" s="90"/>
      <c r="X110" s="87"/>
      <c r="Y110" s="90"/>
      <c r="Z110" s="87"/>
      <c r="AA110" s="90"/>
      <c r="AB110" s="87"/>
      <c r="AC110" s="90"/>
      <c r="AD110" s="87" t="s">
        <v>3568</v>
      </c>
      <c r="AE110" s="87" t="s">
        <v>3569</v>
      </c>
      <c r="AF110" s="87"/>
      <c r="AG110" s="90"/>
    </row>
    <row r="111" spans="1:33">
      <c r="A111" s="91" t="str">
        <f t="shared" si="2"/>
        <v/>
      </c>
      <c r="B111" s="104" t="str">
        <f t="shared" si="3"/>
        <v/>
      </c>
      <c r="C111" s="88"/>
      <c r="D111" s="89"/>
      <c r="E111" s="89"/>
      <c r="F111" s="105"/>
      <c r="G111" s="105"/>
      <c r="H111" s="105"/>
      <c r="I111" s="105"/>
      <c r="J111" s="148"/>
      <c r="K111" s="91" t="s">
        <v>3767</v>
      </c>
      <c r="L111" s="91" t="s">
        <v>3562</v>
      </c>
      <c r="M111" s="88"/>
      <c r="N111" s="89"/>
      <c r="O111" s="89"/>
      <c r="P111" s="89"/>
      <c r="Q111" s="89"/>
      <c r="R111" s="91"/>
      <c r="S111" s="89"/>
      <c r="T111" s="91"/>
      <c r="U111" s="91"/>
      <c r="V111" s="92"/>
      <c r="W111" s="92"/>
      <c r="X111" s="91"/>
      <c r="Y111" s="92"/>
      <c r="Z111" s="91"/>
      <c r="AA111" s="92"/>
      <c r="AB111" s="91"/>
      <c r="AC111" s="92"/>
      <c r="AD111" s="91" t="s">
        <v>3568</v>
      </c>
      <c r="AE111" s="91" t="s">
        <v>3569</v>
      </c>
      <c r="AF111" s="91"/>
      <c r="AG111" s="92"/>
    </row>
    <row r="112" spans="1:33">
      <c r="A112" s="87" t="str">
        <f t="shared" si="2"/>
        <v/>
      </c>
      <c r="B112" s="103" t="str">
        <f t="shared" si="3"/>
        <v/>
      </c>
      <c r="C112" s="88"/>
      <c r="D112" s="89"/>
      <c r="E112" s="89"/>
      <c r="F112" s="105"/>
      <c r="G112" s="105"/>
      <c r="H112" s="105"/>
      <c r="I112" s="105"/>
      <c r="J112" s="148"/>
      <c r="K112" s="87" t="s">
        <v>3767</v>
      </c>
      <c r="L112" s="87" t="s">
        <v>3562</v>
      </c>
      <c r="M112" s="88"/>
      <c r="N112" s="89"/>
      <c r="O112" s="89"/>
      <c r="P112" s="89"/>
      <c r="Q112" s="89"/>
      <c r="R112" s="87"/>
      <c r="S112" s="89"/>
      <c r="T112" s="87"/>
      <c r="U112" s="87"/>
      <c r="V112" s="90"/>
      <c r="W112" s="90"/>
      <c r="X112" s="87"/>
      <c r="Y112" s="90"/>
      <c r="Z112" s="87"/>
      <c r="AA112" s="90"/>
      <c r="AB112" s="87"/>
      <c r="AC112" s="90"/>
      <c r="AD112" s="87" t="s">
        <v>3568</v>
      </c>
      <c r="AE112" s="87" t="s">
        <v>3569</v>
      </c>
      <c r="AF112" s="87"/>
      <c r="AG112" s="90"/>
    </row>
    <row r="113" spans="1:33">
      <c r="A113" s="91" t="str">
        <f t="shared" si="2"/>
        <v/>
      </c>
      <c r="B113" s="104" t="str">
        <f t="shared" si="3"/>
        <v/>
      </c>
      <c r="C113" s="88"/>
      <c r="D113" s="89"/>
      <c r="E113" s="89"/>
      <c r="F113" s="105"/>
      <c r="G113" s="105"/>
      <c r="H113" s="105"/>
      <c r="I113" s="105"/>
      <c r="J113" s="148"/>
      <c r="K113" s="91" t="s">
        <v>3767</v>
      </c>
      <c r="L113" s="91" t="s">
        <v>3562</v>
      </c>
      <c r="M113" s="88"/>
      <c r="N113" s="89"/>
      <c r="O113" s="89"/>
      <c r="P113" s="89"/>
      <c r="Q113" s="89"/>
      <c r="R113" s="91"/>
      <c r="S113" s="89"/>
      <c r="T113" s="91"/>
      <c r="U113" s="91"/>
      <c r="V113" s="92"/>
      <c r="W113" s="92"/>
      <c r="X113" s="91"/>
      <c r="Y113" s="92"/>
      <c r="Z113" s="91"/>
      <c r="AA113" s="92"/>
      <c r="AB113" s="91"/>
      <c r="AC113" s="92"/>
      <c r="AD113" s="91" t="s">
        <v>3568</v>
      </c>
      <c r="AE113" s="91" t="s">
        <v>3569</v>
      </c>
      <c r="AF113" s="91"/>
      <c r="AG113" s="92"/>
    </row>
    <row r="114" spans="1:33">
      <c r="A114" s="87" t="str">
        <f t="shared" si="2"/>
        <v/>
      </c>
      <c r="B114" s="103" t="str">
        <f t="shared" si="3"/>
        <v/>
      </c>
      <c r="C114" s="88"/>
      <c r="D114" s="89"/>
      <c r="E114" s="89"/>
      <c r="F114" s="105"/>
      <c r="G114" s="105"/>
      <c r="H114" s="105"/>
      <c r="I114" s="105"/>
      <c r="J114" s="148"/>
      <c r="K114" s="87" t="s">
        <v>3767</v>
      </c>
      <c r="L114" s="87" t="s">
        <v>3562</v>
      </c>
      <c r="M114" s="88"/>
      <c r="N114" s="89"/>
      <c r="O114" s="89"/>
      <c r="P114" s="89"/>
      <c r="Q114" s="89"/>
      <c r="R114" s="87"/>
      <c r="S114" s="89"/>
      <c r="T114" s="87"/>
      <c r="U114" s="87"/>
      <c r="V114" s="90"/>
      <c r="W114" s="90"/>
      <c r="X114" s="87"/>
      <c r="Y114" s="90"/>
      <c r="Z114" s="87"/>
      <c r="AA114" s="90"/>
      <c r="AB114" s="87"/>
      <c r="AC114" s="90"/>
      <c r="AD114" s="87" t="s">
        <v>3568</v>
      </c>
      <c r="AE114" s="87" t="s">
        <v>3569</v>
      </c>
      <c r="AF114" s="87"/>
      <c r="AG114" s="90"/>
    </row>
    <row r="115" spans="1:33">
      <c r="A115" s="91" t="str">
        <f t="shared" si="2"/>
        <v/>
      </c>
      <c r="B115" s="104" t="str">
        <f t="shared" si="3"/>
        <v/>
      </c>
      <c r="C115" s="88"/>
      <c r="D115" s="89"/>
      <c r="E115" s="89"/>
      <c r="F115" s="105"/>
      <c r="G115" s="105"/>
      <c r="H115" s="105"/>
      <c r="I115" s="105"/>
      <c r="J115" s="148"/>
      <c r="K115" s="91" t="s">
        <v>3767</v>
      </c>
      <c r="L115" s="91" t="s">
        <v>3562</v>
      </c>
      <c r="M115" s="88"/>
      <c r="N115" s="89"/>
      <c r="O115" s="89"/>
      <c r="P115" s="89"/>
      <c r="Q115" s="89"/>
      <c r="R115" s="91"/>
      <c r="S115" s="89"/>
      <c r="T115" s="91"/>
      <c r="U115" s="91"/>
      <c r="V115" s="92"/>
      <c r="W115" s="92"/>
      <c r="X115" s="91"/>
      <c r="Y115" s="92"/>
      <c r="Z115" s="91"/>
      <c r="AA115" s="92"/>
      <c r="AB115" s="91"/>
      <c r="AC115" s="92"/>
      <c r="AD115" s="91" t="s">
        <v>3568</v>
      </c>
      <c r="AE115" s="91" t="s">
        <v>3569</v>
      </c>
      <c r="AF115" s="91"/>
      <c r="AG115" s="92"/>
    </row>
    <row r="116" spans="1:33">
      <c r="A116" s="87" t="str">
        <f t="shared" si="2"/>
        <v/>
      </c>
      <c r="B116" s="103" t="str">
        <f t="shared" si="3"/>
        <v/>
      </c>
      <c r="C116" s="88"/>
      <c r="D116" s="89"/>
      <c r="E116" s="89"/>
      <c r="F116" s="105"/>
      <c r="G116" s="105"/>
      <c r="H116" s="105"/>
      <c r="I116" s="105"/>
      <c r="J116" s="148"/>
      <c r="K116" s="87" t="s">
        <v>3767</v>
      </c>
      <c r="L116" s="87" t="s">
        <v>3562</v>
      </c>
      <c r="M116" s="88"/>
      <c r="N116" s="89"/>
      <c r="O116" s="89"/>
      <c r="P116" s="89"/>
      <c r="Q116" s="89"/>
      <c r="R116" s="87"/>
      <c r="S116" s="89"/>
      <c r="T116" s="87"/>
      <c r="U116" s="87"/>
      <c r="V116" s="90"/>
      <c r="W116" s="90"/>
      <c r="X116" s="87"/>
      <c r="Y116" s="90"/>
      <c r="Z116" s="87"/>
      <c r="AA116" s="90"/>
      <c r="AB116" s="87"/>
      <c r="AC116" s="90"/>
      <c r="AD116" s="87" t="s">
        <v>3568</v>
      </c>
      <c r="AE116" s="87" t="s">
        <v>3569</v>
      </c>
      <c r="AF116" s="87"/>
      <c r="AG116" s="90"/>
    </row>
    <row r="117" spans="1:33">
      <c r="A117" s="91" t="str">
        <f t="shared" si="2"/>
        <v/>
      </c>
      <c r="B117" s="104" t="str">
        <f t="shared" si="3"/>
        <v/>
      </c>
      <c r="C117" s="88"/>
      <c r="D117" s="89"/>
      <c r="E117" s="89"/>
      <c r="F117" s="105"/>
      <c r="G117" s="105"/>
      <c r="H117" s="105"/>
      <c r="I117" s="105"/>
      <c r="J117" s="148"/>
      <c r="K117" s="91" t="s">
        <v>3767</v>
      </c>
      <c r="L117" s="91" t="s">
        <v>3562</v>
      </c>
      <c r="M117" s="88"/>
      <c r="N117" s="89"/>
      <c r="O117" s="89"/>
      <c r="P117" s="89"/>
      <c r="Q117" s="89"/>
      <c r="R117" s="91"/>
      <c r="S117" s="89"/>
      <c r="T117" s="91"/>
      <c r="U117" s="91"/>
      <c r="V117" s="92"/>
      <c r="W117" s="92"/>
      <c r="X117" s="91"/>
      <c r="Y117" s="92"/>
      <c r="Z117" s="91"/>
      <c r="AA117" s="92"/>
      <c r="AB117" s="91"/>
      <c r="AC117" s="92"/>
      <c r="AD117" s="91" t="s">
        <v>3568</v>
      </c>
      <c r="AE117" s="91" t="s">
        <v>3569</v>
      </c>
      <c r="AF117" s="91"/>
      <c r="AG117" s="92"/>
    </row>
    <row r="118" spans="1:33">
      <c r="A118" s="87" t="str">
        <f t="shared" si="2"/>
        <v/>
      </c>
      <c r="B118" s="103" t="str">
        <f t="shared" si="3"/>
        <v/>
      </c>
      <c r="C118" s="88"/>
      <c r="D118" s="89"/>
      <c r="E118" s="89"/>
      <c r="F118" s="105"/>
      <c r="G118" s="105"/>
      <c r="H118" s="105"/>
      <c r="I118" s="105"/>
      <c r="J118" s="148"/>
      <c r="K118" s="87" t="s">
        <v>3767</v>
      </c>
      <c r="L118" s="87" t="s">
        <v>3562</v>
      </c>
      <c r="M118" s="88"/>
      <c r="N118" s="89"/>
      <c r="O118" s="89"/>
      <c r="P118" s="89"/>
      <c r="Q118" s="89"/>
      <c r="R118" s="87"/>
      <c r="S118" s="89"/>
      <c r="T118" s="87"/>
      <c r="U118" s="87"/>
      <c r="V118" s="90"/>
      <c r="W118" s="90"/>
      <c r="X118" s="87"/>
      <c r="Y118" s="90"/>
      <c r="Z118" s="87"/>
      <c r="AA118" s="90"/>
      <c r="AB118" s="87"/>
      <c r="AC118" s="90"/>
      <c r="AD118" s="87" t="s">
        <v>3568</v>
      </c>
      <c r="AE118" s="87" t="s">
        <v>3569</v>
      </c>
      <c r="AF118" s="87"/>
      <c r="AG118" s="90"/>
    </row>
    <row r="119" spans="1:33">
      <c r="A119" s="91" t="str">
        <f t="shared" si="2"/>
        <v/>
      </c>
      <c r="B119" s="104" t="str">
        <f t="shared" si="3"/>
        <v/>
      </c>
      <c r="C119" s="88"/>
      <c r="D119" s="89"/>
      <c r="E119" s="89"/>
      <c r="F119" s="105"/>
      <c r="G119" s="105"/>
      <c r="H119" s="105"/>
      <c r="I119" s="105"/>
      <c r="J119" s="148"/>
      <c r="K119" s="91" t="s">
        <v>3767</v>
      </c>
      <c r="L119" s="91" t="s">
        <v>3562</v>
      </c>
      <c r="M119" s="88"/>
      <c r="N119" s="89"/>
      <c r="O119" s="89"/>
      <c r="P119" s="89"/>
      <c r="Q119" s="89"/>
      <c r="R119" s="91"/>
      <c r="S119" s="89"/>
      <c r="T119" s="91"/>
      <c r="U119" s="91"/>
      <c r="V119" s="92"/>
      <c r="W119" s="92"/>
      <c r="X119" s="91"/>
      <c r="Y119" s="92"/>
      <c r="Z119" s="91"/>
      <c r="AA119" s="92"/>
      <c r="AB119" s="91"/>
      <c r="AC119" s="92"/>
      <c r="AD119" s="91" t="s">
        <v>3568</v>
      </c>
      <c r="AE119" s="91" t="s">
        <v>3569</v>
      </c>
      <c r="AF119" s="91"/>
      <c r="AG119" s="92"/>
    </row>
    <row r="120" spans="1:33">
      <c r="A120" s="87" t="str">
        <f t="shared" si="2"/>
        <v/>
      </c>
      <c r="B120" s="103" t="str">
        <f t="shared" si="3"/>
        <v/>
      </c>
      <c r="C120" s="88"/>
      <c r="D120" s="89"/>
      <c r="E120" s="89"/>
      <c r="F120" s="105"/>
      <c r="G120" s="105"/>
      <c r="H120" s="105"/>
      <c r="I120" s="105"/>
      <c r="J120" s="148"/>
      <c r="K120" s="87" t="s">
        <v>3767</v>
      </c>
      <c r="L120" s="87" t="s">
        <v>3562</v>
      </c>
      <c r="M120" s="88"/>
      <c r="N120" s="89"/>
      <c r="O120" s="89"/>
      <c r="P120" s="89"/>
      <c r="Q120" s="89"/>
      <c r="R120" s="87"/>
      <c r="S120" s="89"/>
      <c r="T120" s="87"/>
      <c r="U120" s="87"/>
      <c r="V120" s="90"/>
      <c r="W120" s="90"/>
      <c r="X120" s="87"/>
      <c r="Y120" s="90"/>
      <c r="Z120" s="87"/>
      <c r="AA120" s="90"/>
      <c r="AB120" s="87"/>
      <c r="AC120" s="90"/>
      <c r="AD120" s="87" t="s">
        <v>3568</v>
      </c>
      <c r="AE120" s="87" t="s">
        <v>3569</v>
      </c>
      <c r="AF120" s="87"/>
      <c r="AG120" s="90"/>
    </row>
    <row r="121" spans="1:33">
      <c r="A121" s="91" t="str">
        <f t="shared" si="2"/>
        <v/>
      </c>
      <c r="B121" s="104" t="str">
        <f t="shared" si="3"/>
        <v/>
      </c>
      <c r="C121" s="88"/>
      <c r="D121" s="89"/>
      <c r="E121" s="89"/>
      <c r="F121" s="105"/>
      <c r="G121" s="105"/>
      <c r="H121" s="105"/>
      <c r="I121" s="105"/>
      <c r="J121" s="148"/>
      <c r="K121" s="91" t="s">
        <v>3767</v>
      </c>
      <c r="L121" s="91" t="s">
        <v>3562</v>
      </c>
      <c r="M121" s="88"/>
      <c r="N121" s="89"/>
      <c r="O121" s="89"/>
      <c r="P121" s="89"/>
      <c r="Q121" s="89"/>
      <c r="R121" s="91"/>
      <c r="S121" s="89"/>
      <c r="T121" s="91"/>
      <c r="U121" s="91"/>
      <c r="V121" s="92"/>
      <c r="W121" s="92"/>
      <c r="X121" s="91"/>
      <c r="Y121" s="92"/>
      <c r="Z121" s="91"/>
      <c r="AA121" s="92"/>
      <c r="AB121" s="91"/>
      <c r="AC121" s="92"/>
      <c r="AD121" s="91" t="s">
        <v>3568</v>
      </c>
      <c r="AE121" s="91" t="s">
        <v>3569</v>
      </c>
      <c r="AF121" s="91"/>
      <c r="AG121" s="92"/>
    </row>
    <row r="122" spans="1:33">
      <c r="A122" s="87" t="str">
        <f t="shared" si="2"/>
        <v/>
      </c>
      <c r="B122" s="103" t="str">
        <f t="shared" si="3"/>
        <v/>
      </c>
      <c r="C122" s="88"/>
      <c r="D122" s="89"/>
      <c r="E122" s="89"/>
      <c r="F122" s="105"/>
      <c r="G122" s="105"/>
      <c r="H122" s="105"/>
      <c r="I122" s="105"/>
      <c r="J122" s="148"/>
      <c r="K122" s="87" t="s">
        <v>3767</v>
      </c>
      <c r="L122" s="87" t="s">
        <v>3562</v>
      </c>
      <c r="M122" s="88"/>
      <c r="N122" s="89"/>
      <c r="O122" s="89"/>
      <c r="P122" s="89"/>
      <c r="Q122" s="89"/>
      <c r="R122" s="87"/>
      <c r="S122" s="89"/>
      <c r="T122" s="87"/>
      <c r="U122" s="87"/>
      <c r="V122" s="90"/>
      <c r="W122" s="90"/>
      <c r="X122" s="87"/>
      <c r="Y122" s="90"/>
      <c r="Z122" s="87"/>
      <c r="AA122" s="90"/>
      <c r="AB122" s="87"/>
      <c r="AC122" s="90"/>
      <c r="AD122" s="87" t="s">
        <v>3568</v>
      </c>
      <c r="AE122" s="87" t="s">
        <v>3569</v>
      </c>
      <c r="AF122" s="87"/>
      <c r="AG122" s="90"/>
    </row>
    <row r="123" spans="1:33">
      <c r="A123" s="91" t="str">
        <f t="shared" si="2"/>
        <v/>
      </c>
      <c r="B123" s="104" t="str">
        <f t="shared" si="3"/>
        <v/>
      </c>
      <c r="C123" s="88"/>
      <c r="D123" s="89"/>
      <c r="E123" s="89"/>
      <c r="F123" s="105"/>
      <c r="G123" s="105"/>
      <c r="H123" s="105"/>
      <c r="I123" s="105"/>
      <c r="J123" s="148"/>
      <c r="K123" s="91" t="s">
        <v>3767</v>
      </c>
      <c r="L123" s="91" t="s">
        <v>3562</v>
      </c>
      <c r="M123" s="88"/>
      <c r="N123" s="89"/>
      <c r="O123" s="89"/>
      <c r="P123" s="89"/>
      <c r="Q123" s="89"/>
      <c r="R123" s="91"/>
      <c r="S123" s="89"/>
      <c r="T123" s="91"/>
      <c r="U123" s="91"/>
      <c r="V123" s="92"/>
      <c r="W123" s="92"/>
      <c r="X123" s="91"/>
      <c r="Y123" s="92"/>
      <c r="Z123" s="91"/>
      <c r="AA123" s="92"/>
      <c r="AB123" s="91"/>
      <c r="AC123" s="92"/>
      <c r="AD123" s="91" t="s">
        <v>3568</v>
      </c>
      <c r="AE123" s="91" t="s">
        <v>3569</v>
      </c>
      <c r="AF123" s="91"/>
      <c r="AG123" s="92"/>
    </row>
    <row r="124" spans="1:33">
      <c r="A124" s="87" t="str">
        <f t="shared" si="2"/>
        <v/>
      </c>
      <c r="B124" s="103" t="str">
        <f t="shared" si="3"/>
        <v/>
      </c>
      <c r="C124" s="88"/>
      <c r="D124" s="89"/>
      <c r="E124" s="89"/>
      <c r="F124" s="105"/>
      <c r="G124" s="105"/>
      <c r="H124" s="105"/>
      <c r="I124" s="105"/>
      <c r="J124" s="148"/>
      <c r="K124" s="87" t="s">
        <v>3767</v>
      </c>
      <c r="L124" s="87" t="s">
        <v>3562</v>
      </c>
      <c r="M124" s="88"/>
      <c r="N124" s="89"/>
      <c r="O124" s="89"/>
      <c r="P124" s="89"/>
      <c r="Q124" s="89"/>
      <c r="R124" s="87"/>
      <c r="S124" s="89"/>
      <c r="T124" s="87"/>
      <c r="U124" s="87"/>
      <c r="V124" s="90"/>
      <c r="W124" s="90"/>
      <c r="X124" s="87"/>
      <c r="Y124" s="90"/>
      <c r="Z124" s="87"/>
      <c r="AA124" s="90"/>
      <c r="AB124" s="87"/>
      <c r="AC124" s="90"/>
      <c r="AD124" s="87" t="s">
        <v>3568</v>
      </c>
      <c r="AE124" s="87" t="s">
        <v>3569</v>
      </c>
      <c r="AF124" s="87"/>
      <c r="AG124" s="90"/>
    </row>
    <row r="125" spans="1:33">
      <c r="A125" s="91" t="str">
        <f t="shared" si="2"/>
        <v/>
      </c>
      <c r="B125" s="104" t="str">
        <f t="shared" si="3"/>
        <v/>
      </c>
      <c r="C125" s="88"/>
      <c r="D125" s="89"/>
      <c r="E125" s="89"/>
      <c r="F125" s="105"/>
      <c r="G125" s="105"/>
      <c r="H125" s="105"/>
      <c r="I125" s="105"/>
      <c r="J125" s="148"/>
      <c r="K125" s="91" t="s">
        <v>3767</v>
      </c>
      <c r="L125" s="91" t="s">
        <v>3562</v>
      </c>
      <c r="M125" s="88"/>
      <c r="N125" s="89"/>
      <c r="O125" s="89"/>
      <c r="P125" s="89"/>
      <c r="Q125" s="89"/>
      <c r="R125" s="91"/>
      <c r="S125" s="89"/>
      <c r="T125" s="91"/>
      <c r="U125" s="91"/>
      <c r="V125" s="92"/>
      <c r="W125" s="92"/>
      <c r="X125" s="91"/>
      <c r="Y125" s="92"/>
      <c r="Z125" s="91"/>
      <c r="AA125" s="92"/>
      <c r="AB125" s="91"/>
      <c r="AC125" s="92"/>
      <c r="AD125" s="91" t="s">
        <v>3568</v>
      </c>
      <c r="AE125" s="91" t="s">
        <v>3569</v>
      </c>
      <c r="AF125" s="91"/>
      <c r="AG125" s="92"/>
    </row>
    <row r="126" spans="1:33">
      <c r="A126" s="87" t="str">
        <f t="shared" si="2"/>
        <v/>
      </c>
      <c r="B126" s="103" t="str">
        <f t="shared" si="3"/>
        <v/>
      </c>
      <c r="C126" s="88"/>
      <c r="D126" s="89"/>
      <c r="E126" s="89"/>
      <c r="F126" s="105"/>
      <c r="G126" s="105"/>
      <c r="H126" s="105"/>
      <c r="I126" s="105"/>
      <c r="J126" s="148"/>
      <c r="K126" s="87" t="s">
        <v>3767</v>
      </c>
      <c r="L126" s="87" t="s">
        <v>3562</v>
      </c>
      <c r="M126" s="88"/>
      <c r="N126" s="89"/>
      <c r="O126" s="89"/>
      <c r="P126" s="89"/>
      <c r="Q126" s="89"/>
      <c r="R126" s="87"/>
      <c r="S126" s="89"/>
      <c r="T126" s="87"/>
      <c r="U126" s="87"/>
      <c r="V126" s="90"/>
      <c r="W126" s="90"/>
      <c r="X126" s="87"/>
      <c r="Y126" s="90"/>
      <c r="Z126" s="87"/>
      <c r="AA126" s="90"/>
      <c r="AB126" s="87"/>
      <c r="AC126" s="90"/>
      <c r="AD126" s="87" t="s">
        <v>3568</v>
      </c>
      <c r="AE126" s="87" t="s">
        <v>3569</v>
      </c>
      <c r="AF126" s="87"/>
      <c r="AG126" s="90"/>
    </row>
    <row r="127" spans="1:33">
      <c r="A127" s="91" t="str">
        <f t="shared" si="2"/>
        <v/>
      </c>
      <c r="B127" s="104" t="str">
        <f t="shared" si="3"/>
        <v/>
      </c>
      <c r="C127" s="88"/>
      <c r="D127" s="89"/>
      <c r="E127" s="89"/>
      <c r="F127" s="105"/>
      <c r="G127" s="105"/>
      <c r="H127" s="105"/>
      <c r="I127" s="105"/>
      <c r="J127" s="148"/>
      <c r="K127" s="91" t="s">
        <v>3767</v>
      </c>
      <c r="L127" s="91" t="s">
        <v>3562</v>
      </c>
      <c r="M127" s="88"/>
      <c r="N127" s="89"/>
      <c r="O127" s="89"/>
      <c r="P127" s="89"/>
      <c r="Q127" s="89"/>
      <c r="R127" s="91"/>
      <c r="S127" s="89"/>
      <c r="T127" s="91"/>
      <c r="U127" s="91"/>
      <c r="V127" s="92"/>
      <c r="W127" s="92"/>
      <c r="X127" s="91"/>
      <c r="Y127" s="92"/>
      <c r="Z127" s="91"/>
      <c r="AA127" s="92"/>
      <c r="AB127" s="91"/>
      <c r="AC127" s="92"/>
      <c r="AD127" s="91" t="s">
        <v>3568</v>
      </c>
      <c r="AE127" s="91" t="s">
        <v>3569</v>
      </c>
      <c r="AF127" s="91"/>
      <c r="AG127" s="92"/>
    </row>
    <row r="128" spans="1:33">
      <c r="A128" s="87" t="str">
        <f t="shared" si="2"/>
        <v/>
      </c>
      <c r="B128" s="103" t="str">
        <f t="shared" si="3"/>
        <v/>
      </c>
      <c r="C128" s="88"/>
      <c r="D128" s="89"/>
      <c r="E128" s="89"/>
      <c r="F128" s="105"/>
      <c r="G128" s="105"/>
      <c r="H128" s="105"/>
      <c r="I128" s="105"/>
      <c r="J128" s="148"/>
      <c r="K128" s="87" t="s">
        <v>3767</v>
      </c>
      <c r="L128" s="87" t="s">
        <v>3562</v>
      </c>
      <c r="M128" s="88"/>
      <c r="N128" s="89"/>
      <c r="O128" s="89"/>
      <c r="P128" s="89"/>
      <c r="Q128" s="89"/>
      <c r="R128" s="87"/>
      <c r="S128" s="89"/>
      <c r="T128" s="87"/>
      <c r="U128" s="87"/>
      <c r="V128" s="90"/>
      <c r="W128" s="90"/>
      <c r="X128" s="87"/>
      <c r="Y128" s="90"/>
      <c r="Z128" s="87"/>
      <c r="AA128" s="90"/>
      <c r="AB128" s="87"/>
      <c r="AC128" s="90"/>
      <c r="AD128" s="87" t="s">
        <v>3568</v>
      </c>
      <c r="AE128" s="87" t="s">
        <v>3569</v>
      </c>
      <c r="AF128" s="87"/>
      <c r="AG128" s="90"/>
    </row>
    <row r="129" spans="1:33">
      <c r="A129" s="91" t="str">
        <f t="shared" si="2"/>
        <v/>
      </c>
      <c r="B129" s="104" t="str">
        <f t="shared" si="3"/>
        <v/>
      </c>
      <c r="C129" s="88"/>
      <c r="D129" s="89"/>
      <c r="E129" s="89"/>
      <c r="F129" s="105"/>
      <c r="G129" s="105"/>
      <c r="H129" s="105"/>
      <c r="I129" s="105"/>
      <c r="J129" s="148"/>
      <c r="K129" s="91" t="s">
        <v>3767</v>
      </c>
      <c r="L129" s="91" t="s">
        <v>3562</v>
      </c>
      <c r="M129" s="88"/>
      <c r="N129" s="89"/>
      <c r="O129" s="89"/>
      <c r="P129" s="89"/>
      <c r="Q129" s="89"/>
      <c r="R129" s="91"/>
      <c r="S129" s="89"/>
      <c r="T129" s="91"/>
      <c r="U129" s="91"/>
      <c r="V129" s="92"/>
      <c r="W129" s="92"/>
      <c r="X129" s="91"/>
      <c r="Y129" s="92"/>
      <c r="Z129" s="91"/>
      <c r="AA129" s="92"/>
      <c r="AB129" s="91"/>
      <c r="AC129" s="92"/>
      <c r="AD129" s="91" t="s">
        <v>3568</v>
      </c>
      <c r="AE129" s="91" t="s">
        <v>3569</v>
      </c>
      <c r="AF129" s="91"/>
      <c r="AG129" s="92"/>
    </row>
    <row r="130" spans="1:33">
      <c r="A130" s="87" t="str">
        <f t="shared" si="2"/>
        <v/>
      </c>
      <c r="B130" s="103" t="str">
        <f t="shared" si="3"/>
        <v/>
      </c>
      <c r="C130" s="88"/>
      <c r="D130" s="89"/>
      <c r="E130" s="89"/>
      <c r="F130" s="105"/>
      <c r="G130" s="105"/>
      <c r="H130" s="105"/>
      <c r="I130" s="105"/>
      <c r="J130" s="148"/>
      <c r="K130" s="87" t="s">
        <v>3767</v>
      </c>
      <c r="L130" s="87" t="s">
        <v>3562</v>
      </c>
      <c r="M130" s="88"/>
      <c r="N130" s="89"/>
      <c r="O130" s="89"/>
      <c r="P130" s="89"/>
      <c r="Q130" s="89"/>
      <c r="R130" s="87"/>
      <c r="S130" s="89"/>
      <c r="T130" s="87"/>
      <c r="U130" s="87"/>
      <c r="V130" s="90"/>
      <c r="W130" s="90"/>
      <c r="X130" s="87"/>
      <c r="Y130" s="90"/>
      <c r="Z130" s="87"/>
      <c r="AA130" s="90"/>
      <c r="AB130" s="87"/>
      <c r="AC130" s="90"/>
      <c r="AD130" s="87" t="s">
        <v>3568</v>
      </c>
      <c r="AE130" s="87" t="s">
        <v>3569</v>
      </c>
      <c r="AF130" s="87"/>
      <c r="AG130" s="90"/>
    </row>
    <row r="131" spans="1:33">
      <c r="A131" s="91" t="str">
        <f t="shared" si="2"/>
        <v/>
      </c>
      <c r="B131" s="104" t="str">
        <f t="shared" si="3"/>
        <v/>
      </c>
      <c r="C131" s="88"/>
      <c r="D131" s="89"/>
      <c r="E131" s="89"/>
      <c r="F131" s="105"/>
      <c r="G131" s="105"/>
      <c r="H131" s="105"/>
      <c r="I131" s="105"/>
      <c r="J131" s="148"/>
      <c r="K131" s="91" t="s">
        <v>3767</v>
      </c>
      <c r="L131" s="91" t="s">
        <v>3562</v>
      </c>
      <c r="M131" s="88"/>
      <c r="N131" s="89"/>
      <c r="O131" s="89"/>
      <c r="P131" s="89"/>
      <c r="Q131" s="89"/>
      <c r="R131" s="91"/>
      <c r="S131" s="89"/>
      <c r="T131" s="91"/>
      <c r="U131" s="91"/>
      <c r="V131" s="92"/>
      <c r="W131" s="92"/>
      <c r="X131" s="91"/>
      <c r="Y131" s="92"/>
      <c r="Z131" s="91"/>
      <c r="AA131" s="92"/>
      <c r="AB131" s="91"/>
      <c r="AC131" s="92"/>
      <c r="AD131" s="91" t="s">
        <v>3568</v>
      </c>
      <c r="AE131" s="91" t="s">
        <v>3569</v>
      </c>
      <c r="AF131" s="91"/>
      <c r="AG131" s="92"/>
    </row>
    <row r="132" spans="1:33">
      <c r="A132" s="87" t="str">
        <f t="shared" si="2"/>
        <v/>
      </c>
      <c r="B132" s="103" t="str">
        <f t="shared" si="3"/>
        <v/>
      </c>
      <c r="C132" s="88"/>
      <c r="D132" s="89"/>
      <c r="E132" s="89"/>
      <c r="F132" s="105"/>
      <c r="G132" s="105"/>
      <c r="H132" s="105"/>
      <c r="I132" s="105"/>
      <c r="J132" s="148"/>
      <c r="K132" s="87" t="s">
        <v>3767</v>
      </c>
      <c r="L132" s="87" t="s">
        <v>3562</v>
      </c>
      <c r="M132" s="88"/>
      <c r="N132" s="89"/>
      <c r="O132" s="89"/>
      <c r="P132" s="89"/>
      <c r="Q132" s="89"/>
      <c r="R132" s="87"/>
      <c r="S132" s="89"/>
      <c r="T132" s="87"/>
      <c r="U132" s="87"/>
      <c r="V132" s="90"/>
      <c r="W132" s="90"/>
      <c r="X132" s="87"/>
      <c r="Y132" s="90"/>
      <c r="Z132" s="87"/>
      <c r="AA132" s="90"/>
      <c r="AB132" s="87"/>
      <c r="AC132" s="90"/>
      <c r="AD132" s="87" t="s">
        <v>3568</v>
      </c>
      <c r="AE132" s="87" t="s">
        <v>3569</v>
      </c>
      <c r="AF132" s="87"/>
      <c r="AG132" s="90"/>
    </row>
    <row r="133" spans="1:33">
      <c r="A133" s="91" t="str">
        <f t="shared" si="2"/>
        <v/>
      </c>
      <c r="B133" s="104" t="str">
        <f t="shared" si="3"/>
        <v/>
      </c>
      <c r="C133" s="88"/>
      <c r="D133" s="89"/>
      <c r="E133" s="89"/>
      <c r="F133" s="105"/>
      <c r="G133" s="105"/>
      <c r="H133" s="105"/>
      <c r="I133" s="105"/>
      <c r="J133" s="148"/>
      <c r="K133" s="91" t="s">
        <v>3767</v>
      </c>
      <c r="L133" s="91" t="s">
        <v>3562</v>
      </c>
      <c r="M133" s="88"/>
      <c r="N133" s="89"/>
      <c r="O133" s="89"/>
      <c r="P133" s="89"/>
      <c r="Q133" s="89"/>
      <c r="R133" s="91"/>
      <c r="S133" s="89"/>
      <c r="T133" s="91"/>
      <c r="U133" s="91"/>
      <c r="V133" s="92"/>
      <c r="W133" s="92"/>
      <c r="X133" s="91"/>
      <c r="Y133" s="92"/>
      <c r="Z133" s="91"/>
      <c r="AA133" s="92"/>
      <c r="AB133" s="91"/>
      <c r="AC133" s="92"/>
      <c r="AD133" s="91" t="s">
        <v>3568</v>
      </c>
      <c r="AE133" s="91" t="s">
        <v>3569</v>
      </c>
      <c r="AF133" s="91"/>
      <c r="AG133" s="92"/>
    </row>
    <row r="134" spans="1:33">
      <c r="A134" s="87" t="str">
        <f t="shared" ref="A134:A197" si="4">IF(B134&lt;&gt;"",(ROW()-4),"")</f>
        <v/>
      </c>
      <c r="B134" s="103" t="str">
        <f t="shared" ref="B134:B197" si="5">IF(D134&lt;&gt;"","CASE-PMS-ADV-2026-"&amp;TEXT(ROW()-4,"000"),"")</f>
        <v/>
      </c>
      <c r="C134" s="88"/>
      <c r="D134" s="89"/>
      <c r="E134" s="89"/>
      <c r="F134" s="105"/>
      <c r="G134" s="105"/>
      <c r="H134" s="105"/>
      <c r="I134" s="105"/>
      <c r="J134" s="148"/>
      <c r="K134" s="87" t="s">
        <v>3767</v>
      </c>
      <c r="L134" s="87" t="s">
        <v>3562</v>
      </c>
      <c r="M134" s="88"/>
      <c r="N134" s="89"/>
      <c r="O134" s="89"/>
      <c r="P134" s="89"/>
      <c r="Q134" s="89"/>
      <c r="R134" s="87"/>
      <c r="S134" s="89"/>
      <c r="T134" s="87"/>
      <c r="U134" s="87"/>
      <c r="V134" s="90"/>
      <c r="W134" s="90"/>
      <c r="X134" s="87"/>
      <c r="Y134" s="90"/>
      <c r="Z134" s="87"/>
      <c r="AA134" s="90"/>
      <c r="AB134" s="87"/>
      <c r="AC134" s="90"/>
      <c r="AD134" s="87" t="s">
        <v>3568</v>
      </c>
      <c r="AE134" s="87" t="s">
        <v>3569</v>
      </c>
      <c r="AF134" s="87"/>
      <c r="AG134" s="90"/>
    </row>
    <row r="135" spans="1:33">
      <c r="A135" s="91" t="str">
        <f t="shared" si="4"/>
        <v/>
      </c>
      <c r="B135" s="104" t="str">
        <f t="shared" si="5"/>
        <v/>
      </c>
      <c r="C135" s="88"/>
      <c r="D135" s="89"/>
      <c r="E135" s="89"/>
      <c r="F135" s="105"/>
      <c r="G135" s="105"/>
      <c r="H135" s="105"/>
      <c r="I135" s="105"/>
      <c r="J135" s="148"/>
      <c r="K135" s="91" t="s">
        <v>3767</v>
      </c>
      <c r="L135" s="91" t="s">
        <v>3562</v>
      </c>
      <c r="M135" s="88"/>
      <c r="N135" s="89"/>
      <c r="O135" s="89"/>
      <c r="P135" s="89"/>
      <c r="Q135" s="89"/>
      <c r="R135" s="91"/>
      <c r="S135" s="89"/>
      <c r="T135" s="91"/>
      <c r="U135" s="91"/>
      <c r="V135" s="92"/>
      <c r="W135" s="92"/>
      <c r="X135" s="91"/>
      <c r="Y135" s="92"/>
      <c r="Z135" s="91"/>
      <c r="AA135" s="92"/>
      <c r="AB135" s="91"/>
      <c r="AC135" s="92"/>
      <c r="AD135" s="91" t="s">
        <v>3568</v>
      </c>
      <c r="AE135" s="91" t="s">
        <v>3569</v>
      </c>
      <c r="AF135" s="91"/>
      <c r="AG135" s="92"/>
    </row>
    <row r="136" spans="1:33">
      <c r="A136" s="87" t="str">
        <f t="shared" si="4"/>
        <v/>
      </c>
      <c r="B136" s="103" t="str">
        <f t="shared" si="5"/>
        <v/>
      </c>
      <c r="C136" s="88"/>
      <c r="D136" s="89"/>
      <c r="E136" s="89"/>
      <c r="F136" s="105"/>
      <c r="G136" s="105"/>
      <c r="H136" s="105"/>
      <c r="I136" s="105"/>
      <c r="J136" s="148"/>
      <c r="K136" s="87" t="s">
        <v>3767</v>
      </c>
      <c r="L136" s="87" t="s">
        <v>3562</v>
      </c>
      <c r="M136" s="88"/>
      <c r="N136" s="89"/>
      <c r="O136" s="89"/>
      <c r="P136" s="89"/>
      <c r="Q136" s="89"/>
      <c r="R136" s="87"/>
      <c r="S136" s="89"/>
      <c r="T136" s="87"/>
      <c r="U136" s="87"/>
      <c r="V136" s="90"/>
      <c r="W136" s="90"/>
      <c r="X136" s="87"/>
      <c r="Y136" s="90"/>
      <c r="Z136" s="87"/>
      <c r="AA136" s="90"/>
      <c r="AB136" s="87"/>
      <c r="AC136" s="90"/>
      <c r="AD136" s="87" t="s">
        <v>3568</v>
      </c>
      <c r="AE136" s="87" t="s">
        <v>3569</v>
      </c>
      <c r="AF136" s="87"/>
      <c r="AG136" s="90"/>
    </row>
    <row r="137" spans="1:33">
      <c r="A137" s="91" t="str">
        <f t="shared" si="4"/>
        <v/>
      </c>
      <c r="B137" s="104" t="str">
        <f t="shared" si="5"/>
        <v/>
      </c>
      <c r="C137" s="88"/>
      <c r="D137" s="89"/>
      <c r="E137" s="89"/>
      <c r="F137" s="105"/>
      <c r="G137" s="105"/>
      <c r="H137" s="105"/>
      <c r="I137" s="105"/>
      <c r="J137" s="148"/>
      <c r="K137" s="91" t="s">
        <v>3767</v>
      </c>
      <c r="L137" s="91" t="s">
        <v>3562</v>
      </c>
      <c r="M137" s="88"/>
      <c r="N137" s="89"/>
      <c r="O137" s="89"/>
      <c r="P137" s="89"/>
      <c r="Q137" s="89"/>
      <c r="R137" s="91"/>
      <c r="S137" s="89"/>
      <c r="T137" s="91"/>
      <c r="U137" s="91"/>
      <c r="V137" s="92"/>
      <c r="W137" s="92"/>
      <c r="X137" s="91"/>
      <c r="Y137" s="92"/>
      <c r="Z137" s="91"/>
      <c r="AA137" s="92"/>
      <c r="AB137" s="91"/>
      <c r="AC137" s="92"/>
      <c r="AD137" s="91" t="s">
        <v>3568</v>
      </c>
      <c r="AE137" s="91" t="s">
        <v>3569</v>
      </c>
      <c r="AF137" s="91"/>
      <c r="AG137" s="92"/>
    </row>
    <row r="138" spans="1:33">
      <c r="A138" s="87" t="str">
        <f t="shared" si="4"/>
        <v/>
      </c>
      <c r="B138" s="103" t="str">
        <f t="shared" si="5"/>
        <v/>
      </c>
      <c r="C138" s="88"/>
      <c r="D138" s="89"/>
      <c r="E138" s="89"/>
      <c r="F138" s="105"/>
      <c r="G138" s="105"/>
      <c r="H138" s="105"/>
      <c r="I138" s="105"/>
      <c r="J138" s="148"/>
      <c r="K138" s="87" t="s">
        <v>3767</v>
      </c>
      <c r="L138" s="87" t="s">
        <v>3562</v>
      </c>
      <c r="M138" s="88"/>
      <c r="N138" s="89"/>
      <c r="O138" s="89"/>
      <c r="P138" s="89"/>
      <c r="Q138" s="89"/>
      <c r="R138" s="87"/>
      <c r="S138" s="89"/>
      <c r="T138" s="87"/>
      <c r="U138" s="87"/>
      <c r="V138" s="90"/>
      <c r="W138" s="90"/>
      <c r="X138" s="87"/>
      <c r="Y138" s="90"/>
      <c r="Z138" s="87"/>
      <c r="AA138" s="90"/>
      <c r="AB138" s="87"/>
      <c r="AC138" s="90"/>
      <c r="AD138" s="87" t="s">
        <v>3568</v>
      </c>
      <c r="AE138" s="87" t="s">
        <v>3569</v>
      </c>
      <c r="AF138" s="87"/>
      <c r="AG138" s="90"/>
    </row>
    <row r="139" spans="1:33">
      <c r="A139" s="91" t="str">
        <f t="shared" si="4"/>
        <v/>
      </c>
      <c r="B139" s="104" t="str">
        <f t="shared" si="5"/>
        <v/>
      </c>
      <c r="C139" s="88"/>
      <c r="D139" s="89"/>
      <c r="E139" s="89"/>
      <c r="F139" s="105"/>
      <c r="G139" s="105"/>
      <c r="H139" s="105"/>
      <c r="I139" s="105"/>
      <c r="J139" s="148"/>
      <c r="K139" s="91" t="s">
        <v>3767</v>
      </c>
      <c r="L139" s="91" t="s">
        <v>3562</v>
      </c>
      <c r="M139" s="88"/>
      <c r="N139" s="89"/>
      <c r="O139" s="89"/>
      <c r="P139" s="89"/>
      <c r="Q139" s="89"/>
      <c r="R139" s="91"/>
      <c r="S139" s="89"/>
      <c r="T139" s="91"/>
      <c r="U139" s="91"/>
      <c r="V139" s="92"/>
      <c r="W139" s="92"/>
      <c r="X139" s="91"/>
      <c r="Y139" s="92"/>
      <c r="Z139" s="91"/>
      <c r="AA139" s="92"/>
      <c r="AB139" s="91"/>
      <c r="AC139" s="92"/>
      <c r="AD139" s="91" t="s">
        <v>3568</v>
      </c>
      <c r="AE139" s="91" t="s">
        <v>3569</v>
      </c>
      <c r="AF139" s="91"/>
      <c r="AG139" s="92"/>
    </row>
    <row r="140" spans="1:33">
      <c r="A140" s="87" t="str">
        <f t="shared" si="4"/>
        <v/>
      </c>
      <c r="B140" s="103" t="str">
        <f t="shared" si="5"/>
        <v/>
      </c>
      <c r="C140" s="88"/>
      <c r="D140" s="89"/>
      <c r="E140" s="89"/>
      <c r="F140" s="105"/>
      <c r="G140" s="105"/>
      <c r="H140" s="105"/>
      <c r="I140" s="105"/>
      <c r="J140" s="148"/>
      <c r="K140" s="87" t="s">
        <v>3767</v>
      </c>
      <c r="L140" s="87" t="s">
        <v>3562</v>
      </c>
      <c r="M140" s="88"/>
      <c r="N140" s="89"/>
      <c r="O140" s="89"/>
      <c r="P140" s="89"/>
      <c r="Q140" s="89"/>
      <c r="R140" s="87"/>
      <c r="S140" s="89"/>
      <c r="T140" s="87"/>
      <c r="U140" s="87"/>
      <c r="V140" s="90"/>
      <c r="W140" s="90"/>
      <c r="X140" s="87"/>
      <c r="Y140" s="90"/>
      <c r="Z140" s="87"/>
      <c r="AA140" s="90"/>
      <c r="AB140" s="87"/>
      <c r="AC140" s="90"/>
      <c r="AD140" s="87" t="s">
        <v>3568</v>
      </c>
      <c r="AE140" s="87" t="s">
        <v>3569</v>
      </c>
      <c r="AF140" s="87"/>
      <c r="AG140" s="90"/>
    </row>
    <row r="141" spans="1:33">
      <c r="A141" s="91" t="str">
        <f t="shared" si="4"/>
        <v/>
      </c>
      <c r="B141" s="104" t="str">
        <f t="shared" si="5"/>
        <v/>
      </c>
      <c r="C141" s="88"/>
      <c r="D141" s="89"/>
      <c r="E141" s="89"/>
      <c r="F141" s="105"/>
      <c r="G141" s="105"/>
      <c r="H141" s="105"/>
      <c r="I141" s="105"/>
      <c r="J141" s="148"/>
      <c r="K141" s="91" t="s">
        <v>3767</v>
      </c>
      <c r="L141" s="91" t="s">
        <v>3562</v>
      </c>
      <c r="M141" s="88"/>
      <c r="N141" s="89"/>
      <c r="O141" s="89"/>
      <c r="P141" s="89"/>
      <c r="Q141" s="89"/>
      <c r="R141" s="91"/>
      <c r="S141" s="89"/>
      <c r="T141" s="91"/>
      <c r="U141" s="91"/>
      <c r="V141" s="92"/>
      <c r="W141" s="92"/>
      <c r="X141" s="91"/>
      <c r="Y141" s="92"/>
      <c r="Z141" s="91"/>
      <c r="AA141" s="92"/>
      <c r="AB141" s="91"/>
      <c r="AC141" s="92"/>
      <c r="AD141" s="91" t="s">
        <v>3568</v>
      </c>
      <c r="AE141" s="91" t="s">
        <v>3569</v>
      </c>
      <c r="AF141" s="91"/>
      <c r="AG141" s="92"/>
    </row>
    <row r="142" spans="1:33">
      <c r="A142" s="87" t="str">
        <f t="shared" si="4"/>
        <v/>
      </c>
      <c r="B142" s="103" t="str">
        <f t="shared" si="5"/>
        <v/>
      </c>
      <c r="C142" s="88"/>
      <c r="D142" s="89"/>
      <c r="E142" s="89"/>
      <c r="F142" s="105"/>
      <c r="G142" s="105"/>
      <c r="H142" s="105"/>
      <c r="I142" s="105"/>
      <c r="J142" s="148"/>
      <c r="K142" s="87" t="s">
        <v>3767</v>
      </c>
      <c r="L142" s="87" t="s">
        <v>3562</v>
      </c>
      <c r="M142" s="88"/>
      <c r="N142" s="89"/>
      <c r="O142" s="89"/>
      <c r="P142" s="89"/>
      <c r="Q142" s="89"/>
      <c r="R142" s="87"/>
      <c r="S142" s="89"/>
      <c r="T142" s="87"/>
      <c r="U142" s="87"/>
      <c r="V142" s="90"/>
      <c r="W142" s="90"/>
      <c r="X142" s="87"/>
      <c r="Y142" s="90"/>
      <c r="Z142" s="87"/>
      <c r="AA142" s="90"/>
      <c r="AB142" s="87"/>
      <c r="AC142" s="90"/>
      <c r="AD142" s="87" t="s">
        <v>3568</v>
      </c>
      <c r="AE142" s="87" t="s">
        <v>3569</v>
      </c>
      <c r="AF142" s="87"/>
      <c r="AG142" s="90"/>
    </row>
    <row r="143" spans="1:33">
      <c r="A143" s="91" t="str">
        <f t="shared" si="4"/>
        <v/>
      </c>
      <c r="B143" s="104" t="str">
        <f t="shared" si="5"/>
        <v/>
      </c>
      <c r="C143" s="88"/>
      <c r="D143" s="89"/>
      <c r="E143" s="89"/>
      <c r="F143" s="105"/>
      <c r="G143" s="105"/>
      <c r="H143" s="105"/>
      <c r="I143" s="105"/>
      <c r="J143" s="148"/>
      <c r="K143" s="91" t="s">
        <v>3767</v>
      </c>
      <c r="L143" s="91" t="s">
        <v>3562</v>
      </c>
      <c r="M143" s="88"/>
      <c r="N143" s="89"/>
      <c r="O143" s="89"/>
      <c r="P143" s="89"/>
      <c r="Q143" s="89"/>
      <c r="R143" s="91"/>
      <c r="S143" s="89"/>
      <c r="T143" s="91"/>
      <c r="U143" s="91"/>
      <c r="V143" s="92"/>
      <c r="W143" s="92"/>
      <c r="X143" s="91"/>
      <c r="Y143" s="92"/>
      <c r="Z143" s="91"/>
      <c r="AA143" s="92"/>
      <c r="AB143" s="91"/>
      <c r="AC143" s="92"/>
      <c r="AD143" s="91" t="s">
        <v>3568</v>
      </c>
      <c r="AE143" s="91" t="s">
        <v>3569</v>
      </c>
      <c r="AF143" s="91"/>
      <c r="AG143" s="92"/>
    </row>
    <row r="144" spans="1:33">
      <c r="A144" s="87" t="str">
        <f t="shared" si="4"/>
        <v/>
      </c>
      <c r="B144" s="103" t="str">
        <f t="shared" si="5"/>
        <v/>
      </c>
      <c r="C144" s="88"/>
      <c r="D144" s="89"/>
      <c r="E144" s="89"/>
      <c r="F144" s="105"/>
      <c r="G144" s="105"/>
      <c r="H144" s="105"/>
      <c r="I144" s="105"/>
      <c r="J144" s="148"/>
      <c r="K144" s="87" t="s">
        <v>3767</v>
      </c>
      <c r="L144" s="87" t="s">
        <v>3562</v>
      </c>
      <c r="M144" s="88"/>
      <c r="N144" s="89"/>
      <c r="O144" s="89"/>
      <c r="P144" s="89"/>
      <c r="Q144" s="89"/>
      <c r="R144" s="87"/>
      <c r="S144" s="89"/>
      <c r="T144" s="87"/>
      <c r="U144" s="87"/>
      <c r="V144" s="90"/>
      <c r="W144" s="90"/>
      <c r="X144" s="87"/>
      <c r="Y144" s="90"/>
      <c r="Z144" s="87"/>
      <c r="AA144" s="90"/>
      <c r="AB144" s="87"/>
      <c r="AC144" s="90"/>
      <c r="AD144" s="87" t="s">
        <v>3568</v>
      </c>
      <c r="AE144" s="87" t="s">
        <v>3569</v>
      </c>
      <c r="AF144" s="87"/>
      <c r="AG144" s="90"/>
    </row>
    <row r="145" spans="1:33">
      <c r="A145" s="91" t="str">
        <f t="shared" si="4"/>
        <v/>
      </c>
      <c r="B145" s="104" t="str">
        <f t="shared" si="5"/>
        <v/>
      </c>
      <c r="C145" s="88"/>
      <c r="D145" s="89"/>
      <c r="E145" s="89"/>
      <c r="F145" s="105"/>
      <c r="G145" s="105"/>
      <c r="H145" s="105"/>
      <c r="I145" s="105"/>
      <c r="J145" s="148"/>
      <c r="K145" s="91" t="s">
        <v>3767</v>
      </c>
      <c r="L145" s="91" t="s">
        <v>3562</v>
      </c>
      <c r="M145" s="88"/>
      <c r="N145" s="89"/>
      <c r="O145" s="89"/>
      <c r="P145" s="89"/>
      <c r="Q145" s="89"/>
      <c r="R145" s="91"/>
      <c r="S145" s="89"/>
      <c r="T145" s="91"/>
      <c r="U145" s="91"/>
      <c r="V145" s="92"/>
      <c r="W145" s="92"/>
      <c r="X145" s="91"/>
      <c r="Y145" s="92"/>
      <c r="Z145" s="91"/>
      <c r="AA145" s="92"/>
      <c r="AB145" s="91"/>
      <c r="AC145" s="92"/>
      <c r="AD145" s="91" t="s">
        <v>3568</v>
      </c>
      <c r="AE145" s="91" t="s">
        <v>3569</v>
      </c>
      <c r="AF145" s="91"/>
      <c r="AG145" s="92"/>
    </row>
    <row r="146" spans="1:33">
      <c r="A146" s="87" t="str">
        <f t="shared" si="4"/>
        <v/>
      </c>
      <c r="B146" s="103" t="str">
        <f t="shared" si="5"/>
        <v/>
      </c>
      <c r="C146" s="88"/>
      <c r="D146" s="89"/>
      <c r="E146" s="89"/>
      <c r="F146" s="105"/>
      <c r="G146" s="105"/>
      <c r="H146" s="105"/>
      <c r="I146" s="105"/>
      <c r="J146" s="148"/>
      <c r="K146" s="87" t="s">
        <v>3767</v>
      </c>
      <c r="L146" s="87" t="s">
        <v>3562</v>
      </c>
      <c r="M146" s="88"/>
      <c r="N146" s="89"/>
      <c r="O146" s="89"/>
      <c r="P146" s="89"/>
      <c r="Q146" s="89"/>
      <c r="R146" s="87"/>
      <c r="S146" s="89"/>
      <c r="T146" s="87"/>
      <c r="U146" s="87"/>
      <c r="V146" s="90"/>
      <c r="W146" s="90"/>
      <c r="X146" s="87"/>
      <c r="Y146" s="90"/>
      <c r="Z146" s="87"/>
      <c r="AA146" s="90"/>
      <c r="AB146" s="87"/>
      <c r="AC146" s="90"/>
      <c r="AD146" s="87" t="s">
        <v>3568</v>
      </c>
      <c r="AE146" s="87" t="s">
        <v>3569</v>
      </c>
      <c r="AF146" s="87"/>
      <c r="AG146" s="90"/>
    </row>
    <row r="147" spans="1:33">
      <c r="A147" s="91" t="str">
        <f t="shared" si="4"/>
        <v/>
      </c>
      <c r="B147" s="104" t="str">
        <f t="shared" si="5"/>
        <v/>
      </c>
      <c r="C147" s="88"/>
      <c r="D147" s="89"/>
      <c r="E147" s="89"/>
      <c r="F147" s="105"/>
      <c r="G147" s="105"/>
      <c r="H147" s="105"/>
      <c r="I147" s="105"/>
      <c r="J147" s="148"/>
      <c r="K147" s="91" t="s">
        <v>3767</v>
      </c>
      <c r="L147" s="91" t="s">
        <v>3562</v>
      </c>
      <c r="M147" s="88"/>
      <c r="N147" s="89"/>
      <c r="O147" s="89"/>
      <c r="P147" s="89"/>
      <c r="Q147" s="89"/>
      <c r="R147" s="91"/>
      <c r="S147" s="89"/>
      <c r="T147" s="91"/>
      <c r="U147" s="91"/>
      <c r="V147" s="92"/>
      <c r="W147" s="92"/>
      <c r="X147" s="91"/>
      <c r="Y147" s="92"/>
      <c r="Z147" s="91"/>
      <c r="AA147" s="92"/>
      <c r="AB147" s="91"/>
      <c r="AC147" s="92"/>
      <c r="AD147" s="91" t="s">
        <v>3568</v>
      </c>
      <c r="AE147" s="91" t="s">
        <v>3569</v>
      </c>
      <c r="AF147" s="91"/>
      <c r="AG147" s="92"/>
    </row>
    <row r="148" spans="1:33">
      <c r="A148" s="87" t="str">
        <f t="shared" si="4"/>
        <v/>
      </c>
      <c r="B148" s="103" t="str">
        <f t="shared" si="5"/>
        <v/>
      </c>
      <c r="C148" s="88"/>
      <c r="D148" s="89"/>
      <c r="E148" s="89"/>
      <c r="F148" s="105"/>
      <c r="G148" s="105"/>
      <c r="H148" s="105"/>
      <c r="I148" s="105"/>
      <c r="J148" s="148"/>
      <c r="K148" s="87" t="s">
        <v>3767</v>
      </c>
      <c r="L148" s="87" t="s">
        <v>3562</v>
      </c>
      <c r="M148" s="88"/>
      <c r="N148" s="89"/>
      <c r="O148" s="89"/>
      <c r="P148" s="89"/>
      <c r="Q148" s="89"/>
      <c r="R148" s="87"/>
      <c r="S148" s="89"/>
      <c r="T148" s="87"/>
      <c r="U148" s="87"/>
      <c r="V148" s="90"/>
      <c r="W148" s="90"/>
      <c r="X148" s="87"/>
      <c r="Y148" s="90"/>
      <c r="Z148" s="87"/>
      <c r="AA148" s="90"/>
      <c r="AB148" s="87"/>
      <c r="AC148" s="90"/>
      <c r="AD148" s="87" t="s">
        <v>3568</v>
      </c>
      <c r="AE148" s="87" t="s">
        <v>3569</v>
      </c>
      <c r="AF148" s="87"/>
      <c r="AG148" s="90"/>
    </row>
    <row r="149" spans="1:33">
      <c r="A149" s="91" t="str">
        <f t="shared" si="4"/>
        <v/>
      </c>
      <c r="B149" s="104" t="str">
        <f t="shared" si="5"/>
        <v/>
      </c>
      <c r="C149" s="88"/>
      <c r="D149" s="89"/>
      <c r="E149" s="89"/>
      <c r="F149" s="105"/>
      <c r="G149" s="105"/>
      <c r="H149" s="105"/>
      <c r="I149" s="105"/>
      <c r="J149" s="148"/>
      <c r="K149" s="91" t="s">
        <v>3767</v>
      </c>
      <c r="L149" s="91" t="s">
        <v>3562</v>
      </c>
      <c r="M149" s="88"/>
      <c r="N149" s="89"/>
      <c r="O149" s="89"/>
      <c r="P149" s="89"/>
      <c r="Q149" s="89"/>
      <c r="R149" s="91"/>
      <c r="S149" s="89"/>
      <c r="T149" s="91"/>
      <c r="U149" s="91"/>
      <c r="V149" s="92"/>
      <c r="W149" s="92"/>
      <c r="X149" s="91"/>
      <c r="Y149" s="92"/>
      <c r="Z149" s="91"/>
      <c r="AA149" s="92"/>
      <c r="AB149" s="91"/>
      <c r="AC149" s="92"/>
      <c r="AD149" s="91" t="s">
        <v>3568</v>
      </c>
      <c r="AE149" s="91" t="s">
        <v>3569</v>
      </c>
      <c r="AF149" s="91"/>
      <c r="AG149" s="92"/>
    </row>
    <row r="150" spans="1:33">
      <c r="A150" s="87" t="str">
        <f t="shared" si="4"/>
        <v/>
      </c>
      <c r="B150" s="103" t="str">
        <f t="shared" si="5"/>
        <v/>
      </c>
      <c r="C150" s="88"/>
      <c r="D150" s="89"/>
      <c r="E150" s="89"/>
      <c r="F150" s="105"/>
      <c r="G150" s="105"/>
      <c r="H150" s="105"/>
      <c r="I150" s="105"/>
      <c r="J150" s="148"/>
      <c r="K150" s="87" t="s">
        <v>3767</v>
      </c>
      <c r="L150" s="87" t="s">
        <v>3562</v>
      </c>
      <c r="M150" s="88"/>
      <c r="N150" s="89"/>
      <c r="O150" s="89"/>
      <c r="P150" s="89"/>
      <c r="Q150" s="89"/>
      <c r="R150" s="87"/>
      <c r="S150" s="89"/>
      <c r="T150" s="87"/>
      <c r="U150" s="87"/>
      <c r="V150" s="90"/>
      <c r="W150" s="90"/>
      <c r="X150" s="87"/>
      <c r="Y150" s="90"/>
      <c r="Z150" s="87"/>
      <c r="AA150" s="90"/>
      <c r="AB150" s="87"/>
      <c r="AC150" s="90"/>
      <c r="AD150" s="87" t="s">
        <v>3568</v>
      </c>
      <c r="AE150" s="87" t="s">
        <v>3569</v>
      </c>
      <c r="AF150" s="87"/>
      <c r="AG150" s="90"/>
    </row>
    <row r="151" spans="1:33">
      <c r="A151" s="91" t="str">
        <f t="shared" si="4"/>
        <v/>
      </c>
      <c r="B151" s="104" t="str">
        <f t="shared" si="5"/>
        <v/>
      </c>
      <c r="C151" s="88"/>
      <c r="D151" s="89"/>
      <c r="E151" s="89"/>
      <c r="F151" s="105"/>
      <c r="G151" s="105"/>
      <c r="H151" s="105"/>
      <c r="I151" s="105"/>
      <c r="J151" s="148"/>
      <c r="K151" s="91" t="s">
        <v>3767</v>
      </c>
      <c r="L151" s="91" t="s">
        <v>3562</v>
      </c>
      <c r="M151" s="88"/>
      <c r="N151" s="89"/>
      <c r="O151" s="89"/>
      <c r="P151" s="89"/>
      <c r="Q151" s="89"/>
      <c r="R151" s="91"/>
      <c r="S151" s="89"/>
      <c r="T151" s="91"/>
      <c r="U151" s="91"/>
      <c r="V151" s="92"/>
      <c r="W151" s="92"/>
      <c r="X151" s="91"/>
      <c r="Y151" s="92"/>
      <c r="Z151" s="91"/>
      <c r="AA151" s="92"/>
      <c r="AB151" s="91"/>
      <c r="AC151" s="92"/>
      <c r="AD151" s="91" t="s">
        <v>3568</v>
      </c>
      <c r="AE151" s="91" t="s">
        <v>3569</v>
      </c>
      <c r="AF151" s="91"/>
      <c r="AG151" s="92"/>
    </row>
    <row r="152" spans="1:33">
      <c r="A152" s="87" t="str">
        <f t="shared" si="4"/>
        <v/>
      </c>
      <c r="B152" s="103" t="str">
        <f t="shared" si="5"/>
        <v/>
      </c>
      <c r="C152" s="88"/>
      <c r="D152" s="89"/>
      <c r="E152" s="89"/>
      <c r="F152" s="105"/>
      <c r="G152" s="105"/>
      <c r="H152" s="105"/>
      <c r="I152" s="105"/>
      <c r="J152" s="148"/>
      <c r="K152" s="87" t="s">
        <v>3767</v>
      </c>
      <c r="L152" s="87" t="s">
        <v>3562</v>
      </c>
      <c r="M152" s="88"/>
      <c r="N152" s="89"/>
      <c r="O152" s="89"/>
      <c r="P152" s="89"/>
      <c r="Q152" s="89"/>
      <c r="R152" s="87"/>
      <c r="S152" s="89"/>
      <c r="T152" s="87"/>
      <c r="U152" s="87"/>
      <c r="V152" s="90"/>
      <c r="W152" s="90"/>
      <c r="X152" s="87"/>
      <c r="Y152" s="90"/>
      <c r="Z152" s="87"/>
      <c r="AA152" s="90"/>
      <c r="AB152" s="87"/>
      <c r="AC152" s="90"/>
      <c r="AD152" s="87" t="s">
        <v>3568</v>
      </c>
      <c r="AE152" s="87" t="s">
        <v>3569</v>
      </c>
      <c r="AF152" s="87"/>
      <c r="AG152" s="90"/>
    </row>
    <row r="153" spans="1:33">
      <c r="A153" s="91" t="str">
        <f t="shared" si="4"/>
        <v/>
      </c>
      <c r="B153" s="104" t="str">
        <f t="shared" si="5"/>
        <v/>
      </c>
      <c r="C153" s="88"/>
      <c r="D153" s="89"/>
      <c r="E153" s="89"/>
      <c r="F153" s="105"/>
      <c r="G153" s="105"/>
      <c r="H153" s="105"/>
      <c r="I153" s="105"/>
      <c r="J153" s="148"/>
      <c r="K153" s="91" t="s">
        <v>3767</v>
      </c>
      <c r="L153" s="91" t="s">
        <v>3562</v>
      </c>
      <c r="M153" s="88"/>
      <c r="N153" s="89"/>
      <c r="O153" s="89"/>
      <c r="P153" s="89"/>
      <c r="Q153" s="89"/>
      <c r="R153" s="91"/>
      <c r="S153" s="89"/>
      <c r="T153" s="91"/>
      <c r="U153" s="91"/>
      <c r="V153" s="92"/>
      <c r="W153" s="92"/>
      <c r="X153" s="91"/>
      <c r="Y153" s="92"/>
      <c r="Z153" s="91"/>
      <c r="AA153" s="92"/>
      <c r="AB153" s="91"/>
      <c r="AC153" s="92"/>
      <c r="AD153" s="91" t="s">
        <v>3568</v>
      </c>
      <c r="AE153" s="91" t="s">
        <v>3569</v>
      </c>
      <c r="AF153" s="91"/>
      <c r="AG153" s="92"/>
    </row>
    <row r="154" spans="1:33">
      <c r="A154" s="87" t="str">
        <f t="shared" si="4"/>
        <v/>
      </c>
      <c r="B154" s="103" t="str">
        <f t="shared" si="5"/>
        <v/>
      </c>
      <c r="C154" s="88"/>
      <c r="D154" s="89"/>
      <c r="E154" s="89"/>
      <c r="F154" s="105"/>
      <c r="G154" s="105"/>
      <c r="H154" s="105"/>
      <c r="I154" s="105"/>
      <c r="J154" s="148"/>
      <c r="K154" s="87" t="s">
        <v>3767</v>
      </c>
      <c r="L154" s="87" t="s">
        <v>3562</v>
      </c>
      <c r="M154" s="88"/>
      <c r="N154" s="89"/>
      <c r="O154" s="89"/>
      <c r="P154" s="89"/>
      <c r="Q154" s="89"/>
      <c r="R154" s="87"/>
      <c r="S154" s="89"/>
      <c r="T154" s="87"/>
      <c r="U154" s="87"/>
      <c r="V154" s="90"/>
      <c r="W154" s="90"/>
      <c r="X154" s="87"/>
      <c r="Y154" s="90"/>
      <c r="Z154" s="87"/>
      <c r="AA154" s="90"/>
      <c r="AB154" s="87"/>
      <c r="AC154" s="90"/>
      <c r="AD154" s="87" t="s">
        <v>3568</v>
      </c>
      <c r="AE154" s="87" t="s">
        <v>3569</v>
      </c>
      <c r="AF154" s="87"/>
      <c r="AG154" s="90"/>
    </row>
    <row r="155" spans="1:33">
      <c r="A155" s="91" t="str">
        <f t="shared" si="4"/>
        <v/>
      </c>
      <c r="B155" s="104" t="str">
        <f t="shared" si="5"/>
        <v/>
      </c>
      <c r="C155" s="88"/>
      <c r="D155" s="89"/>
      <c r="E155" s="89"/>
      <c r="F155" s="105"/>
      <c r="G155" s="105"/>
      <c r="H155" s="105"/>
      <c r="I155" s="105"/>
      <c r="J155" s="148"/>
      <c r="K155" s="91" t="s">
        <v>3767</v>
      </c>
      <c r="L155" s="91" t="s">
        <v>3562</v>
      </c>
      <c r="M155" s="88"/>
      <c r="N155" s="89"/>
      <c r="O155" s="89"/>
      <c r="P155" s="89"/>
      <c r="Q155" s="89"/>
      <c r="R155" s="91"/>
      <c r="S155" s="89"/>
      <c r="T155" s="91"/>
      <c r="U155" s="91"/>
      <c r="V155" s="92"/>
      <c r="W155" s="92"/>
      <c r="X155" s="91"/>
      <c r="Y155" s="92"/>
      <c r="Z155" s="91"/>
      <c r="AA155" s="92"/>
      <c r="AB155" s="91"/>
      <c r="AC155" s="92"/>
      <c r="AD155" s="91" t="s">
        <v>3568</v>
      </c>
      <c r="AE155" s="91" t="s">
        <v>3569</v>
      </c>
      <c r="AF155" s="91"/>
      <c r="AG155" s="92"/>
    </row>
    <row r="156" spans="1:33">
      <c r="A156" s="87" t="str">
        <f t="shared" si="4"/>
        <v/>
      </c>
      <c r="B156" s="103" t="str">
        <f t="shared" si="5"/>
        <v/>
      </c>
      <c r="C156" s="88"/>
      <c r="D156" s="89"/>
      <c r="E156" s="89"/>
      <c r="F156" s="105"/>
      <c r="G156" s="105"/>
      <c r="H156" s="105"/>
      <c r="I156" s="105"/>
      <c r="J156" s="148"/>
      <c r="K156" s="87" t="s">
        <v>3767</v>
      </c>
      <c r="L156" s="87" t="s">
        <v>3562</v>
      </c>
      <c r="M156" s="88"/>
      <c r="N156" s="89"/>
      <c r="O156" s="89"/>
      <c r="P156" s="89"/>
      <c r="Q156" s="89"/>
      <c r="R156" s="87"/>
      <c r="S156" s="89"/>
      <c r="T156" s="87"/>
      <c r="U156" s="87"/>
      <c r="V156" s="90"/>
      <c r="W156" s="90"/>
      <c r="X156" s="87"/>
      <c r="Y156" s="90"/>
      <c r="Z156" s="87"/>
      <c r="AA156" s="90"/>
      <c r="AB156" s="87"/>
      <c r="AC156" s="90"/>
      <c r="AD156" s="87" t="s">
        <v>3568</v>
      </c>
      <c r="AE156" s="87" t="s">
        <v>3569</v>
      </c>
      <c r="AF156" s="87"/>
      <c r="AG156" s="90"/>
    </row>
    <row r="157" spans="1:33">
      <c r="A157" s="91" t="str">
        <f t="shared" si="4"/>
        <v/>
      </c>
      <c r="B157" s="104" t="str">
        <f t="shared" si="5"/>
        <v/>
      </c>
      <c r="C157" s="88"/>
      <c r="D157" s="89"/>
      <c r="E157" s="89"/>
      <c r="F157" s="105"/>
      <c r="G157" s="105"/>
      <c r="H157" s="105"/>
      <c r="I157" s="105"/>
      <c r="J157" s="148"/>
      <c r="K157" s="91" t="s">
        <v>3767</v>
      </c>
      <c r="L157" s="91" t="s">
        <v>3562</v>
      </c>
      <c r="M157" s="88"/>
      <c r="N157" s="89"/>
      <c r="O157" s="89"/>
      <c r="P157" s="89"/>
      <c r="Q157" s="89"/>
      <c r="R157" s="91"/>
      <c r="S157" s="89"/>
      <c r="T157" s="91"/>
      <c r="U157" s="91"/>
      <c r="V157" s="92"/>
      <c r="W157" s="92"/>
      <c r="X157" s="91"/>
      <c r="Y157" s="92"/>
      <c r="Z157" s="91"/>
      <c r="AA157" s="92"/>
      <c r="AB157" s="91"/>
      <c r="AC157" s="92"/>
      <c r="AD157" s="91" t="s">
        <v>3568</v>
      </c>
      <c r="AE157" s="91" t="s">
        <v>3569</v>
      </c>
      <c r="AF157" s="91"/>
      <c r="AG157" s="92"/>
    </row>
    <row r="158" spans="1:33">
      <c r="A158" s="87" t="str">
        <f t="shared" si="4"/>
        <v/>
      </c>
      <c r="B158" s="103" t="str">
        <f t="shared" si="5"/>
        <v/>
      </c>
      <c r="C158" s="88"/>
      <c r="D158" s="89"/>
      <c r="E158" s="89"/>
      <c r="F158" s="105"/>
      <c r="G158" s="105"/>
      <c r="H158" s="105"/>
      <c r="I158" s="105"/>
      <c r="J158" s="148"/>
      <c r="K158" s="87" t="s">
        <v>3767</v>
      </c>
      <c r="L158" s="87" t="s">
        <v>3562</v>
      </c>
      <c r="M158" s="88"/>
      <c r="N158" s="89"/>
      <c r="O158" s="89"/>
      <c r="P158" s="89"/>
      <c r="Q158" s="89"/>
      <c r="R158" s="87"/>
      <c r="S158" s="89"/>
      <c r="T158" s="87"/>
      <c r="U158" s="87"/>
      <c r="V158" s="90"/>
      <c r="W158" s="90"/>
      <c r="X158" s="87"/>
      <c r="Y158" s="90"/>
      <c r="Z158" s="87"/>
      <c r="AA158" s="90"/>
      <c r="AB158" s="87"/>
      <c r="AC158" s="90"/>
      <c r="AD158" s="87" t="s">
        <v>3568</v>
      </c>
      <c r="AE158" s="87" t="s">
        <v>3569</v>
      </c>
      <c r="AF158" s="87"/>
      <c r="AG158" s="90"/>
    </row>
    <row r="159" spans="1:33">
      <c r="A159" s="91" t="str">
        <f t="shared" si="4"/>
        <v/>
      </c>
      <c r="B159" s="104" t="str">
        <f t="shared" si="5"/>
        <v/>
      </c>
      <c r="C159" s="88"/>
      <c r="D159" s="89"/>
      <c r="E159" s="89"/>
      <c r="F159" s="105"/>
      <c r="G159" s="105"/>
      <c r="H159" s="105"/>
      <c r="I159" s="105"/>
      <c r="J159" s="148"/>
      <c r="K159" s="91" t="s">
        <v>3767</v>
      </c>
      <c r="L159" s="91" t="s">
        <v>3562</v>
      </c>
      <c r="M159" s="88"/>
      <c r="N159" s="89"/>
      <c r="O159" s="89"/>
      <c r="P159" s="89"/>
      <c r="Q159" s="89"/>
      <c r="R159" s="91"/>
      <c r="S159" s="89"/>
      <c r="T159" s="91"/>
      <c r="U159" s="91"/>
      <c r="V159" s="92"/>
      <c r="W159" s="92"/>
      <c r="X159" s="91"/>
      <c r="Y159" s="92"/>
      <c r="Z159" s="91"/>
      <c r="AA159" s="92"/>
      <c r="AB159" s="91"/>
      <c r="AC159" s="92"/>
      <c r="AD159" s="91" t="s">
        <v>3568</v>
      </c>
      <c r="AE159" s="91" t="s">
        <v>3569</v>
      </c>
      <c r="AF159" s="91"/>
      <c r="AG159" s="92"/>
    </row>
    <row r="160" spans="1:33">
      <c r="A160" s="87" t="str">
        <f t="shared" si="4"/>
        <v/>
      </c>
      <c r="B160" s="103" t="str">
        <f t="shared" si="5"/>
        <v/>
      </c>
      <c r="C160" s="88"/>
      <c r="D160" s="89"/>
      <c r="E160" s="89"/>
      <c r="F160" s="105"/>
      <c r="G160" s="105"/>
      <c r="H160" s="105"/>
      <c r="I160" s="105"/>
      <c r="J160" s="148"/>
      <c r="K160" s="87" t="s">
        <v>3767</v>
      </c>
      <c r="L160" s="87" t="s">
        <v>3562</v>
      </c>
      <c r="M160" s="88"/>
      <c r="N160" s="89"/>
      <c r="O160" s="89"/>
      <c r="P160" s="89"/>
      <c r="Q160" s="89"/>
      <c r="R160" s="87"/>
      <c r="S160" s="89"/>
      <c r="T160" s="87"/>
      <c r="U160" s="87"/>
      <c r="V160" s="90"/>
      <c r="W160" s="90"/>
      <c r="X160" s="87"/>
      <c r="Y160" s="90"/>
      <c r="Z160" s="87"/>
      <c r="AA160" s="90"/>
      <c r="AB160" s="87"/>
      <c r="AC160" s="90"/>
      <c r="AD160" s="87" t="s">
        <v>3568</v>
      </c>
      <c r="AE160" s="87" t="s">
        <v>3569</v>
      </c>
      <c r="AF160" s="87"/>
      <c r="AG160" s="90"/>
    </row>
    <row r="161" spans="1:33">
      <c r="A161" s="91" t="str">
        <f t="shared" si="4"/>
        <v/>
      </c>
      <c r="B161" s="104" t="str">
        <f t="shared" si="5"/>
        <v/>
      </c>
      <c r="C161" s="88"/>
      <c r="D161" s="89"/>
      <c r="E161" s="89"/>
      <c r="F161" s="105"/>
      <c r="G161" s="105"/>
      <c r="H161" s="105"/>
      <c r="I161" s="105"/>
      <c r="J161" s="148"/>
      <c r="K161" s="91" t="s">
        <v>3767</v>
      </c>
      <c r="L161" s="91" t="s">
        <v>3562</v>
      </c>
      <c r="M161" s="88"/>
      <c r="N161" s="89"/>
      <c r="O161" s="89"/>
      <c r="P161" s="89"/>
      <c r="Q161" s="89"/>
      <c r="R161" s="91"/>
      <c r="S161" s="89"/>
      <c r="T161" s="91"/>
      <c r="U161" s="91"/>
      <c r="V161" s="92"/>
      <c r="W161" s="92"/>
      <c r="X161" s="91"/>
      <c r="Y161" s="92"/>
      <c r="Z161" s="91"/>
      <c r="AA161" s="92"/>
      <c r="AB161" s="91"/>
      <c r="AC161" s="92"/>
      <c r="AD161" s="91" t="s">
        <v>3568</v>
      </c>
      <c r="AE161" s="91" t="s">
        <v>3569</v>
      </c>
      <c r="AF161" s="91"/>
      <c r="AG161" s="92"/>
    </row>
    <row r="162" spans="1:33">
      <c r="A162" s="87" t="str">
        <f t="shared" si="4"/>
        <v/>
      </c>
      <c r="B162" s="103" t="str">
        <f t="shared" si="5"/>
        <v/>
      </c>
      <c r="C162" s="88"/>
      <c r="D162" s="89"/>
      <c r="E162" s="89"/>
      <c r="F162" s="105"/>
      <c r="G162" s="105"/>
      <c r="H162" s="105"/>
      <c r="I162" s="105"/>
      <c r="J162" s="148"/>
      <c r="K162" s="87" t="s">
        <v>3767</v>
      </c>
      <c r="L162" s="87" t="s">
        <v>3562</v>
      </c>
      <c r="M162" s="88"/>
      <c r="N162" s="89"/>
      <c r="O162" s="89"/>
      <c r="P162" s="89"/>
      <c r="Q162" s="89"/>
      <c r="R162" s="87"/>
      <c r="S162" s="89"/>
      <c r="T162" s="87"/>
      <c r="U162" s="87"/>
      <c r="V162" s="90"/>
      <c r="W162" s="90"/>
      <c r="X162" s="87"/>
      <c r="Y162" s="90"/>
      <c r="Z162" s="87"/>
      <c r="AA162" s="90"/>
      <c r="AB162" s="87"/>
      <c r="AC162" s="90"/>
      <c r="AD162" s="87" t="s">
        <v>3568</v>
      </c>
      <c r="AE162" s="87" t="s">
        <v>3569</v>
      </c>
      <c r="AF162" s="87"/>
      <c r="AG162" s="90"/>
    </row>
    <row r="163" spans="1:33">
      <c r="A163" s="91" t="str">
        <f t="shared" si="4"/>
        <v/>
      </c>
      <c r="B163" s="104" t="str">
        <f t="shared" si="5"/>
        <v/>
      </c>
      <c r="C163" s="88"/>
      <c r="D163" s="89"/>
      <c r="E163" s="89"/>
      <c r="F163" s="105"/>
      <c r="G163" s="105"/>
      <c r="H163" s="105"/>
      <c r="I163" s="105"/>
      <c r="J163" s="148"/>
      <c r="K163" s="91" t="s">
        <v>3767</v>
      </c>
      <c r="L163" s="91" t="s">
        <v>3562</v>
      </c>
      <c r="M163" s="88"/>
      <c r="N163" s="89"/>
      <c r="O163" s="89"/>
      <c r="P163" s="89"/>
      <c r="Q163" s="89"/>
      <c r="R163" s="91"/>
      <c r="S163" s="89"/>
      <c r="T163" s="91"/>
      <c r="U163" s="91"/>
      <c r="V163" s="92"/>
      <c r="W163" s="92"/>
      <c r="X163" s="91"/>
      <c r="Y163" s="92"/>
      <c r="Z163" s="91"/>
      <c r="AA163" s="92"/>
      <c r="AB163" s="91"/>
      <c r="AC163" s="92"/>
      <c r="AD163" s="91" t="s">
        <v>3568</v>
      </c>
      <c r="AE163" s="91" t="s">
        <v>3569</v>
      </c>
      <c r="AF163" s="91"/>
      <c r="AG163" s="92"/>
    </row>
    <row r="164" spans="1:33">
      <c r="A164" s="87" t="str">
        <f t="shared" si="4"/>
        <v/>
      </c>
      <c r="B164" s="103" t="str">
        <f t="shared" si="5"/>
        <v/>
      </c>
      <c r="C164" s="88"/>
      <c r="D164" s="89"/>
      <c r="E164" s="89"/>
      <c r="F164" s="105"/>
      <c r="G164" s="105"/>
      <c r="H164" s="105"/>
      <c r="I164" s="105"/>
      <c r="J164" s="148"/>
      <c r="K164" s="87" t="s">
        <v>3767</v>
      </c>
      <c r="L164" s="87" t="s">
        <v>3562</v>
      </c>
      <c r="M164" s="88"/>
      <c r="N164" s="89"/>
      <c r="O164" s="89"/>
      <c r="P164" s="89"/>
      <c r="Q164" s="89"/>
      <c r="R164" s="87"/>
      <c r="S164" s="89"/>
      <c r="T164" s="87"/>
      <c r="U164" s="87"/>
      <c r="V164" s="90"/>
      <c r="W164" s="90"/>
      <c r="X164" s="87"/>
      <c r="Y164" s="90"/>
      <c r="Z164" s="87"/>
      <c r="AA164" s="90"/>
      <c r="AB164" s="87"/>
      <c r="AC164" s="90"/>
      <c r="AD164" s="87" t="s">
        <v>3568</v>
      </c>
      <c r="AE164" s="87" t="s">
        <v>3569</v>
      </c>
      <c r="AF164" s="87"/>
      <c r="AG164" s="90"/>
    </row>
    <row r="165" spans="1:33">
      <c r="A165" s="91" t="str">
        <f t="shared" si="4"/>
        <v/>
      </c>
      <c r="B165" s="104" t="str">
        <f t="shared" si="5"/>
        <v/>
      </c>
      <c r="C165" s="88"/>
      <c r="D165" s="89"/>
      <c r="E165" s="89"/>
      <c r="F165" s="105"/>
      <c r="G165" s="105"/>
      <c r="H165" s="105"/>
      <c r="I165" s="105"/>
      <c r="J165" s="148"/>
      <c r="K165" s="91" t="s">
        <v>3767</v>
      </c>
      <c r="L165" s="91" t="s">
        <v>3562</v>
      </c>
      <c r="M165" s="88"/>
      <c r="N165" s="89"/>
      <c r="O165" s="89"/>
      <c r="P165" s="89"/>
      <c r="Q165" s="89"/>
      <c r="R165" s="91"/>
      <c r="S165" s="89"/>
      <c r="T165" s="91"/>
      <c r="U165" s="91"/>
      <c r="V165" s="92"/>
      <c r="W165" s="92"/>
      <c r="X165" s="91"/>
      <c r="Y165" s="92"/>
      <c r="Z165" s="91"/>
      <c r="AA165" s="92"/>
      <c r="AB165" s="91"/>
      <c r="AC165" s="92"/>
      <c r="AD165" s="91" t="s">
        <v>3568</v>
      </c>
      <c r="AE165" s="91" t="s">
        <v>3569</v>
      </c>
      <c r="AF165" s="91"/>
      <c r="AG165" s="92"/>
    </row>
    <row r="166" spans="1:33">
      <c r="A166" s="87" t="str">
        <f t="shared" si="4"/>
        <v/>
      </c>
      <c r="B166" s="103" t="str">
        <f t="shared" si="5"/>
        <v/>
      </c>
      <c r="C166" s="88"/>
      <c r="D166" s="89"/>
      <c r="E166" s="89"/>
      <c r="F166" s="105"/>
      <c r="G166" s="105"/>
      <c r="H166" s="105"/>
      <c r="I166" s="105"/>
      <c r="J166" s="148"/>
      <c r="K166" s="87" t="s">
        <v>3767</v>
      </c>
      <c r="L166" s="87" t="s">
        <v>3562</v>
      </c>
      <c r="M166" s="88"/>
      <c r="N166" s="89"/>
      <c r="O166" s="89"/>
      <c r="P166" s="89"/>
      <c r="Q166" s="89"/>
      <c r="R166" s="87"/>
      <c r="S166" s="89"/>
      <c r="T166" s="87"/>
      <c r="U166" s="87"/>
      <c r="V166" s="90"/>
      <c r="W166" s="90"/>
      <c r="X166" s="87"/>
      <c r="Y166" s="90"/>
      <c r="Z166" s="87"/>
      <c r="AA166" s="90"/>
      <c r="AB166" s="87"/>
      <c r="AC166" s="90"/>
      <c r="AD166" s="87" t="s">
        <v>3568</v>
      </c>
      <c r="AE166" s="87" t="s">
        <v>3569</v>
      </c>
      <c r="AF166" s="87"/>
      <c r="AG166" s="90"/>
    </row>
    <row r="167" spans="1:33">
      <c r="A167" s="91" t="str">
        <f t="shared" si="4"/>
        <v/>
      </c>
      <c r="B167" s="104" t="str">
        <f t="shared" si="5"/>
        <v/>
      </c>
      <c r="C167" s="88"/>
      <c r="D167" s="89"/>
      <c r="E167" s="89"/>
      <c r="F167" s="105"/>
      <c r="G167" s="105"/>
      <c r="H167" s="105"/>
      <c r="I167" s="105"/>
      <c r="J167" s="148"/>
      <c r="K167" s="91" t="s">
        <v>3767</v>
      </c>
      <c r="L167" s="91" t="s">
        <v>3562</v>
      </c>
      <c r="M167" s="88"/>
      <c r="N167" s="89"/>
      <c r="O167" s="89"/>
      <c r="P167" s="89"/>
      <c r="Q167" s="89"/>
      <c r="R167" s="91"/>
      <c r="S167" s="89"/>
      <c r="T167" s="91"/>
      <c r="U167" s="91"/>
      <c r="V167" s="92"/>
      <c r="W167" s="92"/>
      <c r="X167" s="91"/>
      <c r="Y167" s="92"/>
      <c r="Z167" s="91"/>
      <c r="AA167" s="92"/>
      <c r="AB167" s="91"/>
      <c r="AC167" s="92"/>
      <c r="AD167" s="91" t="s">
        <v>3568</v>
      </c>
      <c r="AE167" s="91" t="s">
        <v>3569</v>
      </c>
      <c r="AF167" s="91"/>
      <c r="AG167" s="92"/>
    </row>
    <row r="168" spans="1:33">
      <c r="A168" s="87" t="str">
        <f t="shared" si="4"/>
        <v/>
      </c>
      <c r="B168" s="103" t="str">
        <f t="shared" si="5"/>
        <v/>
      </c>
      <c r="C168" s="88"/>
      <c r="D168" s="89"/>
      <c r="E168" s="89"/>
      <c r="F168" s="105"/>
      <c r="G168" s="105"/>
      <c r="H168" s="105"/>
      <c r="I168" s="105"/>
      <c r="J168" s="148"/>
      <c r="K168" s="87" t="s">
        <v>3767</v>
      </c>
      <c r="L168" s="87" t="s">
        <v>3562</v>
      </c>
      <c r="M168" s="88"/>
      <c r="N168" s="89"/>
      <c r="O168" s="89"/>
      <c r="P168" s="89"/>
      <c r="Q168" s="89"/>
      <c r="R168" s="87"/>
      <c r="S168" s="89"/>
      <c r="T168" s="87"/>
      <c r="U168" s="87"/>
      <c r="V168" s="90"/>
      <c r="W168" s="90"/>
      <c r="X168" s="87"/>
      <c r="Y168" s="90"/>
      <c r="Z168" s="87"/>
      <c r="AA168" s="90"/>
      <c r="AB168" s="87"/>
      <c r="AC168" s="90"/>
      <c r="AD168" s="87" t="s">
        <v>3568</v>
      </c>
      <c r="AE168" s="87" t="s">
        <v>3569</v>
      </c>
      <c r="AF168" s="87"/>
      <c r="AG168" s="90"/>
    </row>
    <row r="169" spans="1:33">
      <c r="A169" s="91" t="str">
        <f t="shared" si="4"/>
        <v/>
      </c>
      <c r="B169" s="104" t="str">
        <f t="shared" si="5"/>
        <v/>
      </c>
      <c r="C169" s="88"/>
      <c r="D169" s="89"/>
      <c r="E169" s="89"/>
      <c r="F169" s="105"/>
      <c r="G169" s="105"/>
      <c r="H169" s="105"/>
      <c r="I169" s="105"/>
      <c r="J169" s="148"/>
      <c r="K169" s="91" t="s">
        <v>3767</v>
      </c>
      <c r="L169" s="91" t="s">
        <v>3562</v>
      </c>
      <c r="M169" s="88"/>
      <c r="N169" s="89"/>
      <c r="O169" s="89"/>
      <c r="P169" s="89"/>
      <c r="Q169" s="89"/>
      <c r="R169" s="91"/>
      <c r="S169" s="89"/>
      <c r="T169" s="91"/>
      <c r="U169" s="91"/>
      <c r="V169" s="92"/>
      <c r="W169" s="92"/>
      <c r="X169" s="91"/>
      <c r="Y169" s="92"/>
      <c r="Z169" s="91"/>
      <c r="AA169" s="92"/>
      <c r="AB169" s="91"/>
      <c r="AC169" s="92"/>
      <c r="AD169" s="91" t="s">
        <v>3568</v>
      </c>
      <c r="AE169" s="91" t="s">
        <v>3569</v>
      </c>
      <c r="AF169" s="91"/>
      <c r="AG169" s="92"/>
    </row>
    <row r="170" spans="1:33">
      <c r="A170" s="87" t="str">
        <f t="shared" si="4"/>
        <v/>
      </c>
      <c r="B170" s="103" t="str">
        <f t="shared" si="5"/>
        <v/>
      </c>
      <c r="C170" s="88"/>
      <c r="D170" s="89"/>
      <c r="E170" s="89"/>
      <c r="F170" s="105"/>
      <c r="G170" s="105"/>
      <c r="H170" s="105"/>
      <c r="I170" s="105"/>
      <c r="J170" s="148"/>
      <c r="K170" s="87" t="s">
        <v>3767</v>
      </c>
      <c r="L170" s="87" t="s">
        <v>3562</v>
      </c>
      <c r="M170" s="88"/>
      <c r="N170" s="89"/>
      <c r="O170" s="89"/>
      <c r="P170" s="89"/>
      <c r="Q170" s="89"/>
      <c r="R170" s="87"/>
      <c r="S170" s="89"/>
      <c r="T170" s="87"/>
      <c r="U170" s="87"/>
      <c r="V170" s="90"/>
      <c r="W170" s="90"/>
      <c r="X170" s="87"/>
      <c r="Y170" s="90"/>
      <c r="Z170" s="87"/>
      <c r="AA170" s="90"/>
      <c r="AB170" s="87"/>
      <c r="AC170" s="90"/>
      <c r="AD170" s="87" t="s">
        <v>3568</v>
      </c>
      <c r="AE170" s="87" t="s">
        <v>3569</v>
      </c>
      <c r="AF170" s="87"/>
      <c r="AG170" s="90"/>
    </row>
    <row r="171" spans="1:33">
      <c r="A171" s="91" t="str">
        <f t="shared" si="4"/>
        <v/>
      </c>
      <c r="B171" s="104" t="str">
        <f t="shared" si="5"/>
        <v/>
      </c>
      <c r="C171" s="88"/>
      <c r="D171" s="89"/>
      <c r="E171" s="89"/>
      <c r="F171" s="105"/>
      <c r="G171" s="105"/>
      <c r="H171" s="105"/>
      <c r="I171" s="105"/>
      <c r="J171" s="148"/>
      <c r="K171" s="91" t="s">
        <v>3767</v>
      </c>
      <c r="L171" s="91" t="s">
        <v>3562</v>
      </c>
      <c r="M171" s="88"/>
      <c r="N171" s="89"/>
      <c r="O171" s="89"/>
      <c r="P171" s="89"/>
      <c r="Q171" s="89"/>
      <c r="R171" s="91"/>
      <c r="S171" s="89"/>
      <c r="T171" s="91"/>
      <c r="U171" s="91"/>
      <c r="V171" s="92"/>
      <c r="W171" s="92"/>
      <c r="X171" s="91"/>
      <c r="Y171" s="92"/>
      <c r="Z171" s="91"/>
      <c r="AA171" s="92"/>
      <c r="AB171" s="91"/>
      <c r="AC171" s="92"/>
      <c r="AD171" s="91" t="s">
        <v>3568</v>
      </c>
      <c r="AE171" s="91" t="s">
        <v>3569</v>
      </c>
      <c r="AF171" s="91"/>
      <c r="AG171" s="92"/>
    </row>
    <row r="172" spans="1:33">
      <c r="A172" s="87" t="str">
        <f t="shared" si="4"/>
        <v/>
      </c>
      <c r="B172" s="103" t="str">
        <f t="shared" si="5"/>
        <v/>
      </c>
      <c r="C172" s="88"/>
      <c r="D172" s="89"/>
      <c r="E172" s="89"/>
      <c r="F172" s="105"/>
      <c r="G172" s="105"/>
      <c r="H172" s="105"/>
      <c r="I172" s="105"/>
      <c r="J172" s="148"/>
      <c r="K172" s="87" t="s">
        <v>3767</v>
      </c>
      <c r="L172" s="87" t="s">
        <v>3562</v>
      </c>
      <c r="M172" s="88"/>
      <c r="N172" s="89"/>
      <c r="O172" s="89"/>
      <c r="P172" s="89"/>
      <c r="Q172" s="89"/>
      <c r="R172" s="87"/>
      <c r="S172" s="89"/>
      <c r="T172" s="87"/>
      <c r="U172" s="87"/>
      <c r="V172" s="90"/>
      <c r="W172" s="90"/>
      <c r="X172" s="87"/>
      <c r="Y172" s="90"/>
      <c r="Z172" s="87"/>
      <c r="AA172" s="90"/>
      <c r="AB172" s="87"/>
      <c r="AC172" s="90"/>
      <c r="AD172" s="87" t="s">
        <v>3568</v>
      </c>
      <c r="AE172" s="87" t="s">
        <v>3569</v>
      </c>
      <c r="AF172" s="87"/>
      <c r="AG172" s="90"/>
    </row>
    <row r="173" spans="1:33">
      <c r="A173" s="91" t="str">
        <f t="shared" si="4"/>
        <v/>
      </c>
      <c r="B173" s="104" t="str">
        <f t="shared" si="5"/>
        <v/>
      </c>
      <c r="C173" s="88"/>
      <c r="D173" s="89"/>
      <c r="E173" s="89"/>
      <c r="F173" s="105"/>
      <c r="G173" s="105"/>
      <c r="H173" s="105"/>
      <c r="I173" s="105"/>
      <c r="J173" s="148"/>
      <c r="K173" s="91" t="s">
        <v>3767</v>
      </c>
      <c r="L173" s="91" t="s">
        <v>3562</v>
      </c>
      <c r="M173" s="88"/>
      <c r="N173" s="89"/>
      <c r="O173" s="89"/>
      <c r="P173" s="89"/>
      <c r="Q173" s="89"/>
      <c r="R173" s="91"/>
      <c r="S173" s="89"/>
      <c r="T173" s="91"/>
      <c r="U173" s="91"/>
      <c r="V173" s="92"/>
      <c r="W173" s="92"/>
      <c r="X173" s="91"/>
      <c r="Y173" s="92"/>
      <c r="Z173" s="91"/>
      <c r="AA173" s="92"/>
      <c r="AB173" s="91"/>
      <c r="AC173" s="92"/>
      <c r="AD173" s="91" t="s">
        <v>3568</v>
      </c>
      <c r="AE173" s="91" t="s">
        <v>3569</v>
      </c>
      <c r="AF173" s="91"/>
      <c r="AG173" s="92"/>
    </row>
    <row r="174" spans="1:33">
      <c r="A174" s="87" t="str">
        <f t="shared" si="4"/>
        <v/>
      </c>
      <c r="B174" s="103" t="str">
        <f t="shared" si="5"/>
        <v/>
      </c>
      <c r="C174" s="88"/>
      <c r="D174" s="89"/>
      <c r="E174" s="89"/>
      <c r="F174" s="105"/>
      <c r="G174" s="105"/>
      <c r="H174" s="105"/>
      <c r="I174" s="105"/>
      <c r="J174" s="148"/>
      <c r="K174" s="87" t="s">
        <v>3767</v>
      </c>
      <c r="L174" s="87" t="s">
        <v>3562</v>
      </c>
      <c r="M174" s="88"/>
      <c r="N174" s="89"/>
      <c r="O174" s="89"/>
      <c r="P174" s="89"/>
      <c r="Q174" s="89"/>
      <c r="R174" s="87"/>
      <c r="S174" s="89"/>
      <c r="T174" s="87"/>
      <c r="U174" s="87"/>
      <c r="V174" s="90"/>
      <c r="W174" s="90"/>
      <c r="X174" s="87"/>
      <c r="Y174" s="90"/>
      <c r="Z174" s="87"/>
      <c r="AA174" s="90"/>
      <c r="AB174" s="87"/>
      <c r="AC174" s="90"/>
      <c r="AD174" s="87" t="s">
        <v>3568</v>
      </c>
      <c r="AE174" s="87" t="s">
        <v>3569</v>
      </c>
      <c r="AF174" s="87"/>
      <c r="AG174" s="90"/>
    </row>
    <row r="175" spans="1:33">
      <c r="A175" s="91" t="str">
        <f t="shared" si="4"/>
        <v/>
      </c>
      <c r="B175" s="104" t="str">
        <f t="shared" si="5"/>
        <v/>
      </c>
      <c r="C175" s="88"/>
      <c r="D175" s="89"/>
      <c r="E175" s="89"/>
      <c r="F175" s="105"/>
      <c r="G175" s="105"/>
      <c r="H175" s="105"/>
      <c r="I175" s="105"/>
      <c r="J175" s="148"/>
      <c r="K175" s="91" t="s">
        <v>3767</v>
      </c>
      <c r="L175" s="91" t="s">
        <v>3562</v>
      </c>
      <c r="M175" s="88"/>
      <c r="N175" s="89"/>
      <c r="O175" s="89"/>
      <c r="P175" s="89"/>
      <c r="Q175" s="89"/>
      <c r="R175" s="91"/>
      <c r="S175" s="89"/>
      <c r="T175" s="91"/>
      <c r="U175" s="91"/>
      <c r="V175" s="92"/>
      <c r="W175" s="92"/>
      <c r="X175" s="91"/>
      <c r="Y175" s="92"/>
      <c r="Z175" s="91"/>
      <c r="AA175" s="92"/>
      <c r="AB175" s="91"/>
      <c r="AC175" s="92"/>
      <c r="AD175" s="91" t="s">
        <v>3568</v>
      </c>
      <c r="AE175" s="91" t="s">
        <v>3569</v>
      </c>
      <c r="AF175" s="91"/>
      <c r="AG175" s="92"/>
    </row>
    <row r="176" spans="1:33">
      <c r="A176" s="87" t="str">
        <f t="shared" si="4"/>
        <v/>
      </c>
      <c r="B176" s="103" t="str">
        <f t="shared" si="5"/>
        <v/>
      </c>
      <c r="C176" s="88"/>
      <c r="D176" s="89"/>
      <c r="E176" s="89"/>
      <c r="F176" s="105"/>
      <c r="G176" s="105"/>
      <c r="H176" s="105"/>
      <c r="I176" s="105"/>
      <c r="J176" s="148"/>
      <c r="K176" s="87" t="s">
        <v>3767</v>
      </c>
      <c r="L176" s="87" t="s">
        <v>3562</v>
      </c>
      <c r="M176" s="88"/>
      <c r="N176" s="89"/>
      <c r="O176" s="89"/>
      <c r="P176" s="89"/>
      <c r="Q176" s="89"/>
      <c r="R176" s="87"/>
      <c r="S176" s="89"/>
      <c r="T176" s="87"/>
      <c r="U176" s="87"/>
      <c r="V176" s="90"/>
      <c r="W176" s="90"/>
      <c r="X176" s="87"/>
      <c r="Y176" s="90"/>
      <c r="Z176" s="87"/>
      <c r="AA176" s="90"/>
      <c r="AB176" s="87"/>
      <c r="AC176" s="90"/>
      <c r="AD176" s="87" t="s">
        <v>3568</v>
      </c>
      <c r="AE176" s="87" t="s">
        <v>3569</v>
      </c>
      <c r="AF176" s="87"/>
      <c r="AG176" s="90"/>
    </row>
    <row r="177" spans="1:33">
      <c r="A177" s="91" t="str">
        <f t="shared" si="4"/>
        <v/>
      </c>
      <c r="B177" s="104" t="str">
        <f t="shared" si="5"/>
        <v/>
      </c>
      <c r="C177" s="88"/>
      <c r="D177" s="89"/>
      <c r="E177" s="89"/>
      <c r="F177" s="105"/>
      <c r="G177" s="105"/>
      <c r="H177" s="105"/>
      <c r="I177" s="105"/>
      <c r="J177" s="148"/>
      <c r="K177" s="91" t="s">
        <v>3767</v>
      </c>
      <c r="L177" s="91" t="s">
        <v>3562</v>
      </c>
      <c r="M177" s="88"/>
      <c r="N177" s="89"/>
      <c r="O177" s="89"/>
      <c r="P177" s="89"/>
      <c r="Q177" s="89"/>
      <c r="R177" s="91"/>
      <c r="S177" s="89"/>
      <c r="T177" s="91"/>
      <c r="U177" s="91"/>
      <c r="V177" s="92"/>
      <c r="W177" s="92"/>
      <c r="X177" s="91"/>
      <c r="Y177" s="92"/>
      <c r="Z177" s="91"/>
      <c r="AA177" s="92"/>
      <c r="AB177" s="91"/>
      <c r="AC177" s="92"/>
      <c r="AD177" s="91" t="s">
        <v>3568</v>
      </c>
      <c r="AE177" s="91" t="s">
        <v>3569</v>
      </c>
      <c r="AF177" s="91"/>
      <c r="AG177" s="92"/>
    </row>
    <row r="178" spans="1:33">
      <c r="A178" s="87" t="str">
        <f t="shared" si="4"/>
        <v/>
      </c>
      <c r="B178" s="103" t="str">
        <f t="shared" si="5"/>
        <v/>
      </c>
      <c r="C178" s="88"/>
      <c r="D178" s="89"/>
      <c r="E178" s="89"/>
      <c r="F178" s="105"/>
      <c r="G178" s="105"/>
      <c r="H178" s="105"/>
      <c r="I178" s="105"/>
      <c r="J178" s="148"/>
      <c r="K178" s="87" t="s">
        <v>3767</v>
      </c>
      <c r="L178" s="87" t="s">
        <v>3562</v>
      </c>
      <c r="M178" s="88"/>
      <c r="N178" s="89"/>
      <c r="O178" s="89"/>
      <c r="P178" s="89"/>
      <c r="Q178" s="89"/>
      <c r="R178" s="87"/>
      <c r="S178" s="89"/>
      <c r="T178" s="87"/>
      <c r="U178" s="87"/>
      <c r="V178" s="90"/>
      <c r="W178" s="90"/>
      <c r="X178" s="87"/>
      <c r="Y178" s="90"/>
      <c r="Z178" s="87"/>
      <c r="AA178" s="90"/>
      <c r="AB178" s="87"/>
      <c r="AC178" s="90"/>
      <c r="AD178" s="87" t="s">
        <v>3568</v>
      </c>
      <c r="AE178" s="87" t="s">
        <v>3569</v>
      </c>
      <c r="AF178" s="87"/>
      <c r="AG178" s="90"/>
    </row>
    <row r="179" spans="1:33">
      <c r="A179" s="91" t="str">
        <f t="shared" si="4"/>
        <v/>
      </c>
      <c r="B179" s="104" t="str">
        <f t="shared" si="5"/>
        <v/>
      </c>
      <c r="C179" s="88"/>
      <c r="D179" s="89"/>
      <c r="E179" s="89"/>
      <c r="F179" s="105"/>
      <c r="G179" s="105"/>
      <c r="H179" s="105"/>
      <c r="I179" s="105"/>
      <c r="J179" s="148"/>
      <c r="K179" s="91" t="s">
        <v>3767</v>
      </c>
      <c r="L179" s="91" t="s">
        <v>3562</v>
      </c>
      <c r="M179" s="88"/>
      <c r="N179" s="89"/>
      <c r="O179" s="89"/>
      <c r="P179" s="89"/>
      <c r="Q179" s="89"/>
      <c r="R179" s="91"/>
      <c r="S179" s="89"/>
      <c r="T179" s="91"/>
      <c r="U179" s="91"/>
      <c r="V179" s="92"/>
      <c r="W179" s="92"/>
      <c r="X179" s="91"/>
      <c r="Y179" s="92"/>
      <c r="Z179" s="91"/>
      <c r="AA179" s="92"/>
      <c r="AB179" s="91"/>
      <c r="AC179" s="92"/>
      <c r="AD179" s="91" t="s">
        <v>3568</v>
      </c>
      <c r="AE179" s="91" t="s">
        <v>3569</v>
      </c>
      <c r="AF179" s="91"/>
      <c r="AG179" s="92"/>
    </row>
    <row r="180" spans="1:33">
      <c r="A180" s="87" t="str">
        <f t="shared" si="4"/>
        <v/>
      </c>
      <c r="B180" s="103" t="str">
        <f t="shared" si="5"/>
        <v/>
      </c>
      <c r="C180" s="88"/>
      <c r="D180" s="89"/>
      <c r="E180" s="89"/>
      <c r="F180" s="105"/>
      <c r="G180" s="105"/>
      <c r="H180" s="105"/>
      <c r="I180" s="105"/>
      <c r="J180" s="148"/>
      <c r="K180" s="87" t="s">
        <v>3767</v>
      </c>
      <c r="L180" s="87" t="s">
        <v>3562</v>
      </c>
      <c r="M180" s="88"/>
      <c r="N180" s="89"/>
      <c r="O180" s="89"/>
      <c r="P180" s="89"/>
      <c r="Q180" s="89"/>
      <c r="R180" s="87"/>
      <c r="S180" s="89"/>
      <c r="T180" s="87"/>
      <c r="U180" s="87"/>
      <c r="V180" s="90"/>
      <c r="W180" s="90"/>
      <c r="X180" s="87"/>
      <c r="Y180" s="90"/>
      <c r="Z180" s="87"/>
      <c r="AA180" s="90"/>
      <c r="AB180" s="87"/>
      <c r="AC180" s="90"/>
      <c r="AD180" s="87" t="s">
        <v>3568</v>
      </c>
      <c r="AE180" s="87" t="s">
        <v>3569</v>
      </c>
      <c r="AF180" s="87"/>
      <c r="AG180" s="90"/>
    </row>
    <row r="181" spans="1:33">
      <c r="A181" s="91" t="str">
        <f t="shared" si="4"/>
        <v/>
      </c>
      <c r="B181" s="104" t="str">
        <f t="shared" si="5"/>
        <v/>
      </c>
      <c r="C181" s="88"/>
      <c r="D181" s="89"/>
      <c r="E181" s="89"/>
      <c r="F181" s="105"/>
      <c r="G181" s="105"/>
      <c r="H181" s="105"/>
      <c r="I181" s="105"/>
      <c r="J181" s="148"/>
      <c r="K181" s="91" t="s">
        <v>3767</v>
      </c>
      <c r="L181" s="91" t="s">
        <v>3562</v>
      </c>
      <c r="M181" s="88"/>
      <c r="N181" s="89"/>
      <c r="O181" s="89"/>
      <c r="P181" s="89"/>
      <c r="Q181" s="89"/>
      <c r="R181" s="91"/>
      <c r="S181" s="89"/>
      <c r="T181" s="91"/>
      <c r="U181" s="91"/>
      <c r="V181" s="92"/>
      <c r="W181" s="92"/>
      <c r="X181" s="91"/>
      <c r="Y181" s="92"/>
      <c r="Z181" s="91"/>
      <c r="AA181" s="92"/>
      <c r="AB181" s="91"/>
      <c r="AC181" s="92"/>
      <c r="AD181" s="91" t="s">
        <v>3568</v>
      </c>
      <c r="AE181" s="91" t="s">
        <v>3569</v>
      </c>
      <c r="AF181" s="91"/>
      <c r="AG181" s="92"/>
    </row>
    <row r="182" spans="1:33">
      <c r="A182" s="87" t="str">
        <f t="shared" si="4"/>
        <v/>
      </c>
      <c r="B182" s="103" t="str">
        <f t="shared" si="5"/>
        <v/>
      </c>
      <c r="C182" s="88"/>
      <c r="D182" s="89"/>
      <c r="E182" s="89"/>
      <c r="F182" s="105"/>
      <c r="G182" s="105"/>
      <c r="H182" s="105"/>
      <c r="I182" s="105"/>
      <c r="J182" s="148"/>
      <c r="K182" s="87" t="s">
        <v>3767</v>
      </c>
      <c r="L182" s="87" t="s">
        <v>3562</v>
      </c>
      <c r="M182" s="88"/>
      <c r="N182" s="89"/>
      <c r="O182" s="89"/>
      <c r="P182" s="89"/>
      <c r="Q182" s="89"/>
      <c r="R182" s="87"/>
      <c r="S182" s="89"/>
      <c r="T182" s="87"/>
      <c r="U182" s="87"/>
      <c r="V182" s="90"/>
      <c r="W182" s="90"/>
      <c r="X182" s="87"/>
      <c r="Y182" s="90"/>
      <c r="Z182" s="87"/>
      <c r="AA182" s="90"/>
      <c r="AB182" s="87"/>
      <c r="AC182" s="90"/>
      <c r="AD182" s="87" t="s">
        <v>3568</v>
      </c>
      <c r="AE182" s="87" t="s">
        <v>3569</v>
      </c>
      <c r="AF182" s="87"/>
      <c r="AG182" s="90"/>
    </row>
    <row r="183" spans="1:33">
      <c r="A183" s="91" t="str">
        <f t="shared" si="4"/>
        <v/>
      </c>
      <c r="B183" s="104" t="str">
        <f t="shared" si="5"/>
        <v/>
      </c>
      <c r="C183" s="88"/>
      <c r="D183" s="89"/>
      <c r="E183" s="89"/>
      <c r="F183" s="105"/>
      <c r="G183" s="105"/>
      <c r="H183" s="105"/>
      <c r="I183" s="105"/>
      <c r="J183" s="148"/>
      <c r="K183" s="91" t="s">
        <v>3767</v>
      </c>
      <c r="L183" s="91" t="s">
        <v>3562</v>
      </c>
      <c r="M183" s="88"/>
      <c r="N183" s="89"/>
      <c r="O183" s="89"/>
      <c r="P183" s="89"/>
      <c r="Q183" s="89"/>
      <c r="R183" s="91"/>
      <c r="S183" s="89"/>
      <c r="T183" s="91"/>
      <c r="U183" s="91"/>
      <c r="V183" s="92"/>
      <c r="W183" s="92"/>
      <c r="X183" s="91"/>
      <c r="Y183" s="92"/>
      <c r="Z183" s="91"/>
      <c r="AA183" s="92"/>
      <c r="AB183" s="91"/>
      <c r="AC183" s="92"/>
      <c r="AD183" s="91" t="s">
        <v>3568</v>
      </c>
      <c r="AE183" s="91" t="s">
        <v>3569</v>
      </c>
      <c r="AF183" s="91"/>
      <c r="AG183" s="92"/>
    </row>
    <row r="184" spans="1:33">
      <c r="A184" s="87" t="str">
        <f t="shared" si="4"/>
        <v/>
      </c>
      <c r="B184" s="103" t="str">
        <f t="shared" si="5"/>
        <v/>
      </c>
      <c r="C184" s="88"/>
      <c r="D184" s="89"/>
      <c r="E184" s="89"/>
      <c r="F184" s="105"/>
      <c r="G184" s="105"/>
      <c r="H184" s="105"/>
      <c r="I184" s="105"/>
      <c r="J184" s="148"/>
      <c r="K184" s="87" t="s">
        <v>3767</v>
      </c>
      <c r="L184" s="87" t="s">
        <v>3562</v>
      </c>
      <c r="M184" s="88"/>
      <c r="N184" s="89"/>
      <c r="O184" s="89"/>
      <c r="P184" s="89"/>
      <c r="Q184" s="89"/>
      <c r="R184" s="87"/>
      <c r="S184" s="89"/>
      <c r="T184" s="87"/>
      <c r="U184" s="87"/>
      <c r="V184" s="90"/>
      <c r="W184" s="90"/>
      <c r="X184" s="87"/>
      <c r="Y184" s="90"/>
      <c r="Z184" s="87"/>
      <c r="AA184" s="90"/>
      <c r="AB184" s="87"/>
      <c r="AC184" s="90"/>
      <c r="AD184" s="87" t="s">
        <v>3568</v>
      </c>
      <c r="AE184" s="87" t="s">
        <v>3569</v>
      </c>
      <c r="AF184" s="87"/>
      <c r="AG184" s="90"/>
    </row>
    <row r="185" spans="1:33">
      <c r="A185" s="91" t="str">
        <f t="shared" si="4"/>
        <v/>
      </c>
      <c r="B185" s="104" t="str">
        <f t="shared" si="5"/>
        <v/>
      </c>
      <c r="C185" s="88"/>
      <c r="D185" s="89"/>
      <c r="E185" s="89"/>
      <c r="F185" s="105"/>
      <c r="G185" s="105"/>
      <c r="H185" s="105"/>
      <c r="I185" s="105"/>
      <c r="J185" s="148"/>
      <c r="K185" s="91" t="s">
        <v>3767</v>
      </c>
      <c r="L185" s="91" t="s">
        <v>3562</v>
      </c>
      <c r="M185" s="88"/>
      <c r="N185" s="89"/>
      <c r="O185" s="89"/>
      <c r="P185" s="89"/>
      <c r="Q185" s="89"/>
      <c r="R185" s="91"/>
      <c r="S185" s="89"/>
      <c r="T185" s="91"/>
      <c r="U185" s="91"/>
      <c r="V185" s="92"/>
      <c r="W185" s="92"/>
      <c r="X185" s="91"/>
      <c r="Y185" s="92"/>
      <c r="Z185" s="91"/>
      <c r="AA185" s="92"/>
      <c r="AB185" s="91"/>
      <c r="AC185" s="92"/>
      <c r="AD185" s="91" t="s">
        <v>3568</v>
      </c>
      <c r="AE185" s="91" t="s">
        <v>3569</v>
      </c>
      <c r="AF185" s="91"/>
      <c r="AG185" s="92"/>
    </row>
    <row r="186" spans="1:33">
      <c r="A186" s="87" t="str">
        <f t="shared" si="4"/>
        <v/>
      </c>
      <c r="B186" s="103" t="str">
        <f t="shared" si="5"/>
        <v/>
      </c>
      <c r="C186" s="88"/>
      <c r="D186" s="89"/>
      <c r="E186" s="89"/>
      <c r="F186" s="105"/>
      <c r="G186" s="105"/>
      <c r="H186" s="105"/>
      <c r="I186" s="105"/>
      <c r="J186" s="148"/>
      <c r="K186" s="87" t="s">
        <v>3767</v>
      </c>
      <c r="L186" s="87" t="s">
        <v>3562</v>
      </c>
      <c r="M186" s="88"/>
      <c r="N186" s="89"/>
      <c r="O186" s="89"/>
      <c r="P186" s="89"/>
      <c r="Q186" s="89"/>
      <c r="R186" s="87"/>
      <c r="S186" s="89"/>
      <c r="T186" s="87"/>
      <c r="U186" s="87"/>
      <c r="V186" s="90"/>
      <c r="W186" s="90"/>
      <c r="X186" s="87"/>
      <c r="Y186" s="90"/>
      <c r="Z186" s="87"/>
      <c r="AA186" s="90"/>
      <c r="AB186" s="87"/>
      <c r="AC186" s="90"/>
      <c r="AD186" s="87" t="s">
        <v>3568</v>
      </c>
      <c r="AE186" s="87" t="s">
        <v>3569</v>
      </c>
      <c r="AF186" s="87"/>
      <c r="AG186" s="90"/>
    </row>
    <row r="187" spans="1:33">
      <c r="A187" s="91" t="str">
        <f t="shared" si="4"/>
        <v/>
      </c>
      <c r="B187" s="104" t="str">
        <f t="shared" si="5"/>
        <v/>
      </c>
      <c r="C187" s="88"/>
      <c r="D187" s="89"/>
      <c r="E187" s="89"/>
      <c r="F187" s="105"/>
      <c r="G187" s="105"/>
      <c r="H187" s="105"/>
      <c r="I187" s="105"/>
      <c r="J187" s="148"/>
      <c r="K187" s="91" t="s">
        <v>3767</v>
      </c>
      <c r="L187" s="91" t="s">
        <v>3562</v>
      </c>
      <c r="M187" s="88"/>
      <c r="N187" s="89"/>
      <c r="O187" s="89"/>
      <c r="P187" s="89"/>
      <c r="Q187" s="89"/>
      <c r="R187" s="91"/>
      <c r="S187" s="89"/>
      <c r="T187" s="91"/>
      <c r="U187" s="91"/>
      <c r="V187" s="92"/>
      <c r="W187" s="92"/>
      <c r="X187" s="91"/>
      <c r="Y187" s="92"/>
      <c r="Z187" s="91"/>
      <c r="AA187" s="92"/>
      <c r="AB187" s="91"/>
      <c r="AC187" s="92"/>
      <c r="AD187" s="91" t="s">
        <v>3568</v>
      </c>
      <c r="AE187" s="91" t="s">
        <v>3569</v>
      </c>
      <c r="AF187" s="91"/>
      <c r="AG187" s="92"/>
    </row>
    <row r="188" spans="1:33">
      <c r="A188" s="87" t="str">
        <f t="shared" si="4"/>
        <v/>
      </c>
      <c r="B188" s="103" t="str">
        <f t="shared" si="5"/>
        <v/>
      </c>
      <c r="C188" s="88"/>
      <c r="D188" s="89"/>
      <c r="E188" s="89"/>
      <c r="F188" s="105"/>
      <c r="G188" s="105"/>
      <c r="H188" s="105"/>
      <c r="I188" s="105"/>
      <c r="J188" s="148"/>
      <c r="K188" s="87" t="s">
        <v>3767</v>
      </c>
      <c r="L188" s="87" t="s">
        <v>3562</v>
      </c>
      <c r="M188" s="88"/>
      <c r="N188" s="89"/>
      <c r="O188" s="89"/>
      <c r="P188" s="89"/>
      <c r="Q188" s="89"/>
      <c r="R188" s="87"/>
      <c r="S188" s="89"/>
      <c r="T188" s="87"/>
      <c r="U188" s="87"/>
      <c r="V188" s="90"/>
      <c r="W188" s="90"/>
      <c r="X188" s="87"/>
      <c r="Y188" s="90"/>
      <c r="Z188" s="87"/>
      <c r="AA188" s="90"/>
      <c r="AB188" s="87"/>
      <c r="AC188" s="90"/>
      <c r="AD188" s="87" t="s">
        <v>3568</v>
      </c>
      <c r="AE188" s="87" t="s">
        <v>3569</v>
      </c>
      <c r="AF188" s="87"/>
      <c r="AG188" s="90"/>
    </row>
    <row r="189" spans="1:33">
      <c r="A189" s="91" t="str">
        <f t="shared" si="4"/>
        <v/>
      </c>
      <c r="B189" s="104" t="str">
        <f t="shared" si="5"/>
        <v/>
      </c>
      <c r="C189" s="88"/>
      <c r="D189" s="89"/>
      <c r="E189" s="89"/>
      <c r="F189" s="105"/>
      <c r="G189" s="105"/>
      <c r="H189" s="105"/>
      <c r="I189" s="105"/>
      <c r="J189" s="148"/>
      <c r="K189" s="91" t="s">
        <v>3767</v>
      </c>
      <c r="L189" s="91" t="s">
        <v>3562</v>
      </c>
      <c r="M189" s="88"/>
      <c r="N189" s="89"/>
      <c r="O189" s="89"/>
      <c r="P189" s="89"/>
      <c r="Q189" s="89"/>
      <c r="R189" s="91"/>
      <c r="S189" s="89"/>
      <c r="T189" s="91"/>
      <c r="U189" s="91"/>
      <c r="V189" s="92"/>
      <c r="W189" s="92"/>
      <c r="X189" s="91"/>
      <c r="Y189" s="92"/>
      <c r="Z189" s="91"/>
      <c r="AA189" s="92"/>
      <c r="AB189" s="91"/>
      <c r="AC189" s="92"/>
      <c r="AD189" s="91" t="s">
        <v>3568</v>
      </c>
      <c r="AE189" s="91" t="s">
        <v>3569</v>
      </c>
      <c r="AF189" s="91"/>
      <c r="AG189" s="92"/>
    </row>
    <row r="190" spans="1:33">
      <c r="A190" s="87" t="str">
        <f t="shared" si="4"/>
        <v/>
      </c>
      <c r="B190" s="103" t="str">
        <f t="shared" si="5"/>
        <v/>
      </c>
      <c r="C190" s="88"/>
      <c r="D190" s="89"/>
      <c r="E190" s="89"/>
      <c r="F190" s="105"/>
      <c r="G190" s="105"/>
      <c r="H190" s="105"/>
      <c r="I190" s="105"/>
      <c r="J190" s="148"/>
      <c r="K190" s="87" t="s">
        <v>3767</v>
      </c>
      <c r="L190" s="87" t="s">
        <v>3562</v>
      </c>
      <c r="M190" s="88"/>
      <c r="N190" s="89"/>
      <c r="O190" s="89"/>
      <c r="P190" s="89"/>
      <c r="Q190" s="89"/>
      <c r="R190" s="87"/>
      <c r="S190" s="89"/>
      <c r="T190" s="87"/>
      <c r="U190" s="87"/>
      <c r="V190" s="90"/>
      <c r="W190" s="90"/>
      <c r="X190" s="87"/>
      <c r="Y190" s="90"/>
      <c r="Z190" s="87"/>
      <c r="AA190" s="90"/>
      <c r="AB190" s="87"/>
      <c r="AC190" s="90"/>
      <c r="AD190" s="87" t="s">
        <v>3568</v>
      </c>
      <c r="AE190" s="87" t="s">
        <v>3569</v>
      </c>
      <c r="AF190" s="87"/>
      <c r="AG190" s="90"/>
    </row>
    <row r="191" spans="1:33">
      <c r="A191" s="91" t="str">
        <f t="shared" si="4"/>
        <v/>
      </c>
      <c r="B191" s="104" t="str">
        <f t="shared" si="5"/>
        <v/>
      </c>
      <c r="C191" s="88"/>
      <c r="D191" s="89"/>
      <c r="E191" s="89"/>
      <c r="F191" s="105"/>
      <c r="G191" s="105"/>
      <c r="H191" s="105"/>
      <c r="I191" s="105"/>
      <c r="J191" s="148"/>
      <c r="K191" s="91" t="s">
        <v>3767</v>
      </c>
      <c r="L191" s="91" t="s">
        <v>3562</v>
      </c>
      <c r="M191" s="88"/>
      <c r="N191" s="89"/>
      <c r="O191" s="89"/>
      <c r="P191" s="89"/>
      <c r="Q191" s="89"/>
      <c r="R191" s="91"/>
      <c r="S191" s="89"/>
      <c r="T191" s="91"/>
      <c r="U191" s="91"/>
      <c r="V191" s="92"/>
      <c r="W191" s="92"/>
      <c r="X191" s="91"/>
      <c r="Y191" s="92"/>
      <c r="Z191" s="91"/>
      <c r="AA191" s="92"/>
      <c r="AB191" s="91"/>
      <c r="AC191" s="92"/>
      <c r="AD191" s="91" t="s">
        <v>3568</v>
      </c>
      <c r="AE191" s="91" t="s">
        <v>3569</v>
      </c>
      <c r="AF191" s="91"/>
      <c r="AG191" s="92"/>
    </row>
    <row r="192" spans="1:33">
      <c r="A192" s="87" t="str">
        <f t="shared" si="4"/>
        <v/>
      </c>
      <c r="B192" s="103" t="str">
        <f t="shared" si="5"/>
        <v/>
      </c>
      <c r="C192" s="88"/>
      <c r="D192" s="89"/>
      <c r="E192" s="89"/>
      <c r="F192" s="105"/>
      <c r="G192" s="105"/>
      <c r="H192" s="105"/>
      <c r="I192" s="105"/>
      <c r="J192" s="148"/>
      <c r="K192" s="87" t="s">
        <v>3767</v>
      </c>
      <c r="L192" s="87" t="s">
        <v>3562</v>
      </c>
      <c r="M192" s="88"/>
      <c r="N192" s="89"/>
      <c r="O192" s="89"/>
      <c r="P192" s="89"/>
      <c r="Q192" s="89"/>
      <c r="R192" s="87"/>
      <c r="S192" s="89"/>
      <c r="T192" s="87"/>
      <c r="U192" s="87"/>
      <c r="V192" s="90"/>
      <c r="W192" s="90"/>
      <c r="X192" s="87"/>
      <c r="Y192" s="90"/>
      <c r="Z192" s="87"/>
      <c r="AA192" s="90"/>
      <c r="AB192" s="87"/>
      <c r="AC192" s="90"/>
      <c r="AD192" s="87" t="s">
        <v>3568</v>
      </c>
      <c r="AE192" s="87" t="s">
        <v>3569</v>
      </c>
      <c r="AF192" s="87"/>
      <c r="AG192" s="90"/>
    </row>
    <row r="193" spans="1:33">
      <c r="A193" s="91" t="str">
        <f t="shared" si="4"/>
        <v/>
      </c>
      <c r="B193" s="104" t="str">
        <f t="shared" si="5"/>
        <v/>
      </c>
      <c r="C193" s="88"/>
      <c r="D193" s="89"/>
      <c r="E193" s="89"/>
      <c r="F193" s="105"/>
      <c r="G193" s="105"/>
      <c r="H193" s="105"/>
      <c r="I193" s="105"/>
      <c r="J193" s="148"/>
      <c r="K193" s="91" t="s">
        <v>3767</v>
      </c>
      <c r="L193" s="91" t="s">
        <v>3562</v>
      </c>
      <c r="M193" s="88"/>
      <c r="N193" s="89"/>
      <c r="O193" s="89"/>
      <c r="P193" s="89"/>
      <c r="Q193" s="89"/>
      <c r="R193" s="91"/>
      <c r="S193" s="89"/>
      <c r="T193" s="91"/>
      <c r="U193" s="91"/>
      <c r="V193" s="92"/>
      <c r="W193" s="92"/>
      <c r="X193" s="91"/>
      <c r="Y193" s="92"/>
      <c r="Z193" s="91"/>
      <c r="AA193" s="92"/>
      <c r="AB193" s="91"/>
      <c r="AC193" s="92"/>
      <c r="AD193" s="91" t="s">
        <v>3568</v>
      </c>
      <c r="AE193" s="91" t="s">
        <v>3569</v>
      </c>
      <c r="AF193" s="91"/>
      <c r="AG193" s="92"/>
    </row>
    <row r="194" spans="1:33">
      <c r="A194" s="87" t="str">
        <f t="shared" si="4"/>
        <v/>
      </c>
      <c r="B194" s="103" t="str">
        <f t="shared" si="5"/>
        <v/>
      </c>
      <c r="C194" s="88"/>
      <c r="D194" s="89"/>
      <c r="E194" s="89"/>
      <c r="F194" s="105"/>
      <c r="G194" s="105"/>
      <c r="H194" s="105"/>
      <c r="I194" s="105"/>
      <c r="J194" s="148"/>
      <c r="K194" s="87" t="s">
        <v>3767</v>
      </c>
      <c r="L194" s="87" t="s">
        <v>3562</v>
      </c>
      <c r="M194" s="88"/>
      <c r="N194" s="89"/>
      <c r="O194" s="89"/>
      <c r="P194" s="89"/>
      <c r="Q194" s="89"/>
      <c r="R194" s="87"/>
      <c r="S194" s="89"/>
      <c r="T194" s="87"/>
      <c r="U194" s="87"/>
      <c r="V194" s="90"/>
      <c r="W194" s="90"/>
      <c r="X194" s="87"/>
      <c r="Y194" s="90"/>
      <c r="Z194" s="87"/>
      <c r="AA194" s="90"/>
      <c r="AB194" s="87"/>
      <c r="AC194" s="90"/>
      <c r="AD194" s="87" t="s">
        <v>3568</v>
      </c>
      <c r="AE194" s="87" t="s">
        <v>3569</v>
      </c>
      <c r="AF194" s="87"/>
      <c r="AG194" s="90"/>
    </row>
    <row r="195" spans="1:33">
      <c r="A195" s="91" t="str">
        <f t="shared" si="4"/>
        <v/>
      </c>
      <c r="B195" s="104" t="str">
        <f t="shared" si="5"/>
        <v/>
      </c>
      <c r="C195" s="88"/>
      <c r="D195" s="89"/>
      <c r="E195" s="89"/>
      <c r="F195" s="105"/>
      <c r="G195" s="105"/>
      <c r="H195" s="105"/>
      <c r="I195" s="105"/>
      <c r="J195" s="148"/>
      <c r="K195" s="91" t="s">
        <v>3767</v>
      </c>
      <c r="L195" s="91" t="s">
        <v>3562</v>
      </c>
      <c r="M195" s="88"/>
      <c r="N195" s="89"/>
      <c r="O195" s="89"/>
      <c r="P195" s="89"/>
      <c r="Q195" s="89"/>
      <c r="R195" s="91"/>
      <c r="S195" s="89"/>
      <c r="T195" s="91"/>
      <c r="U195" s="91"/>
      <c r="V195" s="92"/>
      <c r="W195" s="92"/>
      <c r="X195" s="91"/>
      <c r="Y195" s="92"/>
      <c r="Z195" s="91"/>
      <c r="AA195" s="92"/>
      <c r="AB195" s="91"/>
      <c r="AC195" s="92"/>
      <c r="AD195" s="91" t="s">
        <v>3568</v>
      </c>
      <c r="AE195" s="91" t="s">
        <v>3569</v>
      </c>
      <c r="AF195" s="91"/>
      <c r="AG195" s="92"/>
    </row>
    <row r="196" spans="1:33">
      <c r="A196" s="87" t="str">
        <f t="shared" si="4"/>
        <v/>
      </c>
      <c r="B196" s="103" t="str">
        <f t="shared" si="5"/>
        <v/>
      </c>
      <c r="C196" s="88"/>
      <c r="D196" s="89"/>
      <c r="E196" s="89"/>
      <c r="F196" s="105"/>
      <c r="G196" s="105"/>
      <c r="H196" s="105"/>
      <c r="I196" s="105"/>
      <c r="J196" s="148"/>
      <c r="K196" s="87" t="s">
        <v>3767</v>
      </c>
      <c r="L196" s="87" t="s">
        <v>3562</v>
      </c>
      <c r="M196" s="88"/>
      <c r="N196" s="89"/>
      <c r="O196" s="89"/>
      <c r="P196" s="89"/>
      <c r="Q196" s="89"/>
      <c r="R196" s="87"/>
      <c r="S196" s="89"/>
      <c r="T196" s="87"/>
      <c r="U196" s="87"/>
      <c r="V196" s="90"/>
      <c r="W196" s="90"/>
      <c r="X196" s="87"/>
      <c r="Y196" s="90"/>
      <c r="Z196" s="87"/>
      <c r="AA196" s="90"/>
      <c r="AB196" s="87"/>
      <c r="AC196" s="90"/>
      <c r="AD196" s="87" t="s">
        <v>3568</v>
      </c>
      <c r="AE196" s="87" t="s">
        <v>3569</v>
      </c>
      <c r="AF196" s="87"/>
      <c r="AG196" s="90"/>
    </row>
    <row r="197" spans="1:33">
      <c r="A197" s="91" t="str">
        <f t="shared" si="4"/>
        <v/>
      </c>
      <c r="B197" s="104" t="str">
        <f t="shared" si="5"/>
        <v/>
      </c>
      <c r="C197" s="88"/>
      <c r="D197" s="89"/>
      <c r="E197" s="89"/>
      <c r="F197" s="105"/>
      <c r="G197" s="105"/>
      <c r="H197" s="105"/>
      <c r="I197" s="105"/>
      <c r="J197" s="148"/>
      <c r="K197" s="91" t="s">
        <v>3767</v>
      </c>
      <c r="L197" s="91" t="s">
        <v>3562</v>
      </c>
      <c r="M197" s="88"/>
      <c r="N197" s="89"/>
      <c r="O197" s="89"/>
      <c r="P197" s="89"/>
      <c r="Q197" s="89"/>
      <c r="R197" s="91"/>
      <c r="S197" s="89"/>
      <c r="T197" s="91"/>
      <c r="U197" s="91"/>
      <c r="V197" s="92"/>
      <c r="W197" s="92"/>
      <c r="X197" s="91"/>
      <c r="Y197" s="92"/>
      <c r="Z197" s="91"/>
      <c r="AA197" s="92"/>
      <c r="AB197" s="91"/>
      <c r="AC197" s="92"/>
      <c r="AD197" s="91" t="s">
        <v>3568</v>
      </c>
      <c r="AE197" s="91" t="s">
        <v>3569</v>
      </c>
      <c r="AF197" s="91"/>
      <c r="AG197" s="92"/>
    </row>
    <row r="198" spans="1:33">
      <c r="A198" s="87" t="str">
        <f t="shared" ref="A198:A261" si="6">IF(B198&lt;&gt;"",(ROW()-4),"")</f>
        <v/>
      </c>
      <c r="B198" s="103" t="str">
        <f t="shared" ref="B198:B261" si="7">IF(D198&lt;&gt;"","CASE-PMS-ADV-2026-"&amp;TEXT(ROW()-4,"000"),"")</f>
        <v/>
      </c>
      <c r="C198" s="88"/>
      <c r="D198" s="89"/>
      <c r="E198" s="89"/>
      <c r="F198" s="105"/>
      <c r="G198" s="105"/>
      <c r="H198" s="105"/>
      <c r="I198" s="105"/>
      <c r="J198" s="148"/>
      <c r="K198" s="87" t="s">
        <v>3767</v>
      </c>
      <c r="L198" s="87" t="s">
        <v>3562</v>
      </c>
      <c r="M198" s="88"/>
      <c r="N198" s="89"/>
      <c r="O198" s="89"/>
      <c r="P198" s="89"/>
      <c r="Q198" s="89"/>
      <c r="R198" s="87"/>
      <c r="S198" s="89"/>
      <c r="T198" s="87"/>
      <c r="U198" s="87"/>
      <c r="V198" s="90"/>
      <c r="W198" s="90"/>
      <c r="X198" s="87"/>
      <c r="Y198" s="90"/>
      <c r="Z198" s="87"/>
      <c r="AA198" s="90"/>
      <c r="AB198" s="87"/>
      <c r="AC198" s="90"/>
      <c r="AD198" s="87" t="s">
        <v>3568</v>
      </c>
      <c r="AE198" s="87" t="s">
        <v>3569</v>
      </c>
      <c r="AF198" s="87"/>
      <c r="AG198" s="90"/>
    </row>
    <row r="199" spans="1:33">
      <c r="A199" s="91" t="str">
        <f t="shared" si="6"/>
        <v/>
      </c>
      <c r="B199" s="104" t="str">
        <f t="shared" si="7"/>
        <v/>
      </c>
      <c r="C199" s="88"/>
      <c r="D199" s="89"/>
      <c r="E199" s="89"/>
      <c r="F199" s="105"/>
      <c r="G199" s="105"/>
      <c r="H199" s="105"/>
      <c r="I199" s="105"/>
      <c r="J199" s="148"/>
      <c r="K199" s="91" t="s">
        <v>3767</v>
      </c>
      <c r="L199" s="91" t="s">
        <v>3562</v>
      </c>
      <c r="M199" s="88"/>
      <c r="N199" s="89"/>
      <c r="O199" s="89"/>
      <c r="P199" s="89"/>
      <c r="Q199" s="89"/>
      <c r="R199" s="91"/>
      <c r="S199" s="89"/>
      <c r="T199" s="91"/>
      <c r="U199" s="91"/>
      <c r="V199" s="92"/>
      <c r="W199" s="92"/>
      <c r="X199" s="91"/>
      <c r="Y199" s="92"/>
      <c r="Z199" s="91"/>
      <c r="AA199" s="92"/>
      <c r="AB199" s="91"/>
      <c r="AC199" s="92"/>
      <c r="AD199" s="91" t="s">
        <v>3568</v>
      </c>
      <c r="AE199" s="91" t="s">
        <v>3569</v>
      </c>
      <c r="AF199" s="91"/>
      <c r="AG199" s="92"/>
    </row>
    <row r="200" spans="1:33">
      <c r="A200" s="87" t="str">
        <f t="shared" si="6"/>
        <v/>
      </c>
      <c r="B200" s="103" t="str">
        <f t="shared" si="7"/>
        <v/>
      </c>
      <c r="C200" s="88"/>
      <c r="D200" s="89"/>
      <c r="E200" s="89"/>
      <c r="F200" s="105"/>
      <c r="G200" s="105"/>
      <c r="H200" s="105"/>
      <c r="I200" s="105"/>
      <c r="J200" s="148"/>
      <c r="K200" s="87" t="s">
        <v>3767</v>
      </c>
      <c r="L200" s="87" t="s">
        <v>3562</v>
      </c>
      <c r="M200" s="88"/>
      <c r="N200" s="89"/>
      <c r="O200" s="89"/>
      <c r="P200" s="89"/>
      <c r="Q200" s="89"/>
      <c r="R200" s="87"/>
      <c r="S200" s="89"/>
      <c r="T200" s="87"/>
      <c r="U200" s="87"/>
      <c r="V200" s="90"/>
      <c r="W200" s="90"/>
      <c r="X200" s="87"/>
      <c r="Y200" s="90"/>
      <c r="Z200" s="87"/>
      <c r="AA200" s="90"/>
      <c r="AB200" s="87"/>
      <c r="AC200" s="90"/>
      <c r="AD200" s="87" t="s">
        <v>3568</v>
      </c>
      <c r="AE200" s="87" t="s">
        <v>3569</v>
      </c>
      <c r="AF200" s="87"/>
      <c r="AG200" s="90"/>
    </row>
    <row r="201" spans="1:33">
      <c r="A201" s="91" t="str">
        <f t="shared" si="6"/>
        <v/>
      </c>
      <c r="B201" s="104" t="str">
        <f t="shared" si="7"/>
        <v/>
      </c>
      <c r="C201" s="88"/>
      <c r="D201" s="89"/>
      <c r="E201" s="89"/>
      <c r="F201" s="105"/>
      <c r="G201" s="105"/>
      <c r="H201" s="105"/>
      <c r="I201" s="105"/>
      <c r="J201" s="148"/>
      <c r="K201" s="91" t="s">
        <v>3767</v>
      </c>
      <c r="L201" s="91" t="s">
        <v>3562</v>
      </c>
      <c r="M201" s="88"/>
      <c r="N201" s="89"/>
      <c r="O201" s="89"/>
      <c r="P201" s="89"/>
      <c r="Q201" s="89"/>
      <c r="R201" s="91"/>
      <c r="S201" s="89"/>
      <c r="T201" s="91"/>
      <c r="U201" s="91"/>
      <c r="V201" s="92"/>
      <c r="W201" s="92"/>
      <c r="X201" s="91"/>
      <c r="Y201" s="92"/>
      <c r="Z201" s="91"/>
      <c r="AA201" s="92"/>
      <c r="AB201" s="91"/>
      <c r="AC201" s="92"/>
      <c r="AD201" s="91" t="s">
        <v>3568</v>
      </c>
      <c r="AE201" s="91" t="s">
        <v>3569</v>
      </c>
      <c r="AF201" s="91"/>
      <c r="AG201" s="92"/>
    </row>
    <row r="202" spans="1:33">
      <c r="A202" s="87" t="str">
        <f t="shared" si="6"/>
        <v/>
      </c>
      <c r="B202" s="103" t="str">
        <f t="shared" si="7"/>
        <v/>
      </c>
      <c r="C202" s="88"/>
      <c r="D202" s="89"/>
      <c r="E202" s="89"/>
      <c r="F202" s="105"/>
      <c r="G202" s="105"/>
      <c r="H202" s="105"/>
      <c r="I202" s="105"/>
      <c r="J202" s="148"/>
      <c r="K202" s="87" t="s">
        <v>3767</v>
      </c>
      <c r="L202" s="87" t="s">
        <v>3562</v>
      </c>
      <c r="M202" s="88"/>
      <c r="N202" s="89"/>
      <c r="O202" s="89"/>
      <c r="P202" s="89"/>
      <c r="Q202" s="89"/>
      <c r="R202" s="87"/>
      <c r="S202" s="89"/>
      <c r="T202" s="87"/>
      <c r="U202" s="87"/>
      <c r="V202" s="90"/>
      <c r="W202" s="90"/>
      <c r="X202" s="87"/>
      <c r="Y202" s="90"/>
      <c r="Z202" s="87"/>
      <c r="AA202" s="90"/>
      <c r="AB202" s="87"/>
      <c r="AC202" s="90"/>
      <c r="AD202" s="87" t="s">
        <v>3568</v>
      </c>
      <c r="AE202" s="87" t="s">
        <v>3569</v>
      </c>
      <c r="AF202" s="87"/>
      <c r="AG202" s="90"/>
    </row>
    <row r="203" spans="1:33">
      <c r="A203" s="91" t="str">
        <f t="shared" si="6"/>
        <v/>
      </c>
      <c r="B203" s="104" t="str">
        <f t="shared" si="7"/>
        <v/>
      </c>
      <c r="C203" s="88"/>
      <c r="D203" s="89"/>
      <c r="E203" s="89"/>
      <c r="F203" s="105"/>
      <c r="G203" s="105"/>
      <c r="H203" s="105"/>
      <c r="I203" s="105"/>
      <c r="J203" s="148"/>
      <c r="K203" s="91" t="s">
        <v>3767</v>
      </c>
      <c r="L203" s="91" t="s">
        <v>3562</v>
      </c>
      <c r="M203" s="88"/>
      <c r="N203" s="89"/>
      <c r="O203" s="89"/>
      <c r="P203" s="89"/>
      <c r="Q203" s="89"/>
      <c r="R203" s="91"/>
      <c r="S203" s="89"/>
      <c r="T203" s="91"/>
      <c r="U203" s="91"/>
      <c r="V203" s="92"/>
      <c r="W203" s="92"/>
      <c r="X203" s="91"/>
      <c r="Y203" s="92"/>
      <c r="Z203" s="91"/>
      <c r="AA203" s="92"/>
      <c r="AB203" s="91"/>
      <c r="AC203" s="92"/>
      <c r="AD203" s="91" t="s">
        <v>3568</v>
      </c>
      <c r="AE203" s="91" t="s">
        <v>3569</v>
      </c>
      <c r="AF203" s="91"/>
      <c r="AG203" s="92"/>
    </row>
    <row r="204" spans="1:33">
      <c r="A204" s="87" t="str">
        <f t="shared" si="6"/>
        <v/>
      </c>
      <c r="B204" s="103" t="str">
        <f t="shared" si="7"/>
        <v/>
      </c>
      <c r="C204" s="88"/>
      <c r="D204" s="89"/>
      <c r="E204" s="89"/>
      <c r="F204" s="105"/>
      <c r="G204" s="105"/>
      <c r="H204" s="105"/>
      <c r="I204" s="105"/>
      <c r="J204" s="148"/>
      <c r="K204" s="87" t="s">
        <v>3767</v>
      </c>
      <c r="L204" s="87" t="s">
        <v>3562</v>
      </c>
      <c r="M204" s="88"/>
      <c r="N204" s="89"/>
      <c r="O204" s="89"/>
      <c r="P204" s="89"/>
      <c r="Q204" s="89"/>
      <c r="R204" s="87"/>
      <c r="S204" s="89"/>
      <c r="T204" s="87"/>
      <c r="U204" s="87"/>
      <c r="V204" s="90"/>
      <c r="W204" s="90"/>
      <c r="X204" s="87"/>
      <c r="Y204" s="90"/>
      <c r="Z204" s="87"/>
      <c r="AA204" s="90"/>
      <c r="AB204" s="87"/>
      <c r="AC204" s="90"/>
      <c r="AD204" s="87" t="s">
        <v>3568</v>
      </c>
      <c r="AE204" s="87" t="s">
        <v>3569</v>
      </c>
      <c r="AF204" s="87"/>
      <c r="AG204" s="90"/>
    </row>
    <row r="205" spans="1:33">
      <c r="A205" s="91" t="str">
        <f t="shared" si="6"/>
        <v/>
      </c>
      <c r="B205" s="104" t="str">
        <f t="shared" si="7"/>
        <v/>
      </c>
      <c r="C205" s="88"/>
      <c r="D205" s="89"/>
      <c r="E205" s="89"/>
      <c r="F205" s="105"/>
      <c r="G205" s="105"/>
      <c r="H205" s="105"/>
      <c r="I205" s="105"/>
      <c r="J205" s="148"/>
      <c r="K205" s="91" t="s">
        <v>3767</v>
      </c>
      <c r="L205" s="91" t="s">
        <v>3562</v>
      </c>
      <c r="M205" s="88"/>
      <c r="N205" s="89"/>
      <c r="O205" s="89"/>
      <c r="P205" s="89"/>
      <c r="Q205" s="89"/>
      <c r="R205" s="91"/>
      <c r="S205" s="89"/>
      <c r="T205" s="91"/>
      <c r="U205" s="91"/>
      <c r="V205" s="92"/>
      <c r="W205" s="92"/>
      <c r="X205" s="91"/>
      <c r="Y205" s="92"/>
      <c r="Z205" s="91"/>
      <c r="AA205" s="92"/>
      <c r="AB205" s="91"/>
      <c r="AC205" s="92"/>
      <c r="AD205" s="91" t="s">
        <v>3568</v>
      </c>
      <c r="AE205" s="91" t="s">
        <v>3569</v>
      </c>
      <c r="AF205" s="91"/>
      <c r="AG205" s="92"/>
    </row>
    <row r="206" spans="1:33">
      <c r="A206" s="87" t="str">
        <f t="shared" si="6"/>
        <v/>
      </c>
      <c r="B206" s="103" t="str">
        <f t="shared" si="7"/>
        <v/>
      </c>
      <c r="C206" s="88"/>
      <c r="D206" s="89"/>
      <c r="E206" s="89"/>
      <c r="F206" s="105"/>
      <c r="G206" s="105"/>
      <c r="H206" s="105"/>
      <c r="I206" s="105"/>
      <c r="J206" s="148"/>
      <c r="K206" s="87" t="s">
        <v>3767</v>
      </c>
      <c r="L206" s="87" t="s">
        <v>3562</v>
      </c>
      <c r="M206" s="88"/>
      <c r="N206" s="89"/>
      <c r="O206" s="89"/>
      <c r="P206" s="89"/>
      <c r="Q206" s="89"/>
      <c r="R206" s="87"/>
      <c r="S206" s="89"/>
      <c r="T206" s="87"/>
      <c r="U206" s="87"/>
      <c r="V206" s="90"/>
      <c r="W206" s="90"/>
      <c r="X206" s="87"/>
      <c r="Y206" s="90"/>
      <c r="Z206" s="87"/>
      <c r="AA206" s="90"/>
      <c r="AB206" s="87"/>
      <c r="AC206" s="90"/>
      <c r="AD206" s="87" t="s">
        <v>3568</v>
      </c>
      <c r="AE206" s="87" t="s">
        <v>3569</v>
      </c>
      <c r="AF206" s="87"/>
      <c r="AG206" s="90"/>
    </row>
    <row r="207" spans="1:33">
      <c r="A207" s="91" t="str">
        <f t="shared" si="6"/>
        <v/>
      </c>
      <c r="B207" s="104" t="str">
        <f t="shared" si="7"/>
        <v/>
      </c>
      <c r="C207" s="88"/>
      <c r="D207" s="89"/>
      <c r="E207" s="89"/>
      <c r="F207" s="105"/>
      <c r="G207" s="105"/>
      <c r="H207" s="105"/>
      <c r="I207" s="105"/>
      <c r="J207" s="148"/>
      <c r="K207" s="91" t="s">
        <v>3767</v>
      </c>
      <c r="L207" s="91" t="s">
        <v>3562</v>
      </c>
      <c r="M207" s="88"/>
      <c r="N207" s="89"/>
      <c r="O207" s="89"/>
      <c r="P207" s="89"/>
      <c r="Q207" s="89"/>
      <c r="R207" s="91"/>
      <c r="S207" s="89"/>
      <c r="T207" s="91"/>
      <c r="U207" s="91"/>
      <c r="V207" s="92"/>
      <c r="W207" s="92"/>
      <c r="X207" s="91"/>
      <c r="Y207" s="92"/>
      <c r="Z207" s="91"/>
      <c r="AA207" s="92"/>
      <c r="AB207" s="91"/>
      <c r="AC207" s="92"/>
      <c r="AD207" s="91" t="s">
        <v>3568</v>
      </c>
      <c r="AE207" s="91" t="s">
        <v>3569</v>
      </c>
      <c r="AF207" s="91"/>
      <c r="AG207" s="92"/>
    </row>
    <row r="208" spans="1:33">
      <c r="A208" s="87" t="str">
        <f t="shared" si="6"/>
        <v/>
      </c>
      <c r="B208" s="103" t="str">
        <f t="shared" si="7"/>
        <v/>
      </c>
      <c r="C208" s="88"/>
      <c r="D208" s="89"/>
      <c r="E208" s="89"/>
      <c r="F208" s="105"/>
      <c r="G208" s="105"/>
      <c r="H208" s="105"/>
      <c r="I208" s="105"/>
      <c r="J208" s="148"/>
      <c r="K208" s="87" t="s">
        <v>3767</v>
      </c>
      <c r="L208" s="87" t="s">
        <v>3562</v>
      </c>
      <c r="M208" s="88"/>
      <c r="N208" s="89"/>
      <c r="O208" s="89"/>
      <c r="P208" s="89"/>
      <c r="Q208" s="89"/>
      <c r="R208" s="87"/>
      <c r="S208" s="89"/>
      <c r="T208" s="87"/>
      <c r="U208" s="87"/>
      <c r="V208" s="90"/>
      <c r="W208" s="90"/>
      <c r="X208" s="87"/>
      <c r="Y208" s="90"/>
      <c r="Z208" s="87"/>
      <c r="AA208" s="90"/>
      <c r="AB208" s="87"/>
      <c r="AC208" s="90"/>
      <c r="AD208" s="87" t="s">
        <v>3568</v>
      </c>
      <c r="AE208" s="87" t="s">
        <v>3569</v>
      </c>
      <c r="AF208" s="87"/>
      <c r="AG208" s="90"/>
    </row>
    <row r="209" spans="1:33">
      <c r="A209" s="91" t="str">
        <f t="shared" si="6"/>
        <v/>
      </c>
      <c r="B209" s="104" t="str">
        <f t="shared" si="7"/>
        <v/>
      </c>
      <c r="C209" s="88"/>
      <c r="D209" s="89"/>
      <c r="E209" s="89"/>
      <c r="F209" s="105"/>
      <c r="G209" s="105"/>
      <c r="H209" s="105"/>
      <c r="I209" s="105"/>
      <c r="J209" s="148"/>
      <c r="K209" s="91" t="s">
        <v>3767</v>
      </c>
      <c r="L209" s="91" t="s">
        <v>3562</v>
      </c>
      <c r="M209" s="88"/>
      <c r="N209" s="89"/>
      <c r="O209" s="89"/>
      <c r="P209" s="89"/>
      <c r="Q209" s="89"/>
      <c r="R209" s="91"/>
      <c r="S209" s="89"/>
      <c r="T209" s="91"/>
      <c r="U209" s="91"/>
      <c r="V209" s="92"/>
      <c r="W209" s="92"/>
      <c r="X209" s="91"/>
      <c r="Y209" s="92"/>
      <c r="Z209" s="91"/>
      <c r="AA209" s="92"/>
      <c r="AB209" s="91"/>
      <c r="AC209" s="92"/>
      <c r="AD209" s="91" t="s">
        <v>3568</v>
      </c>
      <c r="AE209" s="91" t="s">
        <v>3569</v>
      </c>
      <c r="AF209" s="91"/>
      <c r="AG209" s="92"/>
    </row>
    <row r="210" spans="1:33">
      <c r="A210" s="87" t="str">
        <f t="shared" si="6"/>
        <v/>
      </c>
      <c r="B210" s="103" t="str">
        <f t="shared" si="7"/>
        <v/>
      </c>
      <c r="C210" s="88"/>
      <c r="D210" s="89"/>
      <c r="E210" s="89"/>
      <c r="F210" s="105"/>
      <c r="G210" s="105"/>
      <c r="H210" s="105"/>
      <c r="I210" s="105"/>
      <c r="J210" s="148"/>
      <c r="K210" s="87" t="s">
        <v>3767</v>
      </c>
      <c r="L210" s="87" t="s">
        <v>3562</v>
      </c>
      <c r="M210" s="88"/>
      <c r="N210" s="89"/>
      <c r="O210" s="89"/>
      <c r="P210" s="89"/>
      <c r="Q210" s="89"/>
      <c r="R210" s="87"/>
      <c r="S210" s="89"/>
      <c r="T210" s="87"/>
      <c r="U210" s="87"/>
      <c r="V210" s="90"/>
      <c r="W210" s="90"/>
      <c r="X210" s="87"/>
      <c r="Y210" s="90"/>
      <c r="Z210" s="87"/>
      <c r="AA210" s="90"/>
      <c r="AB210" s="87"/>
      <c r="AC210" s="90"/>
      <c r="AD210" s="87" t="s">
        <v>3568</v>
      </c>
      <c r="AE210" s="87" t="s">
        <v>3569</v>
      </c>
      <c r="AF210" s="87"/>
      <c r="AG210" s="90"/>
    </row>
    <row r="211" spans="1:33">
      <c r="A211" s="91" t="str">
        <f t="shared" si="6"/>
        <v/>
      </c>
      <c r="B211" s="104" t="str">
        <f t="shared" si="7"/>
        <v/>
      </c>
      <c r="C211" s="88"/>
      <c r="D211" s="89"/>
      <c r="E211" s="89"/>
      <c r="F211" s="105"/>
      <c r="G211" s="105"/>
      <c r="H211" s="105"/>
      <c r="I211" s="105"/>
      <c r="J211" s="148"/>
      <c r="K211" s="91" t="s">
        <v>3767</v>
      </c>
      <c r="L211" s="91" t="s">
        <v>3562</v>
      </c>
      <c r="M211" s="88"/>
      <c r="N211" s="89"/>
      <c r="O211" s="89"/>
      <c r="P211" s="89"/>
      <c r="Q211" s="89"/>
      <c r="R211" s="91"/>
      <c r="S211" s="89"/>
      <c r="T211" s="91"/>
      <c r="U211" s="91"/>
      <c r="V211" s="92"/>
      <c r="W211" s="92"/>
      <c r="X211" s="91"/>
      <c r="Y211" s="92"/>
      <c r="Z211" s="91"/>
      <c r="AA211" s="92"/>
      <c r="AB211" s="91"/>
      <c r="AC211" s="92"/>
      <c r="AD211" s="91" t="s">
        <v>3568</v>
      </c>
      <c r="AE211" s="91" t="s">
        <v>3569</v>
      </c>
      <c r="AF211" s="91"/>
      <c r="AG211" s="92"/>
    </row>
    <row r="212" spans="1:33">
      <c r="A212" s="87" t="str">
        <f t="shared" si="6"/>
        <v/>
      </c>
      <c r="B212" s="103" t="str">
        <f t="shared" si="7"/>
        <v/>
      </c>
      <c r="C212" s="88"/>
      <c r="D212" s="89"/>
      <c r="E212" s="89"/>
      <c r="F212" s="105"/>
      <c r="G212" s="105"/>
      <c r="H212" s="105"/>
      <c r="I212" s="105"/>
      <c r="J212" s="148"/>
      <c r="K212" s="87" t="s">
        <v>3767</v>
      </c>
      <c r="L212" s="87" t="s">
        <v>3562</v>
      </c>
      <c r="M212" s="88"/>
      <c r="N212" s="89"/>
      <c r="O212" s="89"/>
      <c r="P212" s="89"/>
      <c r="Q212" s="89"/>
      <c r="R212" s="87"/>
      <c r="S212" s="89"/>
      <c r="T212" s="87"/>
      <c r="U212" s="87"/>
      <c r="V212" s="90"/>
      <c r="W212" s="90"/>
      <c r="X212" s="87"/>
      <c r="Y212" s="90"/>
      <c r="Z212" s="87"/>
      <c r="AA212" s="90"/>
      <c r="AB212" s="87"/>
      <c r="AC212" s="90"/>
      <c r="AD212" s="87" t="s">
        <v>3568</v>
      </c>
      <c r="AE212" s="87" t="s">
        <v>3569</v>
      </c>
      <c r="AF212" s="87"/>
      <c r="AG212" s="90"/>
    </row>
    <row r="213" spans="1:33">
      <c r="A213" s="91" t="str">
        <f t="shared" si="6"/>
        <v/>
      </c>
      <c r="B213" s="104" t="str">
        <f t="shared" si="7"/>
        <v/>
      </c>
      <c r="C213" s="88"/>
      <c r="D213" s="89"/>
      <c r="E213" s="89"/>
      <c r="F213" s="105"/>
      <c r="G213" s="105"/>
      <c r="H213" s="105"/>
      <c r="I213" s="105"/>
      <c r="J213" s="148"/>
      <c r="K213" s="91" t="s">
        <v>3767</v>
      </c>
      <c r="L213" s="91" t="s">
        <v>3562</v>
      </c>
      <c r="M213" s="88"/>
      <c r="N213" s="89"/>
      <c r="O213" s="89"/>
      <c r="P213" s="89"/>
      <c r="Q213" s="89"/>
      <c r="R213" s="91"/>
      <c r="S213" s="89"/>
      <c r="T213" s="91"/>
      <c r="U213" s="91"/>
      <c r="V213" s="92"/>
      <c r="W213" s="92"/>
      <c r="X213" s="91"/>
      <c r="Y213" s="92"/>
      <c r="Z213" s="91"/>
      <c r="AA213" s="92"/>
      <c r="AB213" s="91"/>
      <c r="AC213" s="92"/>
      <c r="AD213" s="91" t="s">
        <v>3568</v>
      </c>
      <c r="AE213" s="91" t="s">
        <v>3569</v>
      </c>
      <c r="AF213" s="91"/>
      <c r="AG213" s="92"/>
    </row>
    <row r="214" spans="1:33">
      <c r="A214" s="87" t="str">
        <f t="shared" si="6"/>
        <v/>
      </c>
      <c r="B214" s="103" t="str">
        <f t="shared" si="7"/>
        <v/>
      </c>
      <c r="C214" s="88"/>
      <c r="D214" s="89"/>
      <c r="E214" s="89"/>
      <c r="F214" s="105"/>
      <c r="G214" s="105"/>
      <c r="H214" s="105"/>
      <c r="I214" s="105"/>
      <c r="J214" s="148"/>
      <c r="K214" s="87" t="s">
        <v>3767</v>
      </c>
      <c r="L214" s="87" t="s">
        <v>3562</v>
      </c>
      <c r="M214" s="88"/>
      <c r="N214" s="89"/>
      <c r="O214" s="89"/>
      <c r="P214" s="89"/>
      <c r="Q214" s="89"/>
      <c r="R214" s="87"/>
      <c r="S214" s="89"/>
      <c r="T214" s="87"/>
      <c r="U214" s="87"/>
      <c r="V214" s="90"/>
      <c r="W214" s="90"/>
      <c r="X214" s="87"/>
      <c r="Y214" s="90"/>
      <c r="Z214" s="87"/>
      <c r="AA214" s="90"/>
      <c r="AB214" s="87"/>
      <c r="AC214" s="90"/>
      <c r="AD214" s="87" t="s">
        <v>3568</v>
      </c>
      <c r="AE214" s="87" t="s">
        <v>3569</v>
      </c>
      <c r="AF214" s="87"/>
      <c r="AG214" s="90"/>
    </row>
    <row r="215" spans="1:33">
      <c r="A215" s="91" t="str">
        <f t="shared" si="6"/>
        <v/>
      </c>
      <c r="B215" s="104" t="str">
        <f t="shared" si="7"/>
        <v/>
      </c>
      <c r="C215" s="88"/>
      <c r="D215" s="89"/>
      <c r="E215" s="89"/>
      <c r="F215" s="105"/>
      <c r="G215" s="105"/>
      <c r="H215" s="105"/>
      <c r="I215" s="105"/>
      <c r="J215" s="148"/>
      <c r="K215" s="91" t="s">
        <v>3767</v>
      </c>
      <c r="L215" s="91" t="s">
        <v>3562</v>
      </c>
      <c r="M215" s="88"/>
      <c r="N215" s="89"/>
      <c r="O215" s="89"/>
      <c r="P215" s="89"/>
      <c r="Q215" s="89"/>
      <c r="R215" s="91"/>
      <c r="S215" s="89"/>
      <c r="T215" s="91"/>
      <c r="U215" s="91"/>
      <c r="V215" s="92"/>
      <c r="W215" s="92"/>
      <c r="X215" s="91"/>
      <c r="Y215" s="92"/>
      <c r="Z215" s="91"/>
      <c r="AA215" s="92"/>
      <c r="AB215" s="91"/>
      <c r="AC215" s="92"/>
      <c r="AD215" s="91" t="s">
        <v>3568</v>
      </c>
      <c r="AE215" s="91" t="s">
        <v>3569</v>
      </c>
      <c r="AF215" s="91"/>
      <c r="AG215" s="92"/>
    </row>
    <row r="216" spans="1:33">
      <c r="A216" s="87" t="str">
        <f t="shared" si="6"/>
        <v/>
      </c>
      <c r="B216" s="103" t="str">
        <f t="shared" si="7"/>
        <v/>
      </c>
      <c r="C216" s="88"/>
      <c r="D216" s="89"/>
      <c r="E216" s="89"/>
      <c r="F216" s="105"/>
      <c r="G216" s="105"/>
      <c r="H216" s="105"/>
      <c r="I216" s="105"/>
      <c r="J216" s="148"/>
      <c r="K216" s="87" t="s">
        <v>3767</v>
      </c>
      <c r="L216" s="87" t="s">
        <v>3562</v>
      </c>
      <c r="M216" s="88"/>
      <c r="N216" s="89"/>
      <c r="O216" s="89"/>
      <c r="P216" s="89"/>
      <c r="Q216" s="89"/>
      <c r="R216" s="87"/>
      <c r="S216" s="89"/>
      <c r="T216" s="87"/>
      <c r="U216" s="87"/>
      <c r="V216" s="90"/>
      <c r="W216" s="90"/>
      <c r="X216" s="87"/>
      <c r="Y216" s="90"/>
      <c r="Z216" s="87"/>
      <c r="AA216" s="90"/>
      <c r="AB216" s="87"/>
      <c r="AC216" s="90"/>
      <c r="AD216" s="87" t="s">
        <v>3568</v>
      </c>
      <c r="AE216" s="87" t="s">
        <v>3569</v>
      </c>
      <c r="AF216" s="87"/>
      <c r="AG216" s="90"/>
    </row>
    <row r="217" spans="1:33">
      <c r="A217" s="91" t="str">
        <f t="shared" si="6"/>
        <v/>
      </c>
      <c r="B217" s="104" t="str">
        <f t="shared" si="7"/>
        <v/>
      </c>
      <c r="C217" s="88"/>
      <c r="D217" s="89"/>
      <c r="E217" s="89"/>
      <c r="F217" s="105"/>
      <c r="G217" s="105"/>
      <c r="H217" s="105"/>
      <c r="I217" s="105"/>
      <c r="J217" s="148"/>
      <c r="K217" s="91" t="s">
        <v>3767</v>
      </c>
      <c r="L217" s="91" t="s">
        <v>3562</v>
      </c>
      <c r="M217" s="88"/>
      <c r="N217" s="89"/>
      <c r="O217" s="89"/>
      <c r="P217" s="89"/>
      <c r="Q217" s="89"/>
      <c r="R217" s="91"/>
      <c r="S217" s="89"/>
      <c r="T217" s="91"/>
      <c r="U217" s="91"/>
      <c r="V217" s="92"/>
      <c r="W217" s="92"/>
      <c r="X217" s="91"/>
      <c r="Y217" s="92"/>
      <c r="Z217" s="91"/>
      <c r="AA217" s="92"/>
      <c r="AB217" s="91"/>
      <c r="AC217" s="92"/>
      <c r="AD217" s="91" t="s">
        <v>3568</v>
      </c>
      <c r="AE217" s="91" t="s">
        <v>3569</v>
      </c>
      <c r="AF217" s="91"/>
      <c r="AG217" s="92"/>
    </row>
    <row r="218" spans="1:33">
      <c r="A218" s="87" t="str">
        <f t="shared" si="6"/>
        <v/>
      </c>
      <c r="B218" s="103" t="str">
        <f t="shared" si="7"/>
        <v/>
      </c>
      <c r="C218" s="88"/>
      <c r="D218" s="89"/>
      <c r="E218" s="89"/>
      <c r="F218" s="105"/>
      <c r="G218" s="105"/>
      <c r="H218" s="105"/>
      <c r="I218" s="105"/>
      <c r="J218" s="148"/>
      <c r="K218" s="87" t="s">
        <v>3767</v>
      </c>
      <c r="L218" s="87" t="s">
        <v>3562</v>
      </c>
      <c r="M218" s="88"/>
      <c r="N218" s="89"/>
      <c r="O218" s="89"/>
      <c r="P218" s="89"/>
      <c r="Q218" s="89"/>
      <c r="R218" s="87"/>
      <c r="S218" s="89"/>
      <c r="T218" s="87"/>
      <c r="U218" s="87"/>
      <c r="V218" s="90"/>
      <c r="W218" s="90"/>
      <c r="X218" s="87"/>
      <c r="Y218" s="90"/>
      <c r="Z218" s="87"/>
      <c r="AA218" s="90"/>
      <c r="AB218" s="87"/>
      <c r="AC218" s="90"/>
      <c r="AD218" s="87" t="s">
        <v>3568</v>
      </c>
      <c r="AE218" s="87" t="s">
        <v>3569</v>
      </c>
      <c r="AF218" s="87"/>
      <c r="AG218" s="90"/>
    </row>
    <row r="219" spans="1:33">
      <c r="A219" s="91" t="str">
        <f t="shared" si="6"/>
        <v/>
      </c>
      <c r="B219" s="104" t="str">
        <f t="shared" si="7"/>
        <v/>
      </c>
      <c r="C219" s="88"/>
      <c r="D219" s="89"/>
      <c r="E219" s="89"/>
      <c r="F219" s="105"/>
      <c r="G219" s="105"/>
      <c r="H219" s="105"/>
      <c r="I219" s="105"/>
      <c r="J219" s="148"/>
      <c r="K219" s="91" t="s">
        <v>3767</v>
      </c>
      <c r="L219" s="91" t="s">
        <v>3562</v>
      </c>
      <c r="M219" s="88"/>
      <c r="N219" s="89"/>
      <c r="O219" s="89"/>
      <c r="P219" s="89"/>
      <c r="Q219" s="89"/>
      <c r="R219" s="91"/>
      <c r="S219" s="89"/>
      <c r="T219" s="91"/>
      <c r="U219" s="91"/>
      <c r="V219" s="92"/>
      <c r="W219" s="92"/>
      <c r="X219" s="91"/>
      <c r="Y219" s="92"/>
      <c r="Z219" s="91"/>
      <c r="AA219" s="92"/>
      <c r="AB219" s="91"/>
      <c r="AC219" s="92"/>
      <c r="AD219" s="91" t="s">
        <v>3568</v>
      </c>
      <c r="AE219" s="91" t="s">
        <v>3569</v>
      </c>
      <c r="AF219" s="91"/>
      <c r="AG219" s="92"/>
    </row>
    <row r="220" spans="1:33">
      <c r="A220" s="87" t="str">
        <f t="shared" si="6"/>
        <v/>
      </c>
      <c r="B220" s="103" t="str">
        <f t="shared" si="7"/>
        <v/>
      </c>
      <c r="C220" s="88"/>
      <c r="D220" s="89"/>
      <c r="E220" s="89"/>
      <c r="F220" s="105"/>
      <c r="G220" s="105"/>
      <c r="H220" s="105"/>
      <c r="I220" s="105"/>
      <c r="J220" s="148"/>
      <c r="K220" s="87" t="s">
        <v>3767</v>
      </c>
      <c r="L220" s="87" t="s">
        <v>3562</v>
      </c>
      <c r="M220" s="88"/>
      <c r="N220" s="89"/>
      <c r="O220" s="89"/>
      <c r="P220" s="89"/>
      <c r="Q220" s="89"/>
      <c r="R220" s="87"/>
      <c r="S220" s="89"/>
      <c r="T220" s="87"/>
      <c r="U220" s="87"/>
      <c r="V220" s="90"/>
      <c r="W220" s="90"/>
      <c r="X220" s="87"/>
      <c r="Y220" s="90"/>
      <c r="Z220" s="87"/>
      <c r="AA220" s="90"/>
      <c r="AB220" s="87"/>
      <c r="AC220" s="90"/>
      <c r="AD220" s="87" t="s">
        <v>3568</v>
      </c>
      <c r="AE220" s="87" t="s">
        <v>3569</v>
      </c>
      <c r="AF220" s="87"/>
      <c r="AG220" s="90"/>
    </row>
    <row r="221" spans="1:33">
      <c r="A221" s="91" t="str">
        <f t="shared" si="6"/>
        <v/>
      </c>
      <c r="B221" s="104" t="str">
        <f t="shared" si="7"/>
        <v/>
      </c>
      <c r="C221" s="88"/>
      <c r="D221" s="89"/>
      <c r="E221" s="89"/>
      <c r="F221" s="105"/>
      <c r="G221" s="105"/>
      <c r="H221" s="105"/>
      <c r="I221" s="105"/>
      <c r="J221" s="148"/>
      <c r="K221" s="91" t="s">
        <v>3767</v>
      </c>
      <c r="L221" s="91" t="s">
        <v>3562</v>
      </c>
      <c r="M221" s="88"/>
      <c r="N221" s="89"/>
      <c r="O221" s="89"/>
      <c r="P221" s="89"/>
      <c r="Q221" s="89"/>
      <c r="R221" s="91"/>
      <c r="S221" s="89"/>
      <c r="T221" s="91"/>
      <c r="U221" s="91"/>
      <c r="V221" s="92"/>
      <c r="W221" s="92"/>
      <c r="X221" s="91"/>
      <c r="Y221" s="92"/>
      <c r="Z221" s="91"/>
      <c r="AA221" s="92"/>
      <c r="AB221" s="91"/>
      <c r="AC221" s="92"/>
      <c r="AD221" s="91" t="s">
        <v>3568</v>
      </c>
      <c r="AE221" s="91" t="s">
        <v>3569</v>
      </c>
      <c r="AF221" s="91"/>
      <c r="AG221" s="92"/>
    </row>
    <row r="222" spans="1:33">
      <c r="A222" s="87" t="str">
        <f t="shared" si="6"/>
        <v/>
      </c>
      <c r="B222" s="103" t="str">
        <f t="shared" si="7"/>
        <v/>
      </c>
      <c r="C222" s="88"/>
      <c r="D222" s="89"/>
      <c r="E222" s="89"/>
      <c r="F222" s="105"/>
      <c r="G222" s="105"/>
      <c r="H222" s="105"/>
      <c r="I222" s="105"/>
      <c r="J222" s="148"/>
      <c r="K222" s="87" t="s">
        <v>3767</v>
      </c>
      <c r="L222" s="87" t="s">
        <v>3562</v>
      </c>
      <c r="M222" s="88"/>
      <c r="N222" s="89"/>
      <c r="O222" s="89"/>
      <c r="P222" s="89"/>
      <c r="Q222" s="89"/>
      <c r="R222" s="87"/>
      <c r="S222" s="89"/>
      <c r="T222" s="87"/>
      <c r="U222" s="87"/>
      <c r="V222" s="90"/>
      <c r="W222" s="90"/>
      <c r="X222" s="87"/>
      <c r="Y222" s="90"/>
      <c r="Z222" s="87"/>
      <c r="AA222" s="90"/>
      <c r="AB222" s="87"/>
      <c r="AC222" s="90"/>
      <c r="AD222" s="87" t="s">
        <v>3568</v>
      </c>
      <c r="AE222" s="87" t="s">
        <v>3569</v>
      </c>
      <c r="AF222" s="87"/>
      <c r="AG222" s="90"/>
    </row>
    <row r="223" spans="1:33">
      <c r="A223" s="91" t="str">
        <f t="shared" si="6"/>
        <v/>
      </c>
      <c r="B223" s="104" t="str">
        <f t="shared" si="7"/>
        <v/>
      </c>
      <c r="C223" s="88"/>
      <c r="D223" s="89"/>
      <c r="E223" s="89"/>
      <c r="F223" s="105"/>
      <c r="G223" s="105"/>
      <c r="H223" s="105"/>
      <c r="I223" s="105"/>
      <c r="J223" s="148"/>
      <c r="K223" s="91" t="s">
        <v>3767</v>
      </c>
      <c r="L223" s="91" t="s">
        <v>3562</v>
      </c>
      <c r="M223" s="88"/>
      <c r="N223" s="89"/>
      <c r="O223" s="89"/>
      <c r="P223" s="89"/>
      <c r="Q223" s="89"/>
      <c r="R223" s="91"/>
      <c r="S223" s="89"/>
      <c r="T223" s="91"/>
      <c r="U223" s="91"/>
      <c r="V223" s="92"/>
      <c r="W223" s="92"/>
      <c r="X223" s="91"/>
      <c r="Y223" s="92"/>
      <c r="Z223" s="91"/>
      <c r="AA223" s="92"/>
      <c r="AB223" s="91"/>
      <c r="AC223" s="92"/>
      <c r="AD223" s="91" t="s">
        <v>3568</v>
      </c>
      <c r="AE223" s="91" t="s">
        <v>3569</v>
      </c>
      <c r="AF223" s="91"/>
      <c r="AG223" s="92"/>
    </row>
    <row r="224" spans="1:33">
      <c r="A224" s="87" t="str">
        <f t="shared" si="6"/>
        <v/>
      </c>
      <c r="B224" s="103" t="str">
        <f t="shared" si="7"/>
        <v/>
      </c>
      <c r="C224" s="88"/>
      <c r="D224" s="89"/>
      <c r="E224" s="89"/>
      <c r="F224" s="105"/>
      <c r="G224" s="105"/>
      <c r="H224" s="105"/>
      <c r="I224" s="105"/>
      <c r="J224" s="148"/>
      <c r="K224" s="87" t="s">
        <v>3767</v>
      </c>
      <c r="L224" s="87" t="s">
        <v>3562</v>
      </c>
      <c r="M224" s="88"/>
      <c r="N224" s="89"/>
      <c r="O224" s="89"/>
      <c r="P224" s="89"/>
      <c r="Q224" s="89"/>
      <c r="R224" s="87"/>
      <c r="S224" s="89"/>
      <c r="T224" s="87"/>
      <c r="U224" s="87"/>
      <c r="V224" s="90"/>
      <c r="W224" s="90"/>
      <c r="X224" s="87"/>
      <c r="Y224" s="90"/>
      <c r="Z224" s="87"/>
      <c r="AA224" s="90"/>
      <c r="AB224" s="87"/>
      <c r="AC224" s="90"/>
      <c r="AD224" s="87" t="s">
        <v>3568</v>
      </c>
      <c r="AE224" s="87" t="s">
        <v>3569</v>
      </c>
      <c r="AF224" s="87"/>
      <c r="AG224" s="90"/>
    </row>
    <row r="225" spans="1:33">
      <c r="A225" s="91" t="str">
        <f t="shared" si="6"/>
        <v/>
      </c>
      <c r="B225" s="104" t="str">
        <f t="shared" si="7"/>
        <v/>
      </c>
      <c r="C225" s="88"/>
      <c r="D225" s="89"/>
      <c r="E225" s="89"/>
      <c r="F225" s="105"/>
      <c r="G225" s="105"/>
      <c r="H225" s="105"/>
      <c r="I225" s="105"/>
      <c r="J225" s="148"/>
      <c r="K225" s="91" t="s">
        <v>3767</v>
      </c>
      <c r="L225" s="91" t="s">
        <v>3562</v>
      </c>
      <c r="M225" s="88"/>
      <c r="N225" s="89"/>
      <c r="O225" s="89"/>
      <c r="P225" s="89"/>
      <c r="Q225" s="89"/>
      <c r="R225" s="91"/>
      <c r="S225" s="89"/>
      <c r="T225" s="91"/>
      <c r="U225" s="91"/>
      <c r="V225" s="92"/>
      <c r="W225" s="92"/>
      <c r="X225" s="91"/>
      <c r="Y225" s="92"/>
      <c r="Z225" s="91"/>
      <c r="AA225" s="92"/>
      <c r="AB225" s="91"/>
      <c r="AC225" s="92"/>
      <c r="AD225" s="91" t="s">
        <v>3568</v>
      </c>
      <c r="AE225" s="91" t="s">
        <v>3569</v>
      </c>
      <c r="AF225" s="91"/>
      <c r="AG225" s="92"/>
    </row>
    <row r="226" spans="1:33">
      <c r="A226" s="87" t="str">
        <f t="shared" si="6"/>
        <v/>
      </c>
      <c r="B226" s="103" t="str">
        <f t="shared" si="7"/>
        <v/>
      </c>
      <c r="C226" s="88"/>
      <c r="D226" s="89"/>
      <c r="E226" s="89"/>
      <c r="F226" s="105"/>
      <c r="G226" s="105"/>
      <c r="H226" s="105"/>
      <c r="I226" s="105"/>
      <c r="J226" s="148"/>
      <c r="K226" s="87" t="s">
        <v>3767</v>
      </c>
      <c r="L226" s="87" t="s">
        <v>3562</v>
      </c>
      <c r="M226" s="88"/>
      <c r="N226" s="89"/>
      <c r="O226" s="89"/>
      <c r="P226" s="89"/>
      <c r="Q226" s="89"/>
      <c r="R226" s="87"/>
      <c r="S226" s="89"/>
      <c r="T226" s="87"/>
      <c r="U226" s="87"/>
      <c r="V226" s="90"/>
      <c r="W226" s="90"/>
      <c r="X226" s="87"/>
      <c r="Y226" s="90"/>
      <c r="Z226" s="87"/>
      <c r="AA226" s="90"/>
      <c r="AB226" s="87"/>
      <c r="AC226" s="90"/>
      <c r="AD226" s="87" t="s">
        <v>3568</v>
      </c>
      <c r="AE226" s="87" t="s">
        <v>3569</v>
      </c>
      <c r="AF226" s="87"/>
      <c r="AG226" s="90"/>
    </row>
    <row r="227" spans="1:33">
      <c r="A227" s="91" t="str">
        <f t="shared" si="6"/>
        <v/>
      </c>
      <c r="B227" s="104" t="str">
        <f t="shared" si="7"/>
        <v/>
      </c>
      <c r="C227" s="88"/>
      <c r="D227" s="89"/>
      <c r="E227" s="89"/>
      <c r="F227" s="105"/>
      <c r="G227" s="105"/>
      <c r="H227" s="105"/>
      <c r="I227" s="105"/>
      <c r="J227" s="148"/>
      <c r="K227" s="91" t="s">
        <v>3767</v>
      </c>
      <c r="L227" s="91" t="s">
        <v>3562</v>
      </c>
      <c r="M227" s="88"/>
      <c r="N227" s="89"/>
      <c r="O227" s="89"/>
      <c r="P227" s="89"/>
      <c r="Q227" s="89"/>
      <c r="R227" s="91"/>
      <c r="S227" s="89"/>
      <c r="T227" s="91"/>
      <c r="U227" s="91"/>
      <c r="V227" s="92"/>
      <c r="W227" s="92"/>
      <c r="X227" s="91"/>
      <c r="Y227" s="92"/>
      <c r="Z227" s="91"/>
      <c r="AA227" s="92"/>
      <c r="AB227" s="91"/>
      <c r="AC227" s="92"/>
      <c r="AD227" s="91" t="s">
        <v>3568</v>
      </c>
      <c r="AE227" s="91" t="s">
        <v>3569</v>
      </c>
      <c r="AF227" s="91"/>
      <c r="AG227" s="92"/>
    </row>
    <row r="228" spans="1:33">
      <c r="A228" s="87" t="str">
        <f t="shared" si="6"/>
        <v/>
      </c>
      <c r="B228" s="103" t="str">
        <f t="shared" si="7"/>
        <v/>
      </c>
      <c r="C228" s="88"/>
      <c r="D228" s="89"/>
      <c r="E228" s="89"/>
      <c r="F228" s="105"/>
      <c r="G228" s="105"/>
      <c r="H228" s="105"/>
      <c r="I228" s="105"/>
      <c r="J228" s="148"/>
      <c r="K228" s="87" t="s">
        <v>3767</v>
      </c>
      <c r="L228" s="87" t="s">
        <v>3562</v>
      </c>
      <c r="M228" s="88"/>
      <c r="N228" s="89"/>
      <c r="O228" s="89"/>
      <c r="P228" s="89"/>
      <c r="Q228" s="89"/>
      <c r="R228" s="87"/>
      <c r="S228" s="89"/>
      <c r="T228" s="87"/>
      <c r="U228" s="87"/>
      <c r="V228" s="90"/>
      <c r="W228" s="90"/>
      <c r="X228" s="87"/>
      <c r="Y228" s="90"/>
      <c r="Z228" s="87"/>
      <c r="AA228" s="90"/>
      <c r="AB228" s="87"/>
      <c r="AC228" s="90"/>
      <c r="AD228" s="87" t="s">
        <v>3568</v>
      </c>
      <c r="AE228" s="87" t="s">
        <v>3569</v>
      </c>
      <c r="AF228" s="87"/>
      <c r="AG228" s="90"/>
    </row>
    <row r="229" spans="1:33">
      <c r="A229" s="91" t="str">
        <f t="shared" si="6"/>
        <v/>
      </c>
      <c r="B229" s="104" t="str">
        <f t="shared" si="7"/>
        <v/>
      </c>
      <c r="C229" s="88"/>
      <c r="D229" s="89"/>
      <c r="E229" s="89"/>
      <c r="F229" s="105"/>
      <c r="G229" s="105"/>
      <c r="H229" s="105"/>
      <c r="I229" s="105"/>
      <c r="J229" s="148"/>
      <c r="K229" s="91" t="s">
        <v>3767</v>
      </c>
      <c r="L229" s="91" t="s">
        <v>3562</v>
      </c>
      <c r="M229" s="88"/>
      <c r="N229" s="89"/>
      <c r="O229" s="89"/>
      <c r="P229" s="89"/>
      <c r="Q229" s="89"/>
      <c r="R229" s="91"/>
      <c r="S229" s="89"/>
      <c r="T229" s="91"/>
      <c r="U229" s="91"/>
      <c r="V229" s="92"/>
      <c r="W229" s="92"/>
      <c r="X229" s="91"/>
      <c r="Y229" s="92"/>
      <c r="Z229" s="91"/>
      <c r="AA229" s="92"/>
      <c r="AB229" s="91"/>
      <c r="AC229" s="92"/>
      <c r="AD229" s="91" t="s">
        <v>3568</v>
      </c>
      <c r="AE229" s="91" t="s">
        <v>3569</v>
      </c>
      <c r="AF229" s="91"/>
      <c r="AG229" s="92"/>
    </row>
    <row r="230" spans="1:33">
      <c r="A230" s="87" t="str">
        <f t="shared" si="6"/>
        <v/>
      </c>
      <c r="B230" s="103" t="str">
        <f t="shared" si="7"/>
        <v/>
      </c>
      <c r="C230" s="88"/>
      <c r="D230" s="89"/>
      <c r="E230" s="89"/>
      <c r="F230" s="105"/>
      <c r="G230" s="105"/>
      <c r="H230" s="105"/>
      <c r="I230" s="105"/>
      <c r="J230" s="148"/>
      <c r="K230" s="87" t="s">
        <v>3767</v>
      </c>
      <c r="L230" s="87" t="s">
        <v>3562</v>
      </c>
      <c r="M230" s="88"/>
      <c r="N230" s="89"/>
      <c r="O230" s="89"/>
      <c r="P230" s="89"/>
      <c r="Q230" s="89"/>
      <c r="R230" s="87"/>
      <c r="S230" s="89"/>
      <c r="T230" s="87"/>
      <c r="U230" s="87"/>
      <c r="V230" s="90"/>
      <c r="W230" s="90"/>
      <c r="X230" s="87"/>
      <c r="Y230" s="90"/>
      <c r="Z230" s="87"/>
      <c r="AA230" s="90"/>
      <c r="AB230" s="87"/>
      <c r="AC230" s="90"/>
      <c r="AD230" s="87" t="s">
        <v>3568</v>
      </c>
      <c r="AE230" s="87" t="s">
        <v>3569</v>
      </c>
      <c r="AF230" s="87"/>
      <c r="AG230" s="90"/>
    </row>
    <row r="231" spans="1:33">
      <c r="A231" s="91" t="str">
        <f t="shared" si="6"/>
        <v/>
      </c>
      <c r="B231" s="104" t="str">
        <f t="shared" si="7"/>
        <v/>
      </c>
      <c r="C231" s="88"/>
      <c r="D231" s="89"/>
      <c r="E231" s="89"/>
      <c r="F231" s="105"/>
      <c r="G231" s="105"/>
      <c r="H231" s="105"/>
      <c r="I231" s="105"/>
      <c r="J231" s="148"/>
      <c r="K231" s="91" t="s">
        <v>3767</v>
      </c>
      <c r="L231" s="91" t="s">
        <v>3562</v>
      </c>
      <c r="M231" s="88"/>
      <c r="N231" s="89"/>
      <c r="O231" s="89"/>
      <c r="P231" s="89"/>
      <c r="Q231" s="89"/>
      <c r="R231" s="91"/>
      <c r="S231" s="89"/>
      <c r="T231" s="91"/>
      <c r="U231" s="91"/>
      <c r="V231" s="92"/>
      <c r="W231" s="92"/>
      <c r="X231" s="91"/>
      <c r="Y231" s="92"/>
      <c r="Z231" s="91"/>
      <c r="AA231" s="92"/>
      <c r="AB231" s="91"/>
      <c r="AC231" s="92"/>
      <c r="AD231" s="91" t="s">
        <v>3568</v>
      </c>
      <c r="AE231" s="91" t="s">
        <v>3569</v>
      </c>
      <c r="AF231" s="91"/>
      <c r="AG231" s="92"/>
    </row>
    <row r="232" spans="1:33">
      <c r="A232" s="87" t="str">
        <f t="shared" si="6"/>
        <v/>
      </c>
      <c r="B232" s="103" t="str">
        <f t="shared" si="7"/>
        <v/>
      </c>
      <c r="C232" s="88"/>
      <c r="D232" s="89"/>
      <c r="E232" s="89"/>
      <c r="F232" s="105"/>
      <c r="G232" s="105"/>
      <c r="H232" s="105"/>
      <c r="I232" s="105"/>
      <c r="J232" s="148"/>
      <c r="K232" s="87" t="s">
        <v>3767</v>
      </c>
      <c r="L232" s="87" t="s">
        <v>3562</v>
      </c>
      <c r="M232" s="88"/>
      <c r="N232" s="89"/>
      <c r="O232" s="89"/>
      <c r="P232" s="89"/>
      <c r="Q232" s="89"/>
      <c r="R232" s="87"/>
      <c r="S232" s="89"/>
      <c r="T232" s="87"/>
      <c r="U232" s="87"/>
      <c r="V232" s="90"/>
      <c r="W232" s="90"/>
      <c r="X232" s="87"/>
      <c r="Y232" s="90"/>
      <c r="Z232" s="87"/>
      <c r="AA232" s="90"/>
      <c r="AB232" s="87"/>
      <c r="AC232" s="90"/>
      <c r="AD232" s="87" t="s">
        <v>3568</v>
      </c>
      <c r="AE232" s="87" t="s">
        <v>3569</v>
      </c>
      <c r="AF232" s="87"/>
      <c r="AG232" s="90"/>
    </row>
    <row r="233" spans="1:33">
      <c r="A233" s="91" t="str">
        <f t="shared" si="6"/>
        <v/>
      </c>
      <c r="B233" s="104" t="str">
        <f t="shared" si="7"/>
        <v/>
      </c>
      <c r="C233" s="88"/>
      <c r="D233" s="89"/>
      <c r="E233" s="89"/>
      <c r="F233" s="105"/>
      <c r="G233" s="105"/>
      <c r="H233" s="105"/>
      <c r="I233" s="105"/>
      <c r="J233" s="148"/>
      <c r="K233" s="91" t="s">
        <v>3767</v>
      </c>
      <c r="L233" s="91" t="s">
        <v>3562</v>
      </c>
      <c r="M233" s="88"/>
      <c r="N233" s="89"/>
      <c r="O233" s="89"/>
      <c r="P233" s="89"/>
      <c r="Q233" s="89"/>
      <c r="R233" s="91"/>
      <c r="S233" s="89"/>
      <c r="T233" s="91"/>
      <c r="U233" s="91"/>
      <c r="V233" s="92"/>
      <c r="W233" s="92"/>
      <c r="X233" s="91"/>
      <c r="Y233" s="92"/>
      <c r="Z233" s="91"/>
      <c r="AA233" s="92"/>
      <c r="AB233" s="91"/>
      <c r="AC233" s="92"/>
      <c r="AD233" s="91" t="s">
        <v>3568</v>
      </c>
      <c r="AE233" s="91" t="s">
        <v>3569</v>
      </c>
      <c r="AF233" s="91"/>
      <c r="AG233" s="92"/>
    </row>
    <row r="234" spans="1:33">
      <c r="A234" s="87" t="str">
        <f t="shared" si="6"/>
        <v/>
      </c>
      <c r="B234" s="103" t="str">
        <f t="shared" si="7"/>
        <v/>
      </c>
      <c r="C234" s="88"/>
      <c r="D234" s="89"/>
      <c r="E234" s="89"/>
      <c r="F234" s="105"/>
      <c r="G234" s="105"/>
      <c r="H234" s="105"/>
      <c r="I234" s="105"/>
      <c r="J234" s="148"/>
      <c r="K234" s="87" t="s">
        <v>3767</v>
      </c>
      <c r="L234" s="87" t="s">
        <v>3562</v>
      </c>
      <c r="M234" s="88"/>
      <c r="N234" s="89"/>
      <c r="O234" s="89"/>
      <c r="P234" s="89"/>
      <c r="Q234" s="89"/>
      <c r="R234" s="87"/>
      <c r="S234" s="89"/>
      <c r="T234" s="87"/>
      <c r="U234" s="87"/>
      <c r="V234" s="90"/>
      <c r="W234" s="90"/>
      <c r="X234" s="87"/>
      <c r="Y234" s="90"/>
      <c r="Z234" s="87"/>
      <c r="AA234" s="90"/>
      <c r="AB234" s="87"/>
      <c r="AC234" s="90"/>
      <c r="AD234" s="87" t="s">
        <v>3568</v>
      </c>
      <c r="AE234" s="87" t="s">
        <v>3569</v>
      </c>
      <c r="AF234" s="87"/>
      <c r="AG234" s="90"/>
    </row>
    <row r="235" spans="1:33">
      <c r="A235" s="91" t="str">
        <f t="shared" si="6"/>
        <v/>
      </c>
      <c r="B235" s="104" t="str">
        <f t="shared" si="7"/>
        <v/>
      </c>
      <c r="C235" s="88"/>
      <c r="D235" s="89"/>
      <c r="E235" s="89"/>
      <c r="F235" s="105"/>
      <c r="G235" s="105"/>
      <c r="H235" s="105"/>
      <c r="I235" s="105"/>
      <c r="J235" s="148"/>
      <c r="K235" s="91" t="s">
        <v>3767</v>
      </c>
      <c r="L235" s="91" t="s">
        <v>3562</v>
      </c>
      <c r="M235" s="88"/>
      <c r="N235" s="89"/>
      <c r="O235" s="89"/>
      <c r="P235" s="89"/>
      <c r="Q235" s="89"/>
      <c r="R235" s="91"/>
      <c r="S235" s="89"/>
      <c r="T235" s="91"/>
      <c r="U235" s="91"/>
      <c r="V235" s="92"/>
      <c r="W235" s="92"/>
      <c r="X235" s="91"/>
      <c r="Y235" s="92"/>
      <c r="Z235" s="91"/>
      <c r="AA235" s="92"/>
      <c r="AB235" s="91"/>
      <c r="AC235" s="92"/>
      <c r="AD235" s="91" t="s">
        <v>3568</v>
      </c>
      <c r="AE235" s="91" t="s">
        <v>3569</v>
      </c>
      <c r="AF235" s="91"/>
      <c r="AG235" s="92"/>
    </row>
    <row r="236" spans="1:33">
      <c r="A236" s="87" t="str">
        <f t="shared" si="6"/>
        <v/>
      </c>
      <c r="B236" s="103" t="str">
        <f t="shared" si="7"/>
        <v/>
      </c>
      <c r="C236" s="88"/>
      <c r="D236" s="89"/>
      <c r="E236" s="89"/>
      <c r="F236" s="105"/>
      <c r="G236" s="105"/>
      <c r="H236" s="105"/>
      <c r="I236" s="105"/>
      <c r="J236" s="148"/>
      <c r="K236" s="87" t="s">
        <v>3767</v>
      </c>
      <c r="L236" s="87" t="s">
        <v>3562</v>
      </c>
      <c r="M236" s="88"/>
      <c r="N236" s="89"/>
      <c r="O236" s="89"/>
      <c r="P236" s="89"/>
      <c r="Q236" s="89"/>
      <c r="R236" s="87"/>
      <c r="S236" s="89"/>
      <c r="T236" s="87"/>
      <c r="U236" s="87"/>
      <c r="V236" s="90"/>
      <c r="W236" s="90"/>
      <c r="X236" s="87"/>
      <c r="Y236" s="90"/>
      <c r="Z236" s="87"/>
      <c r="AA236" s="90"/>
      <c r="AB236" s="87"/>
      <c r="AC236" s="90"/>
      <c r="AD236" s="87" t="s">
        <v>3568</v>
      </c>
      <c r="AE236" s="87" t="s">
        <v>3569</v>
      </c>
      <c r="AF236" s="87"/>
      <c r="AG236" s="90"/>
    </row>
    <row r="237" spans="1:33">
      <c r="A237" s="91" t="str">
        <f t="shared" si="6"/>
        <v/>
      </c>
      <c r="B237" s="104" t="str">
        <f t="shared" si="7"/>
        <v/>
      </c>
      <c r="C237" s="88"/>
      <c r="D237" s="89"/>
      <c r="E237" s="89"/>
      <c r="F237" s="105"/>
      <c r="G237" s="105"/>
      <c r="H237" s="105"/>
      <c r="I237" s="105"/>
      <c r="J237" s="148"/>
      <c r="K237" s="91" t="s">
        <v>3767</v>
      </c>
      <c r="L237" s="91" t="s">
        <v>3562</v>
      </c>
      <c r="M237" s="88"/>
      <c r="N237" s="89"/>
      <c r="O237" s="89"/>
      <c r="P237" s="89"/>
      <c r="Q237" s="89"/>
      <c r="R237" s="91"/>
      <c r="S237" s="89"/>
      <c r="T237" s="91"/>
      <c r="U237" s="91"/>
      <c r="V237" s="92"/>
      <c r="W237" s="92"/>
      <c r="X237" s="91"/>
      <c r="Y237" s="92"/>
      <c r="Z237" s="91"/>
      <c r="AA237" s="92"/>
      <c r="AB237" s="91"/>
      <c r="AC237" s="92"/>
      <c r="AD237" s="91" t="s">
        <v>3568</v>
      </c>
      <c r="AE237" s="91" t="s">
        <v>3569</v>
      </c>
      <c r="AF237" s="91"/>
      <c r="AG237" s="92"/>
    </row>
    <row r="238" spans="1:33">
      <c r="A238" s="87" t="str">
        <f t="shared" si="6"/>
        <v/>
      </c>
      <c r="B238" s="103" t="str">
        <f t="shared" si="7"/>
        <v/>
      </c>
      <c r="C238" s="88"/>
      <c r="D238" s="89"/>
      <c r="E238" s="89"/>
      <c r="F238" s="105"/>
      <c r="G238" s="105"/>
      <c r="H238" s="105"/>
      <c r="I238" s="105"/>
      <c r="J238" s="148"/>
      <c r="K238" s="87" t="s">
        <v>3767</v>
      </c>
      <c r="L238" s="87" t="s">
        <v>3562</v>
      </c>
      <c r="M238" s="88"/>
      <c r="N238" s="89"/>
      <c r="O238" s="89"/>
      <c r="P238" s="89"/>
      <c r="Q238" s="89"/>
      <c r="R238" s="87"/>
      <c r="S238" s="89"/>
      <c r="T238" s="87"/>
      <c r="U238" s="87"/>
      <c r="V238" s="90"/>
      <c r="W238" s="90"/>
      <c r="X238" s="87"/>
      <c r="Y238" s="90"/>
      <c r="Z238" s="87"/>
      <c r="AA238" s="90"/>
      <c r="AB238" s="87"/>
      <c r="AC238" s="90"/>
      <c r="AD238" s="87" t="s">
        <v>3568</v>
      </c>
      <c r="AE238" s="87" t="s">
        <v>3569</v>
      </c>
      <c r="AF238" s="87"/>
      <c r="AG238" s="90"/>
    </row>
    <row r="239" spans="1:33">
      <c r="A239" s="91" t="str">
        <f t="shared" si="6"/>
        <v/>
      </c>
      <c r="B239" s="104" t="str">
        <f t="shared" si="7"/>
        <v/>
      </c>
      <c r="C239" s="88"/>
      <c r="D239" s="89"/>
      <c r="E239" s="89"/>
      <c r="F239" s="105"/>
      <c r="G239" s="105"/>
      <c r="H239" s="105"/>
      <c r="I239" s="105"/>
      <c r="J239" s="148"/>
      <c r="K239" s="91" t="s">
        <v>3767</v>
      </c>
      <c r="L239" s="91" t="s">
        <v>3562</v>
      </c>
      <c r="M239" s="88"/>
      <c r="N239" s="89"/>
      <c r="O239" s="89"/>
      <c r="P239" s="89"/>
      <c r="Q239" s="89"/>
      <c r="R239" s="91"/>
      <c r="S239" s="89"/>
      <c r="T239" s="91"/>
      <c r="U239" s="91"/>
      <c r="V239" s="92"/>
      <c r="W239" s="92"/>
      <c r="X239" s="91"/>
      <c r="Y239" s="92"/>
      <c r="Z239" s="91"/>
      <c r="AA239" s="92"/>
      <c r="AB239" s="91"/>
      <c r="AC239" s="92"/>
      <c r="AD239" s="91" t="s">
        <v>3568</v>
      </c>
      <c r="AE239" s="91" t="s">
        <v>3569</v>
      </c>
      <c r="AF239" s="91"/>
      <c r="AG239" s="92"/>
    </row>
    <row r="240" spans="1:33">
      <c r="A240" s="87" t="str">
        <f t="shared" si="6"/>
        <v/>
      </c>
      <c r="B240" s="103" t="str">
        <f t="shared" si="7"/>
        <v/>
      </c>
      <c r="C240" s="88"/>
      <c r="D240" s="89"/>
      <c r="E240" s="89"/>
      <c r="F240" s="105"/>
      <c r="G240" s="105"/>
      <c r="H240" s="105"/>
      <c r="I240" s="105"/>
      <c r="J240" s="148"/>
      <c r="K240" s="87" t="s">
        <v>3767</v>
      </c>
      <c r="L240" s="87" t="s">
        <v>3562</v>
      </c>
      <c r="M240" s="88"/>
      <c r="N240" s="89"/>
      <c r="O240" s="89"/>
      <c r="P240" s="89"/>
      <c r="Q240" s="89"/>
      <c r="R240" s="87"/>
      <c r="S240" s="89"/>
      <c r="T240" s="87"/>
      <c r="U240" s="87"/>
      <c r="V240" s="90"/>
      <c r="W240" s="90"/>
      <c r="X240" s="87"/>
      <c r="Y240" s="90"/>
      <c r="Z240" s="87"/>
      <c r="AA240" s="90"/>
      <c r="AB240" s="87"/>
      <c r="AC240" s="90"/>
      <c r="AD240" s="87" t="s">
        <v>3568</v>
      </c>
      <c r="AE240" s="87" t="s">
        <v>3569</v>
      </c>
      <c r="AF240" s="87"/>
      <c r="AG240" s="90"/>
    </row>
    <row r="241" spans="1:33">
      <c r="A241" s="91" t="str">
        <f t="shared" si="6"/>
        <v/>
      </c>
      <c r="B241" s="104" t="str">
        <f t="shared" si="7"/>
        <v/>
      </c>
      <c r="C241" s="88"/>
      <c r="D241" s="89"/>
      <c r="E241" s="89"/>
      <c r="F241" s="105"/>
      <c r="G241" s="105"/>
      <c r="H241" s="105"/>
      <c r="I241" s="105"/>
      <c r="J241" s="148"/>
      <c r="K241" s="91" t="s">
        <v>3767</v>
      </c>
      <c r="L241" s="91" t="s">
        <v>3562</v>
      </c>
      <c r="M241" s="88"/>
      <c r="N241" s="89"/>
      <c r="O241" s="89"/>
      <c r="P241" s="89"/>
      <c r="Q241" s="89"/>
      <c r="R241" s="91"/>
      <c r="S241" s="89"/>
      <c r="T241" s="91"/>
      <c r="U241" s="91"/>
      <c r="V241" s="92"/>
      <c r="W241" s="92"/>
      <c r="X241" s="91"/>
      <c r="Y241" s="92"/>
      <c r="Z241" s="91"/>
      <c r="AA241" s="92"/>
      <c r="AB241" s="91"/>
      <c r="AC241" s="92"/>
      <c r="AD241" s="91" t="s">
        <v>3568</v>
      </c>
      <c r="AE241" s="91" t="s">
        <v>3569</v>
      </c>
      <c r="AF241" s="91"/>
      <c r="AG241" s="92"/>
    </row>
    <row r="242" spans="1:33">
      <c r="A242" s="87" t="str">
        <f t="shared" si="6"/>
        <v/>
      </c>
      <c r="B242" s="103" t="str">
        <f t="shared" si="7"/>
        <v/>
      </c>
      <c r="C242" s="88"/>
      <c r="D242" s="89"/>
      <c r="E242" s="89"/>
      <c r="F242" s="105"/>
      <c r="G242" s="105"/>
      <c r="H242" s="105"/>
      <c r="I242" s="105"/>
      <c r="J242" s="148"/>
      <c r="K242" s="87" t="s">
        <v>3767</v>
      </c>
      <c r="L242" s="87" t="s">
        <v>3562</v>
      </c>
      <c r="M242" s="88"/>
      <c r="N242" s="89"/>
      <c r="O242" s="89"/>
      <c r="P242" s="89"/>
      <c r="Q242" s="89"/>
      <c r="R242" s="87"/>
      <c r="S242" s="89"/>
      <c r="T242" s="87"/>
      <c r="U242" s="87"/>
      <c r="V242" s="90"/>
      <c r="W242" s="90"/>
      <c r="X242" s="87"/>
      <c r="Y242" s="90"/>
      <c r="Z242" s="87"/>
      <c r="AA242" s="90"/>
      <c r="AB242" s="87"/>
      <c r="AC242" s="90"/>
      <c r="AD242" s="87" t="s">
        <v>3568</v>
      </c>
      <c r="AE242" s="87" t="s">
        <v>3569</v>
      </c>
      <c r="AF242" s="87"/>
      <c r="AG242" s="90"/>
    </row>
    <row r="243" spans="1:33">
      <c r="A243" s="91" t="str">
        <f t="shared" si="6"/>
        <v/>
      </c>
      <c r="B243" s="104" t="str">
        <f t="shared" si="7"/>
        <v/>
      </c>
      <c r="C243" s="88"/>
      <c r="D243" s="89"/>
      <c r="E243" s="89"/>
      <c r="F243" s="105"/>
      <c r="G243" s="105"/>
      <c r="H243" s="105"/>
      <c r="I243" s="105"/>
      <c r="J243" s="148"/>
      <c r="K243" s="91" t="s">
        <v>3767</v>
      </c>
      <c r="L243" s="91" t="s">
        <v>3562</v>
      </c>
      <c r="M243" s="88"/>
      <c r="N243" s="89"/>
      <c r="O243" s="89"/>
      <c r="P243" s="89"/>
      <c r="Q243" s="89"/>
      <c r="R243" s="91"/>
      <c r="S243" s="89"/>
      <c r="T243" s="91"/>
      <c r="U243" s="91"/>
      <c r="V243" s="92"/>
      <c r="W243" s="92"/>
      <c r="X243" s="91"/>
      <c r="Y243" s="92"/>
      <c r="Z243" s="91"/>
      <c r="AA243" s="92"/>
      <c r="AB243" s="91"/>
      <c r="AC243" s="92"/>
      <c r="AD243" s="91" t="s">
        <v>3568</v>
      </c>
      <c r="AE243" s="91" t="s">
        <v>3569</v>
      </c>
      <c r="AF243" s="91"/>
      <c r="AG243" s="92"/>
    </row>
    <row r="244" spans="1:33">
      <c r="A244" s="87" t="str">
        <f t="shared" si="6"/>
        <v/>
      </c>
      <c r="B244" s="103" t="str">
        <f t="shared" si="7"/>
        <v/>
      </c>
      <c r="C244" s="88"/>
      <c r="D244" s="89"/>
      <c r="E244" s="89"/>
      <c r="F244" s="105"/>
      <c r="G244" s="105"/>
      <c r="H244" s="105"/>
      <c r="I244" s="105"/>
      <c r="J244" s="148"/>
      <c r="K244" s="87" t="s">
        <v>3767</v>
      </c>
      <c r="L244" s="87" t="s">
        <v>3562</v>
      </c>
      <c r="M244" s="88"/>
      <c r="N244" s="89"/>
      <c r="O244" s="89"/>
      <c r="P244" s="89"/>
      <c r="Q244" s="89"/>
      <c r="R244" s="87"/>
      <c r="S244" s="89"/>
      <c r="T244" s="87"/>
      <c r="U244" s="87"/>
      <c r="V244" s="90"/>
      <c r="W244" s="90"/>
      <c r="X244" s="87"/>
      <c r="Y244" s="90"/>
      <c r="Z244" s="87"/>
      <c r="AA244" s="90"/>
      <c r="AB244" s="87"/>
      <c r="AC244" s="90"/>
      <c r="AD244" s="87" t="s">
        <v>3568</v>
      </c>
      <c r="AE244" s="87" t="s">
        <v>3569</v>
      </c>
      <c r="AF244" s="87"/>
      <c r="AG244" s="90"/>
    </row>
    <row r="245" spans="1:33">
      <c r="A245" s="91" t="str">
        <f t="shared" si="6"/>
        <v/>
      </c>
      <c r="B245" s="104" t="str">
        <f t="shared" si="7"/>
        <v/>
      </c>
      <c r="C245" s="88"/>
      <c r="D245" s="89"/>
      <c r="E245" s="89"/>
      <c r="F245" s="105"/>
      <c r="G245" s="105"/>
      <c r="H245" s="105"/>
      <c r="I245" s="105"/>
      <c r="J245" s="148"/>
      <c r="K245" s="91" t="s">
        <v>3767</v>
      </c>
      <c r="L245" s="91" t="s">
        <v>3562</v>
      </c>
      <c r="M245" s="88"/>
      <c r="N245" s="89"/>
      <c r="O245" s="89"/>
      <c r="P245" s="89"/>
      <c r="Q245" s="89"/>
      <c r="R245" s="91"/>
      <c r="S245" s="89"/>
      <c r="T245" s="91"/>
      <c r="U245" s="91"/>
      <c r="V245" s="92"/>
      <c r="W245" s="92"/>
      <c r="X245" s="91"/>
      <c r="Y245" s="92"/>
      <c r="Z245" s="91"/>
      <c r="AA245" s="92"/>
      <c r="AB245" s="91"/>
      <c r="AC245" s="92"/>
      <c r="AD245" s="91" t="s">
        <v>3568</v>
      </c>
      <c r="AE245" s="91" t="s">
        <v>3569</v>
      </c>
      <c r="AF245" s="91"/>
      <c r="AG245" s="92"/>
    </row>
    <row r="246" spans="1:33">
      <c r="A246" s="87" t="str">
        <f t="shared" si="6"/>
        <v/>
      </c>
      <c r="B246" s="103" t="str">
        <f t="shared" si="7"/>
        <v/>
      </c>
      <c r="C246" s="88"/>
      <c r="D246" s="89"/>
      <c r="E246" s="89"/>
      <c r="F246" s="105"/>
      <c r="G246" s="105"/>
      <c r="H246" s="105"/>
      <c r="I246" s="105"/>
      <c r="J246" s="148"/>
      <c r="K246" s="87" t="s">
        <v>3767</v>
      </c>
      <c r="L246" s="87" t="s">
        <v>3562</v>
      </c>
      <c r="M246" s="88"/>
      <c r="N246" s="89"/>
      <c r="O246" s="89"/>
      <c r="P246" s="89"/>
      <c r="Q246" s="89"/>
      <c r="R246" s="87"/>
      <c r="S246" s="89"/>
      <c r="T246" s="87"/>
      <c r="U246" s="87"/>
      <c r="V246" s="90"/>
      <c r="W246" s="90"/>
      <c r="X246" s="87"/>
      <c r="Y246" s="90"/>
      <c r="Z246" s="87"/>
      <c r="AA246" s="90"/>
      <c r="AB246" s="87"/>
      <c r="AC246" s="90"/>
      <c r="AD246" s="87" t="s">
        <v>3568</v>
      </c>
      <c r="AE246" s="87" t="s">
        <v>3569</v>
      </c>
      <c r="AF246" s="87"/>
      <c r="AG246" s="90"/>
    </row>
    <row r="247" spans="1:33">
      <c r="A247" s="91" t="str">
        <f t="shared" si="6"/>
        <v/>
      </c>
      <c r="B247" s="104" t="str">
        <f t="shared" si="7"/>
        <v/>
      </c>
      <c r="C247" s="88"/>
      <c r="D247" s="89"/>
      <c r="E247" s="89"/>
      <c r="F247" s="105"/>
      <c r="G247" s="105"/>
      <c r="H247" s="105"/>
      <c r="I247" s="105"/>
      <c r="J247" s="148"/>
      <c r="K247" s="91" t="s">
        <v>3767</v>
      </c>
      <c r="L247" s="91" t="s">
        <v>3562</v>
      </c>
      <c r="M247" s="88"/>
      <c r="N247" s="89"/>
      <c r="O247" s="89"/>
      <c r="P247" s="89"/>
      <c r="Q247" s="89"/>
      <c r="R247" s="91"/>
      <c r="S247" s="89"/>
      <c r="T247" s="91"/>
      <c r="U247" s="91"/>
      <c r="V247" s="92"/>
      <c r="W247" s="92"/>
      <c r="X247" s="91"/>
      <c r="Y247" s="92"/>
      <c r="Z247" s="91"/>
      <c r="AA247" s="92"/>
      <c r="AB247" s="91"/>
      <c r="AC247" s="92"/>
      <c r="AD247" s="91" t="s">
        <v>3568</v>
      </c>
      <c r="AE247" s="91" t="s">
        <v>3569</v>
      </c>
      <c r="AF247" s="91"/>
      <c r="AG247" s="92"/>
    </row>
    <row r="248" spans="1:33">
      <c r="A248" s="87" t="str">
        <f t="shared" si="6"/>
        <v/>
      </c>
      <c r="B248" s="103" t="str">
        <f t="shared" si="7"/>
        <v/>
      </c>
      <c r="C248" s="88"/>
      <c r="D248" s="89"/>
      <c r="E248" s="89"/>
      <c r="F248" s="105"/>
      <c r="G248" s="105"/>
      <c r="H248" s="105"/>
      <c r="I248" s="105"/>
      <c r="J248" s="148"/>
      <c r="K248" s="87" t="s">
        <v>3767</v>
      </c>
      <c r="L248" s="87" t="s">
        <v>3562</v>
      </c>
      <c r="M248" s="88"/>
      <c r="N248" s="89"/>
      <c r="O248" s="89"/>
      <c r="P248" s="89"/>
      <c r="Q248" s="89"/>
      <c r="R248" s="87"/>
      <c r="S248" s="89"/>
      <c r="T248" s="87"/>
      <c r="U248" s="87"/>
      <c r="V248" s="90"/>
      <c r="W248" s="90"/>
      <c r="X248" s="87"/>
      <c r="Y248" s="90"/>
      <c r="Z248" s="87"/>
      <c r="AA248" s="90"/>
      <c r="AB248" s="87"/>
      <c r="AC248" s="90"/>
      <c r="AD248" s="87" t="s">
        <v>3568</v>
      </c>
      <c r="AE248" s="87" t="s">
        <v>3569</v>
      </c>
      <c r="AF248" s="87"/>
      <c r="AG248" s="90"/>
    </row>
    <row r="249" spans="1:33">
      <c r="A249" s="91" t="str">
        <f t="shared" si="6"/>
        <v/>
      </c>
      <c r="B249" s="104" t="str">
        <f t="shared" si="7"/>
        <v/>
      </c>
      <c r="C249" s="88"/>
      <c r="D249" s="89"/>
      <c r="E249" s="89"/>
      <c r="F249" s="105"/>
      <c r="G249" s="105"/>
      <c r="H249" s="105"/>
      <c r="I249" s="105"/>
      <c r="J249" s="148"/>
      <c r="K249" s="91" t="s">
        <v>3767</v>
      </c>
      <c r="L249" s="91" t="s">
        <v>3562</v>
      </c>
      <c r="M249" s="88"/>
      <c r="N249" s="89"/>
      <c r="O249" s="89"/>
      <c r="P249" s="89"/>
      <c r="Q249" s="89"/>
      <c r="R249" s="91"/>
      <c r="S249" s="89"/>
      <c r="T249" s="91"/>
      <c r="U249" s="91"/>
      <c r="V249" s="92"/>
      <c r="W249" s="92"/>
      <c r="X249" s="91"/>
      <c r="Y249" s="92"/>
      <c r="Z249" s="91"/>
      <c r="AA249" s="92"/>
      <c r="AB249" s="91"/>
      <c r="AC249" s="92"/>
      <c r="AD249" s="91" t="s">
        <v>3568</v>
      </c>
      <c r="AE249" s="91" t="s">
        <v>3569</v>
      </c>
      <c r="AF249" s="91"/>
      <c r="AG249" s="92"/>
    </row>
    <row r="250" spans="1:33">
      <c r="A250" s="87" t="str">
        <f t="shared" si="6"/>
        <v/>
      </c>
      <c r="B250" s="103" t="str">
        <f t="shared" si="7"/>
        <v/>
      </c>
      <c r="C250" s="88"/>
      <c r="D250" s="89"/>
      <c r="E250" s="89"/>
      <c r="F250" s="105"/>
      <c r="G250" s="105"/>
      <c r="H250" s="105"/>
      <c r="I250" s="105"/>
      <c r="J250" s="148"/>
      <c r="K250" s="87" t="s">
        <v>3767</v>
      </c>
      <c r="L250" s="87" t="s">
        <v>3562</v>
      </c>
      <c r="M250" s="88"/>
      <c r="N250" s="89"/>
      <c r="O250" s="89"/>
      <c r="P250" s="89"/>
      <c r="Q250" s="89"/>
      <c r="R250" s="87"/>
      <c r="S250" s="89"/>
      <c r="T250" s="87"/>
      <c r="U250" s="87"/>
      <c r="V250" s="90"/>
      <c r="W250" s="90"/>
      <c r="X250" s="87"/>
      <c r="Y250" s="90"/>
      <c r="Z250" s="87"/>
      <c r="AA250" s="90"/>
      <c r="AB250" s="87"/>
      <c r="AC250" s="90"/>
      <c r="AD250" s="87" t="s">
        <v>3568</v>
      </c>
      <c r="AE250" s="87" t="s">
        <v>3569</v>
      </c>
      <c r="AF250" s="87"/>
      <c r="AG250" s="90"/>
    </row>
    <row r="251" spans="1:33">
      <c r="A251" s="91" t="str">
        <f t="shared" si="6"/>
        <v/>
      </c>
      <c r="B251" s="104" t="str">
        <f t="shared" si="7"/>
        <v/>
      </c>
      <c r="C251" s="88"/>
      <c r="D251" s="89"/>
      <c r="E251" s="89"/>
      <c r="F251" s="105"/>
      <c r="G251" s="105"/>
      <c r="H251" s="105"/>
      <c r="I251" s="105"/>
      <c r="J251" s="148"/>
      <c r="K251" s="91" t="s">
        <v>3767</v>
      </c>
      <c r="L251" s="91" t="s">
        <v>3562</v>
      </c>
      <c r="M251" s="88"/>
      <c r="N251" s="89"/>
      <c r="O251" s="89"/>
      <c r="P251" s="89"/>
      <c r="Q251" s="89"/>
      <c r="R251" s="91"/>
      <c r="S251" s="89"/>
      <c r="T251" s="91"/>
      <c r="U251" s="91"/>
      <c r="V251" s="92"/>
      <c r="W251" s="92"/>
      <c r="X251" s="91"/>
      <c r="Y251" s="92"/>
      <c r="Z251" s="91"/>
      <c r="AA251" s="92"/>
      <c r="AB251" s="91"/>
      <c r="AC251" s="92"/>
      <c r="AD251" s="91" t="s">
        <v>3568</v>
      </c>
      <c r="AE251" s="91" t="s">
        <v>3569</v>
      </c>
      <c r="AF251" s="91"/>
      <c r="AG251" s="92"/>
    </row>
    <row r="252" spans="1:33">
      <c r="A252" s="87" t="str">
        <f t="shared" si="6"/>
        <v/>
      </c>
      <c r="B252" s="103" t="str">
        <f t="shared" si="7"/>
        <v/>
      </c>
      <c r="C252" s="88"/>
      <c r="D252" s="89"/>
      <c r="E252" s="89"/>
      <c r="F252" s="105"/>
      <c r="G252" s="105"/>
      <c r="H252" s="105"/>
      <c r="I252" s="105"/>
      <c r="J252" s="148"/>
      <c r="K252" s="87" t="s">
        <v>3767</v>
      </c>
      <c r="L252" s="87" t="s">
        <v>3562</v>
      </c>
      <c r="M252" s="88"/>
      <c r="N252" s="89"/>
      <c r="O252" s="89"/>
      <c r="P252" s="89"/>
      <c r="Q252" s="89"/>
      <c r="R252" s="87"/>
      <c r="S252" s="89"/>
      <c r="T252" s="87"/>
      <c r="U252" s="87"/>
      <c r="V252" s="90"/>
      <c r="W252" s="90"/>
      <c r="X252" s="87"/>
      <c r="Y252" s="90"/>
      <c r="Z252" s="87"/>
      <c r="AA252" s="90"/>
      <c r="AB252" s="87"/>
      <c r="AC252" s="90"/>
      <c r="AD252" s="87" t="s">
        <v>3568</v>
      </c>
      <c r="AE252" s="87" t="s">
        <v>3569</v>
      </c>
      <c r="AF252" s="87"/>
      <c r="AG252" s="90"/>
    </row>
    <row r="253" spans="1:33">
      <c r="A253" s="91" t="str">
        <f t="shared" si="6"/>
        <v/>
      </c>
      <c r="B253" s="104" t="str">
        <f t="shared" si="7"/>
        <v/>
      </c>
      <c r="C253" s="88"/>
      <c r="D253" s="89"/>
      <c r="E253" s="89"/>
      <c r="F253" s="105"/>
      <c r="G253" s="105"/>
      <c r="H253" s="105"/>
      <c r="I253" s="105"/>
      <c r="J253" s="148"/>
      <c r="K253" s="91" t="s">
        <v>3767</v>
      </c>
      <c r="L253" s="91" t="s">
        <v>3562</v>
      </c>
      <c r="M253" s="88"/>
      <c r="N253" s="89"/>
      <c r="O253" s="89"/>
      <c r="P253" s="89"/>
      <c r="Q253" s="89"/>
      <c r="R253" s="91"/>
      <c r="S253" s="89"/>
      <c r="T253" s="91"/>
      <c r="U253" s="91"/>
      <c r="V253" s="92"/>
      <c r="W253" s="92"/>
      <c r="X253" s="91"/>
      <c r="Y253" s="92"/>
      <c r="Z253" s="91"/>
      <c r="AA253" s="92"/>
      <c r="AB253" s="91"/>
      <c r="AC253" s="92"/>
      <c r="AD253" s="91" t="s">
        <v>3568</v>
      </c>
      <c r="AE253" s="91" t="s">
        <v>3569</v>
      </c>
      <c r="AF253" s="91"/>
      <c r="AG253" s="92"/>
    </row>
    <row r="254" spans="1:33">
      <c r="A254" s="87" t="str">
        <f t="shared" si="6"/>
        <v/>
      </c>
      <c r="B254" s="103" t="str">
        <f t="shared" si="7"/>
        <v/>
      </c>
      <c r="C254" s="88"/>
      <c r="D254" s="89"/>
      <c r="E254" s="89"/>
      <c r="F254" s="105"/>
      <c r="G254" s="105"/>
      <c r="H254" s="105"/>
      <c r="I254" s="105"/>
      <c r="J254" s="148"/>
      <c r="K254" s="87" t="s">
        <v>3767</v>
      </c>
      <c r="L254" s="87" t="s">
        <v>3562</v>
      </c>
      <c r="M254" s="88"/>
      <c r="N254" s="89"/>
      <c r="O254" s="89"/>
      <c r="P254" s="89"/>
      <c r="Q254" s="89"/>
      <c r="R254" s="87"/>
      <c r="S254" s="89"/>
      <c r="T254" s="87"/>
      <c r="U254" s="87"/>
      <c r="V254" s="90"/>
      <c r="W254" s="90"/>
      <c r="X254" s="87"/>
      <c r="Y254" s="90"/>
      <c r="Z254" s="87"/>
      <c r="AA254" s="90"/>
      <c r="AB254" s="87"/>
      <c r="AC254" s="90"/>
      <c r="AD254" s="87" t="s">
        <v>3568</v>
      </c>
      <c r="AE254" s="87" t="s">
        <v>3569</v>
      </c>
      <c r="AF254" s="87"/>
      <c r="AG254" s="90"/>
    </row>
    <row r="255" spans="1:33">
      <c r="A255" s="91" t="str">
        <f t="shared" si="6"/>
        <v/>
      </c>
      <c r="B255" s="104" t="str">
        <f t="shared" si="7"/>
        <v/>
      </c>
      <c r="C255" s="88"/>
      <c r="D255" s="89"/>
      <c r="E255" s="89"/>
      <c r="F255" s="105"/>
      <c r="G255" s="105"/>
      <c r="H255" s="105"/>
      <c r="I255" s="105"/>
      <c r="J255" s="148"/>
      <c r="K255" s="91" t="s">
        <v>3767</v>
      </c>
      <c r="L255" s="91" t="s">
        <v>3562</v>
      </c>
      <c r="M255" s="88"/>
      <c r="N255" s="89"/>
      <c r="O255" s="89"/>
      <c r="P255" s="89"/>
      <c r="Q255" s="89"/>
      <c r="R255" s="91"/>
      <c r="S255" s="89"/>
      <c r="T255" s="91"/>
      <c r="U255" s="91"/>
      <c r="V255" s="92"/>
      <c r="W255" s="92"/>
      <c r="X255" s="91"/>
      <c r="Y255" s="92"/>
      <c r="Z255" s="91"/>
      <c r="AA255" s="92"/>
      <c r="AB255" s="91"/>
      <c r="AC255" s="92"/>
      <c r="AD255" s="91" t="s">
        <v>3568</v>
      </c>
      <c r="AE255" s="91" t="s">
        <v>3569</v>
      </c>
      <c r="AF255" s="91"/>
      <c r="AG255" s="92"/>
    </row>
    <row r="256" spans="1:33">
      <c r="A256" s="87" t="str">
        <f t="shared" si="6"/>
        <v/>
      </c>
      <c r="B256" s="103" t="str">
        <f t="shared" si="7"/>
        <v/>
      </c>
      <c r="C256" s="88"/>
      <c r="D256" s="89"/>
      <c r="E256" s="89"/>
      <c r="F256" s="105"/>
      <c r="G256" s="105"/>
      <c r="H256" s="105"/>
      <c r="I256" s="105"/>
      <c r="J256" s="148"/>
      <c r="K256" s="87" t="s">
        <v>3767</v>
      </c>
      <c r="L256" s="87" t="s">
        <v>3562</v>
      </c>
      <c r="M256" s="88"/>
      <c r="N256" s="89"/>
      <c r="O256" s="89"/>
      <c r="P256" s="89"/>
      <c r="Q256" s="89"/>
      <c r="R256" s="87"/>
      <c r="S256" s="89"/>
      <c r="T256" s="87"/>
      <c r="U256" s="87"/>
      <c r="V256" s="90"/>
      <c r="W256" s="90"/>
      <c r="X256" s="87"/>
      <c r="Y256" s="90"/>
      <c r="Z256" s="87"/>
      <c r="AA256" s="90"/>
      <c r="AB256" s="87"/>
      <c r="AC256" s="90"/>
      <c r="AD256" s="87" t="s">
        <v>3568</v>
      </c>
      <c r="AE256" s="87" t="s">
        <v>3569</v>
      </c>
      <c r="AF256" s="87"/>
      <c r="AG256" s="90"/>
    </row>
    <row r="257" spans="1:33">
      <c r="A257" s="91" t="str">
        <f t="shared" si="6"/>
        <v/>
      </c>
      <c r="B257" s="104" t="str">
        <f t="shared" si="7"/>
        <v/>
      </c>
      <c r="C257" s="88"/>
      <c r="D257" s="89"/>
      <c r="E257" s="89"/>
      <c r="F257" s="105"/>
      <c r="G257" s="105"/>
      <c r="H257" s="105"/>
      <c r="I257" s="105"/>
      <c r="J257" s="148"/>
      <c r="K257" s="91" t="s">
        <v>3767</v>
      </c>
      <c r="L257" s="91" t="s">
        <v>3562</v>
      </c>
      <c r="M257" s="88"/>
      <c r="N257" s="89"/>
      <c r="O257" s="89"/>
      <c r="P257" s="89"/>
      <c r="Q257" s="89"/>
      <c r="R257" s="91"/>
      <c r="S257" s="89"/>
      <c r="T257" s="91"/>
      <c r="U257" s="91"/>
      <c r="V257" s="92"/>
      <c r="W257" s="92"/>
      <c r="X257" s="91"/>
      <c r="Y257" s="92"/>
      <c r="Z257" s="91"/>
      <c r="AA257" s="92"/>
      <c r="AB257" s="91"/>
      <c r="AC257" s="92"/>
      <c r="AD257" s="91" t="s">
        <v>3568</v>
      </c>
      <c r="AE257" s="91" t="s">
        <v>3569</v>
      </c>
      <c r="AF257" s="91"/>
      <c r="AG257" s="92"/>
    </row>
    <row r="258" spans="1:33">
      <c r="A258" s="87" t="str">
        <f t="shared" si="6"/>
        <v/>
      </c>
      <c r="B258" s="103" t="str">
        <f t="shared" si="7"/>
        <v/>
      </c>
      <c r="C258" s="88"/>
      <c r="D258" s="89"/>
      <c r="E258" s="89"/>
      <c r="F258" s="105"/>
      <c r="G258" s="105"/>
      <c r="H258" s="105"/>
      <c r="I258" s="105"/>
      <c r="J258" s="148"/>
      <c r="K258" s="87" t="s">
        <v>3767</v>
      </c>
      <c r="L258" s="87" t="s">
        <v>3562</v>
      </c>
      <c r="M258" s="88"/>
      <c r="N258" s="89"/>
      <c r="O258" s="89"/>
      <c r="P258" s="89"/>
      <c r="Q258" s="89"/>
      <c r="R258" s="87"/>
      <c r="S258" s="89"/>
      <c r="T258" s="87"/>
      <c r="U258" s="87"/>
      <c r="V258" s="90"/>
      <c r="W258" s="90"/>
      <c r="X258" s="87"/>
      <c r="Y258" s="90"/>
      <c r="Z258" s="87"/>
      <c r="AA258" s="90"/>
      <c r="AB258" s="87"/>
      <c r="AC258" s="90"/>
      <c r="AD258" s="87" t="s">
        <v>3568</v>
      </c>
      <c r="AE258" s="87" t="s">
        <v>3569</v>
      </c>
      <c r="AF258" s="87"/>
      <c r="AG258" s="90"/>
    </row>
    <row r="259" spans="1:33">
      <c r="A259" s="91" t="str">
        <f t="shared" si="6"/>
        <v/>
      </c>
      <c r="B259" s="104" t="str">
        <f t="shared" si="7"/>
        <v/>
      </c>
      <c r="C259" s="88"/>
      <c r="D259" s="89"/>
      <c r="E259" s="89"/>
      <c r="F259" s="105"/>
      <c r="G259" s="105"/>
      <c r="H259" s="105"/>
      <c r="I259" s="105"/>
      <c r="J259" s="148"/>
      <c r="K259" s="91" t="s">
        <v>3767</v>
      </c>
      <c r="L259" s="91" t="s">
        <v>3562</v>
      </c>
      <c r="M259" s="88"/>
      <c r="N259" s="89"/>
      <c r="O259" s="89"/>
      <c r="P259" s="89"/>
      <c r="Q259" s="89"/>
      <c r="R259" s="91"/>
      <c r="S259" s="89"/>
      <c r="T259" s="91"/>
      <c r="U259" s="91"/>
      <c r="V259" s="92"/>
      <c r="W259" s="92"/>
      <c r="X259" s="91"/>
      <c r="Y259" s="92"/>
      <c r="Z259" s="91"/>
      <c r="AA259" s="92"/>
      <c r="AB259" s="91"/>
      <c r="AC259" s="92"/>
      <c r="AD259" s="91" t="s">
        <v>3568</v>
      </c>
      <c r="AE259" s="91" t="s">
        <v>3569</v>
      </c>
      <c r="AF259" s="91"/>
      <c r="AG259" s="92"/>
    </row>
    <row r="260" spans="1:33">
      <c r="A260" s="87" t="str">
        <f t="shared" si="6"/>
        <v/>
      </c>
      <c r="B260" s="103" t="str">
        <f t="shared" si="7"/>
        <v/>
      </c>
      <c r="C260" s="88"/>
      <c r="D260" s="89"/>
      <c r="E260" s="89"/>
      <c r="F260" s="105"/>
      <c r="G260" s="105"/>
      <c r="H260" s="105"/>
      <c r="I260" s="105"/>
      <c r="J260" s="148"/>
      <c r="K260" s="87" t="s">
        <v>3767</v>
      </c>
      <c r="L260" s="87" t="s">
        <v>3562</v>
      </c>
      <c r="M260" s="88"/>
      <c r="N260" s="89"/>
      <c r="O260" s="89"/>
      <c r="P260" s="89"/>
      <c r="Q260" s="89"/>
      <c r="R260" s="87"/>
      <c r="S260" s="89"/>
      <c r="T260" s="87"/>
      <c r="U260" s="87"/>
      <c r="V260" s="90"/>
      <c r="W260" s="90"/>
      <c r="X260" s="87"/>
      <c r="Y260" s="90"/>
      <c r="Z260" s="87"/>
      <c r="AA260" s="90"/>
      <c r="AB260" s="87"/>
      <c r="AC260" s="90"/>
      <c r="AD260" s="87" t="s">
        <v>3568</v>
      </c>
      <c r="AE260" s="87" t="s">
        <v>3569</v>
      </c>
      <c r="AF260" s="87"/>
      <c r="AG260" s="90"/>
    </row>
    <row r="261" spans="1:33">
      <c r="A261" s="91" t="str">
        <f t="shared" si="6"/>
        <v/>
      </c>
      <c r="B261" s="104" t="str">
        <f t="shared" si="7"/>
        <v/>
      </c>
      <c r="C261" s="88"/>
      <c r="D261" s="89"/>
      <c r="E261" s="89"/>
      <c r="F261" s="105"/>
      <c r="G261" s="105"/>
      <c r="H261" s="105"/>
      <c r="I261" s="105"/>
      <c r="J261" s="148"/>
      <c r="K261" s="91" t="s">
        <v>3767</v>
      </c>
      <c r="L261" s="91" t="s">
        <v>3562</v>
      </c>
      <c r="M261" s="88"/>
      <c r="N261" s="89"/>
      <c r="O261" s="89"/>
      <c r="P261" s="89"/>
      <c r="Q261" s="89"/>
      <c r="R261" s="91"/>
      <c r="S261" s="89"/>
      <c r="T261" s="91"/>
      <c r="U261" s="91"/>
      <c r="V261" s="92"/>
      <c r="W261" s="92"/>
      <c r="X261" s="91"/>
      <c r="Y261" s="92"/>
      <c r="Z261" s="91"/>
      <c r="AA261" s="92"/>
      <c r="AB261" s="91"/>
      <c r="AC261" s="92"/>
      <c r="AD261" s="91" t="s">
        <v>3568</v>
      </c>
      <c r="AE261" s="91" t="s">
        <v>3569</v>
      </c>
      <c r="AF261" s="91"/>
      <c r="AG261" s="92"/>
    </row>
    <row r="262" spans="1:33">
      <c r="A262" s="87" t="str">
        <f t="shared" ref="A262:A325" si="8">IF(B262&lt;&gt;"",(ROW()-4),"")</f>
        <v/>
      </c>
      <c r="B262" s="103" t="str">
        <f t="shared" ref="B262:B325" si="9">IF(D262&lt;&gt;"","CASE-PMS-ADV-2026-"&amp;TEXT(ROW()-4,"000"),"")</f>
        <v/>
      </c>
      <c r="C262" s="88"/>
      <c r="D262" s="89"/>
      <c r="E262" s="89"/>
      <c r="F262" s="105"/>
      <c r="G262" s="105"/>
      <c r="H262" s="105"/>
      <c r="I262" s="105"/>
      <c r="J262" s="148"/>
      <c r="K262" s="87" t="s">
        <v>3767</v>
      </c>
      <c r="L262" s="87" t="s">
        <v>3562</v>
      </c>
      <c r="M262" s="88"/>
      <c r="N262" s="89"/>
      <c r="O262" s="89"/>
      <c r="P262" s="89"/>
      <c r="Q262" s="89"/>
      <c r="R262" s="87"/>
      <c r="S262" s="89"/>
      <c r="T262" s="87"/>
      <c r="U262" s="87"/>
      <c r="V262" s="90"/>
      <c r="W262" s="90"/>
      <c r="X262" s="87"/>
      <c r="Y262" s="90"/>
      <c r="Z262" s="87"/>
      <c r="AA262" s="90"/>
      <c r="AB262" s="87"/>
      <c r="AC262" s="90"/>
      <c r="AD262" s="87" t="s">
        <v>3568</v>
      </c>
      <c r="AE262" s="87" t="s">
        <v>3569</v>
      </c>
      <c r="AF262" s="87"/>
      <c r="AG262" s="90"/>
    </row>
    <row r="263" spans="1:33">
      <c r="A263" s="91" t="str">
        <f t="shared" si="8"/>
        <v/>
      </c>
      <c r="B263" s="104" t="str">
        <f t="shared" si="9"/>
        <v/>
      </c>
      <c r="C263" s="88"/>
      <c r="D263" s="89"/>
      <c r="E263" s="89"/>
      <c r="F263" s="105"/>
      <c r="G263" s="105"/>
      <c r="H263" s="105"/>
      <c r="I263" s="105"/>
      <c r="J263" s="148"/>
      <c r="K263" s="91" t="s">
        <v>3767</v>
      </c>
      <c r="L263" s="91" t="s">
        <v>3562</v>
      </c>
      <c r="M263" s="88"/>
      <c r="N263" s="89"/>
      <c r="O263" s="89"/>
      <c r="P263" s="89"/>
      <c r="Q263" s="89"/>
      <c r="R263" s="91"/>
      <c r="S263" s="89"/>
      <c r="T263" s="91"/>
      <c r="U263" s="91"/>
      <c r="V263" s="92"/>
      <c r="W263" s="92"/>
      <c r="X263" s="91"/>
      <c r="Y263" s="92"/>
      <c r="Z263" s="91"/>
      <c r="AA263" s="92"/>
      <c r="AB263" s="91"/>
      <c r="AC263" s="92"/>
      <c r="AD263" s="91" t="s">
        <v>3568</v>
      </c>
      <c r="AE263" s="91" t="s">
        <v>3569</v>
      </c>
      <c r="AF263" s="91"/>
      <c r="AG263" s="92"/>
    </row>
    <row r="264" spans="1:33">
      <c r="A264" s="87" t="str">
        <f t="shared" si="8"/>
        <v/>
      </c>
      <c r="B264" s="103" t="str">
        <f t="shared" si="9"/>
        <v/>
      </c>
      <c r="C264" s="88"/>
      <c r="D264" s="89"/>
      <c r="E264" s="89"/>
      <c r="F264" s="105"/>
      <c r="G264" s="105"/>
      <c r="H264" s="105"/>
      <c r="I264" s="105"/>
      <c r="J264" s="148"/>
      <c r="K264" s="87" t="s">
        <v>3767</v>
      </c>
      <c r="L264" s="87" t="s">
        <v>3562</v>
      </c>
      <c r="M264" s="88"/>
      <c r="N264" s="89"/>
      <c r="O264" s="89"/>
      <c r="P264" s="89"/>
      <c r="Q264" s="89"/>
      <c r="R264" s="87"/>
      <c r="S264" s="89"/>
      <c r="T264" s="87"/>
      <c r="U264" s="87"/>
      <c r="V264" s="90"/>
      <c r="W264" s="90"/>
      <c r="X264" s="87"/>
      <c r="Y264" s="90"/>
      <c r="Z264" s="87"/>
      <c r="AA264" s="90"/>
      <c r="AB264" s="87"/>
      <c r="AC264" s="90"/>
      <c r="AD264" s="87" t="s">
        <v>3568</v>
      </c>
      <c r="AE264" s="87" t="s">
        <v>3569</v>
      </c>
      <c r="AF264" s="87"/>
      <c r="AG264" s="90"/>
    </row>
    <row r="265" spans="1:33">
      <c r="A265" s="91" t="str">
        <f t="shared" si="8"/>
        <v/>
      </c>
      <c r="B265" s="104" t="str">
        <f t="shared" si="9"/>
        <v/>
      </c>
      <c r="C265" s="88"/>
      <c r="D265" s="89"/>
      <c r="E265" s="89"/>
      <c r="F265" s="105"/>
      <c r="G265" s="105"/>
      <c r="H265" s="105"/>
      <c r="I265" s="105"/>
      <c r="J265" s="148"/>
      <c r="K265" s="91" t="s">
        <v>3767</v>
      </c>
      <c r="L265" s="91" t="s">
        <v>3562</v>
      </c>
      <c r="M265" s="88"/>
      <c r="N265" s="89"/>
      <c r="O265" s="89"/>
      <c r="P265" s="89"/>
      <c r="Q265" s="89"/>
      <c r="R265" s="91"/>
      <c r="S265" s="89"/>
      <c r="T265" s="91"/>
      <c r="U265" s="91"/>
      <c r="V265" s="92"/>
      <c r="W265" s="92"/>
      <c r="X265" s="91"/>
      <c r="Y265" s="92"/>
      <c r="Z265" s="91"/>
      <c r="AA265" s="92"/>
      <c r="AB265" s="91"/>
      <c r="AC265" s="92"/>
      <c r="AD265" s="91" t="s">
        <v>3568</v>
      </c>
      <c r="AE265" s="91" t="s">
        <v>3569</v>
      </c>
      <c r="AF265" s="91"/>
      <c r="AG265" s="92"/>
    </row>
    <row r="266" spans="1:33">
      <c r="A266" s="87" t="str">
        <f t="shared" si="8"/>
        <v/>
      </c>
      <c r="B266" s="103" t="str">
        <f t="shared" si="9"/>
        <v/>
      </c>
      <c r="C266" s="88"/>
      <c r="D266" s="89"/>
      <c r="E266" s="89"/>
      <c r="F266" s="105"/>
      <c r="G266" s="105"/>
      <c r="H266" s="105"/>
      <c r="I266" s="105"/>
      <c r="J266" s="148"/>
      <c r="K266" s="87" t="s">
        <v>3767</v>
      </c>
      <c r="L266" s="87" t="s">
        <v>3562</v>
      </c>
      <c r="M266" s="88"/>
      <c r="N266" s="89"/>
      <c r="O266" s="89"/>
      <c r="P266" s="89"/>
      <c r="Q266" s="89"/>
      <c r="R266" s="87"/>
      <c r="S266" s="89"/>
      <c r="T266" s="87"/>
      <c r="U266" s="87"/>
      <c r="V266" s="90"/>
      <c r="W266" s="90"/>
      <c r="X266" s="87"/>
      <c r="Y266" s="90"/>
      <c r="Z266" s="87"/>
      <c r="AA266" s="90"/>
      <c r="AB266" s="87"/>
      <c r="AC266" s="90"/>
      <c r="AD266" s="87" t="s">
        <v>3568</v>
      </c>
      <c r="AE266" s="87" t="s">
        <v>3569</v>
      </c>
      <c r="AF266" s="87"/>
      <c r="AG266" s="90"/>
    </row>
    <row r="267" spans="1:33">
      <c r="A267" s="91" t="str">
        <f t="shared" si="8"/>
        <v/>
      </c>
      <c r="B267" s="104" t="str">
        <f t="shared" si="9"/>
        <v/>
      </c>
      <c r="C267" s="88"/>
      <c r="D267" s="89"/>
      <c r="E267" s="89"/>
      <c r="F267" s="105"/>
      <c r="G267" s="105"/>
      <c r="H267" s="105"/>
      <c r="I267" s="105"/>
      <c r="J267" s="148"/>
      <c r="K267" s="91" t="s">
        <v>3767</v>
      </c>
      <c r="L267" s="91" t="s">
        <v>3562</v>
      </c>
      <c r="M267" s="88"/>
      <c r="N267" s="89"/>
      <c r="O267" s="89"/>
      <c r="P267" s="89"/>
      <c r="Q267" s="89"/>
      <c r="R267" s="91"/>
      <c r="S267" s="89"/>
      <c r="T267" s="91"/>
      <c r="U267" s="91"/>
      <c r="V267" s="92"/>
      <c r="W267" s="92"/>
      <c r="X267" s="91"/>
      <c r="Y267" s="92"/>
      <c r="Z267" s="91"/>
      <c r="AA267" s="92"/>
      <c r="AB267" s="91"/>
      <c r="AC267" s="92"/>
      <c r="AD267" s="91" t="s">
        <v>3568</v>
      </c>
      <c r="AE267" s="91" t="s">
        <v>3569</v>
      </c>
      <c r="AF267" s="91"/>
      <c r="AG267" s="92"/>
    </row>
    <row r="268" spans="1:33">
      <c r="A268" s="87" t="str">
        <f t="shared" si="8"/>
        <v/>
      </c>
      <c r="B268" s="103" t="str">
        <f t="shared" si="9"/>
        <v/>
      </c>
      <c r="C268" s="88"/>
      <c r="D268" s="89"/>
      <c r="E268" s="89"/>
      <c r="F268" s="105"/>
      <c r="G268" s="105"/>
      <c r="H268" s="105"/>
      <c r="I268" s="105"/>
      <c r="J268" s="148"/>
      <c r="K268" s="87" t="s">
        <v>3767</v>
      </c>
      <c r="L268" s="87" t="s">
        <v>3562</v>
      </c>
      <c r="M268" s="88"/>
      <c r="N268" s="89"/>
      <c r="O268" s="89"/>
      <c r="P268" s="89"/>
      <c r="Q268" s="89"/>
      <c r="R268" s="87"/>
      <c r="S268" s="89"/>
      <c r="T268" s="87"/>
      <c r="U268" s="87"/>
      <c r="V268" s="90"/>
      <c r="W268" s="90"/>
      <c r="X268" s="87"/>
      <c r="Y268" s="90"/>
      <c r="Z268" s="87"/>
      <c r="AA268" s="90"/>
      <c r="AB268" s="87"/>
      <c r="AC268" s="90"/>
      <c r="AD268" s="87" t="s">
        <v>3568</v>
      </c>
      <c r="AE268" s="87" t="s">
        <v>3569</v>
      </c>
      <c r="AF268" s="87"/>
      <c r="AG268" s="90"/>
    </row>
    <row r="269" spans="1:33">
      <c r="A269" s="91" t="str">
        <f t="shared" si="8"/>
        <v/>
      </c>
      <c r="B269" s="104" t="str">
        <f t="shared" si="9"/>
        <v/>
      </c>
      <c r="C269" s="88"/>
      <c r="D269" s="89"/>
      <c r="E269" s="89"/>
      <c r="F269" s="105"/>
      <c r="G269" s="105"/>
      <c r="H269" s="105"/>
      <c r="I269" s="105"/>
      <c r="J269" s="148"/>
      <c r="K269" s="91" t="s">
        <v>3767</v>
      </c>
      <c r="L269" s="91" t="s">
        <v>3562</v>
      </c>
      <c r="M269" s="88"/>
      <c r="N269" s="89"/>
      <c r="O269" s="89"/>
      <c r="P269" s="89"/>
      <c r="Q269" s="89"/>
      <c r="R269" s="91"/>
      <c r="S269" s="89"/>
      <c r="T269" s="91"/>
      <c r="U269" s="91"/>
      <c r="V269" s="92"/>
      <c r="W269" s="92"/>
      <c r="X269" s="91"/>
      <c r="Y269" s="92"/>
      <c r="Z269" s="91"/>
      <c r="AA269" s="92"/>
      <c r="AB269" s="91"/>
      <c r="AC269" s="92"/>
      <c r="AD269" s="91" t="s">
        <v>3568</v>
      </c>
      <c r="AE269" s="91" t="s">
        <v>3569</v>
      </c>
      <c r="AF269" s="91"/>
      <c r="AG269" s="92"/>
    </row>
    <row r="270" spans="1:33">
      <c r="A270" s="87" t="str">
        <f t="shared" si="8"/>
        <v/>
      </c>
      <c r="B270" s="103" t="str">
        <f t="shared" si="9"/>
        <v/>
      </c>
      <c r="C270" s="88"/>
      <c r="D270" s="89"/>
      <c r="E270" s="89"/>
      <c r="F270" s="105"/>
      <c r="G270" s="105"/>
      <c r="H270" s="105"/>
      <c r="I270" s="105"/>
      <c r="J270" s="148"/>
      <c r="K270" s="87" t="s">
        <v>3767</v>
      </c>
      <c r="L270" s="87" t="s">
        <v>3562</v>
      </c>
      <c r="M270" s="88"/>
      <c r="N270" s="89"/>
      <c r="O270" s="89"/>
      <c r="P270" s="89"/>
      <c r="Q270" s="89"/>
      <c r="R270" s="87"/>
      <c r="S270" s="89"/>
      <c r="T270" s="87"/>
      <c r="U270" s="87"/>
      <c r="V270" s="90"/>
      <c r="W270" s="90"/>
      <c r="X270" s="87"/>
      <c r="Y270" s="90"/>
      <c r="Z270" s="87"/>
      <c r="AA270" s="90"/>
      <c r="AB270" s="87"/>
      <c r="AC270" s="90"/>
      <c r="AD270" s="87" t="s">
        <v>3568</v>
      </c>
      <c r="AE270" s="87" t="s">
        <v>3569</v>
      </c>
      <c r="AF270" s="87"/>
      <c r="AG270" s="90"/>
    </row>
    <row r="271" spans="1:33">
      <c r="A271" s="91" t="str">
        <f t="shared" si="8"/>
        <v/>
      </c>
      <c r="B271" s="104" t="str">
        <f t="shared" si="9"/>
        <v/>
      </c>
      <c r="C271" s="88"/>
      <c r="D271" s="89"/>
      <c r="E271" s="89"/>
      <c r="F271" s="105"/>
      <c r="G271" s="105"/>
      <c r="H271" s="105"/>
      <c r="I271" s="105"/>
      <c r="J271" s="148"/>
      <c r="K271" s="91" t="s">
        <v>3767</v>
      </c>
      <c r="L271" s="91" t="s">
        <v>3562</v>
      </c>
      <c r="M271" s="88"/>
      <c r="N271" s="89"/>
      <c r="O271" s="89"/>
      <c r="P271" s="89"/>
      <c r="Q271" s="89"/>
      <c r="R271" s="91"/>
      <c r="S271" s="89"/>
      <c r="T271" s="91"/>
      <c r="U271" s="91"/>
      <c r="V271" s="92"/>
      <c r="W271" s="92"/>
      <c r="X271" s="91"/>
      <c r="Y271" s="92"/>
      <c r="Z271" s="91"/>
      <c r="AA271" s="92"/>
      <c r="AB271" s="91"/>
      <c r="AC271" s="92"/>
      <c r="AD271" s="91" t="s">
        <v>3568</v>
      </c>
      <c r="AE271" s="91" t="s">
        <v>3569</v>
      </c>
      <c r="AF271" s="91"/>
      <c r="AG271" s="92"/>
    </row>
    <row r="272" spans="1:33">
      <c r="A272" s="87" t="str">
        <f t="shared" si="8"/>
        <v/>
      </c>
      <c r="B272" s="103" t="str">
        <f t="shared" si="9"/>
        <v/>
      </c>
      <c r="C272" s="88"/>
      <c r="D272" s="89"/>
      <c r="E272" s="89"/>
      <c r="F272" s="105"/>
      <c r="G272" s="105"/>
      <c r="H272" s="105"/>
      <c r="I272" s="105"/>
      <c r="J272" s="148"/>
      <c r="K272" s="87" t="s">
        <v>3767</v>
      </c>
      <c r="L272" s="87" t="s">
        <v>3562</v>
      </c>
      <c r="M272" s="88"/>
      <c r="N272" s="89"/>
      <c r="O272" s="89"/>
      <c r="P272" s="89"/>
      <c r="Q272" s="89"/>
      <c r="R272" s="87"/>
      <c r="S272" s="89"/>
      <c r="T272" s="87"/>
      <c r="U272" s="87"/>
      <c r="V272" s="90"/>
      <c r="W272" s="90"/>
      <c r="X272" s="87"/>
      <c r="Y272" s="90"/>
      <c r="Z272" s="87"/>
      <c r="AA272" s="90"/>
      <c r="AB272" s="87"/>
      <c r="AC272" s="90"/>
      <c r="AD272" s="87" t="s">
        <v>3568</v>
      </c>
      <c r="AE272" s="87" t="s">
        <v>3569</v>
      </c>
      <c r="AF272" s="87"/>
      <c r="AG272" s="90"/>
    </row>
    <row r="273" spans="1:33">
      <c r="A273" s="91" t="str">
        <f t="shared" si="8"/>
        <v/>
      </c>
      <c r="B273" s="104" t="str">
        <f t="shared" si="9"/>
        <v/>
      </c>
      <c r="C273" s="88"/>
      <c r="D273" s="89"/>
      <c r="E273" s="89"/>
      <c r="F273" s="105"/>
      <c r="G273" s="105"/>
      <c r="H273" s="105"/>
      <c r="I273" s="105"/>
      <c r="J273" s="148"/>
      <c r="K273" s="91" t="s">
        <v>3767</v>
      </c>
      <c r="L273" s="91" t="s">
        <v>3562</v>
      </c>
      <c r="M273" s="88"/>
      <c r="N273" s="89"/>
      <c r="O273" s="89"/>
      <c r="P273" s="89"/>
      <c r="Q273" s="89"/>
      <c r="R273" s="91"/>
      <c r="S273" s="89"/>
      <c r="T273" s="91"/>
      <c r="U273" s="91"/>
      <c r="V273" s="92"/>
      <c r="W273" s="92"/>
      <c r="X273" s="91"/>
      <c r="Y273" s="92"/>
      <c r="Z273" s="91"/>
      <c r="AA273" s="92"/>
      <c r="AB273" s="91"/>
      <c r="AC273" s="92"/>
      <c r="AD273" s="91" t="s">
        <v>3568</v>
      </c>
      <c r="AE273" s="91" t="s">
        <v>3569</v>
      </c>
      <c r="AF273" s="91"/>
      <c r="AG273" s="92"/>
    </row>
    <row r="274" spans="1:33">
      <c r="A274" s="87" t="str">
        <f t="shared" si="8"/>
        <v/>
      </c>
      <c r="B274" s="103" t="str">
        <f t="shared" si="9"/>
        <v/>
      </c>
      <c r="C274" s="88"/>
      <c r="D274" s="89"/>
      <c r="E274" s="89"/>
      <c r="F274" s="105"/>
      <c r="G274" s="105"/>
      <c r="H274" s="105"/>
      <c r="I274" s="105"/>
      <c r="J274" s="148"/>
      <c r="K274" s="87" t="s">
        <v>3767</v>
      </c>
      <c r="L274" s="87" t="s">
        <v>3562</v>
      </c>
      <c r="M274" s="88"/>
      <c r="N274" s="89"/>
      <c r="O274" s="89"/>
      <c r="P274" s="89"/>
      <c r="Q274" s="89"/>
      <c r="R274" s="87"/>
      <c r="S274" s="89"/>
      <c r="T274" s="87"/>
      <c r="U274" s="87"/>
      <c r="V274" s="90"/>
      <c r="W274" s="90"/>
      <c r="X274" s="87"/>
      <c r="Y274" s="90"/>
      <c r="Z274" s="87"/>
      <c r="AA274" s="90"/>
      <c r="AB274" s="87"/>
      <c r="AC274" s="90"/>
      <c r="AD274" s="87" t="s">
        <v>3568</v>
      </c>
      <c r="AE274" s="87" t="s">
        <v>3569</v>
      </c>
      <c r="AF274" s="87"/>
      <c r="AG274" s="90"/>
    </row>
    <row r="275" spans="1:33">
      <c r="A275" s="91" t="str">
        <f t="shared" si="8"/>
        <v/>
      </c>
      <c r="B275" s="104" t="str">
        <f t="shared" si="9"/>
        <v/>
      </c>
      <c r="C275" s="88"/>
      <c r="D275" s="89"/>
      <c r="E275" s="89"/>
      <c r="F275" s="105"/>
      <c r="G275" s="105"/>
      <c r="H275" s="105"/>
      <c r="I275" s="105"/>
      <c r="J275" s="148"/>
      <c r="K275" s="91" t="s">
        <v>3767</v>
      </c>
      <c r="L275" s="91" t="s">
        <v>3562</v>
      </c>
      <c r="M275" s="88"/>
      <c r="N275" s="89"/>
      <c r="O275" s="89"/>
      <c r="P275" s="89"/>
      <c r="Q275" s="89"/>
      <c r="R275" s="91"/>
      <c r="S275" s="89"/>
      <c r="T275" s="91"/>
      <c r="U275" s="91"/>
      <c r="V275" s="92"/>
      <c r="W275" s="92"/>
      <c r="X275" s="91"/>
      <c r="Y275" s="92"/>
      <c r="Z275" s="91"/>
      <c r="AA275" s="92"/>
      <c r="AB275" s="91"/>
      <c r="AC275" s="92"/>
      <c r="AD275" s="91" t="s">
        <v>3568</v>
      </c>
      <c r="AE275" s="91" t="s">
        <v>3569</v>
      </c>
      <c r="AF275" s="91"/>
      <c r="AG275" s="92"/>
    </row>
    <row r="276" spans="1:33">
      <c r="A276" s="87" t="str">
        <f t="shared" si="8"/>
        <v/>
      </c>
      <c r="B276" s="103" t="str">
        <f t="shared" si="9"/>
        <v/>
      </c>
      <c r="C276" s="88"/>
      <c r="D276" s="89"/>
      <c r="E276" s="89"/>
      <c r="F276" s="105"/>
      <c r="G276" s="105"/>
      <c r="H276" s="105"/>
      <c r="I276" s="105"/>
      <c r="J276" s="148"/>
      <c r="K276" s="87" t="s">
        <v>3767</v>
      </c>
      <c r="L276" s="87" t="s">
        <v>3562</v>
      </c>
      <c r="M276" s="88"/>
      <c r="N276" s="89"/>
      <c r="O276" s="89"/>
      <c r="P276" s="89"/>
      <c r="Q276" s="89"/>
      <c r="R276" s="87"/>
      <c r="S276" s="89"/>
      <c r="T276" s="87"/>
      <c r="U276" s="87"/>
      <c r="V276" s="90"/>
      <c r="W276" s="90"/>
      <c r="X276" s="87"/>
      <c r="Y276" s="90"/>
      <c r="Z276" s="87"/>
      <c r="AA276" s="90"/>
      <c r="AB276" s="87"/>
      <c r="AC276" s="90"/>
      <c r="AD276" s="87" t="s">
        <v>3568</v>
      </c>
      <c r="AE276" s="87" t="s">
        <v>3569</v>
      </c>
      <c r="AF276" s="87"/>
      <c r="AG276" s="90"/>
    </row>
    <row r="277" spans="1:33">
      <c r="A277" s="91" t="str">
        <f t="shared" si="8"/>
        <v/>
      </c>
      <c r="B277" s="104" t="str">
        <f t="shared" si="9"/>
        <v/>
      </c>
      <c r="C277" s="88"/>
      <c r="D277" s="89"/>
      <c r="E277" s="89"/>
      <c r="F277" s="105"/>
      <c r="G277" s="105"/>
      <c r="H277" s="105"/>
      <c r="I277" s="105"/>
      <c r="J277" s="148"/>
      <c r="K277" s="91" t="s">
        <v>3767</v>
      </c>
      <c r="L277" s="91" t="s">
        <v>3562</v>
      </c>
      <c r="M277" s="88"/>
      <c r="N277" s="89"/>
      <c r="O277" s="89"/>
      <c r="P277" s="89"/>
      <c r="Q277" s="89"/>
      <c r="R277" s="91"/>
      <c r="S277" s="89"/>
      <c r="T277" s="91"/>
      <c r="U277" s="91"/>
      <c r="V277" s="92"/>
      <c r="W277" s="92"/>
      <c r="X277" s="91"/>
      <c r="Y277" s="92"/>
      <c r="Z277" s="91"/>
      <c r="AA277" s="92"/>
      <c r="AB277" s="91"/>
      <c r="AC277" s="92"/>
      <c r="AD277" s="91" t="s">
        <v>3568</v>
      </c>
      <c r="AE277" s="91" t="s">
        <v>3569</v>
      </c>
      <c r="AF277" s="91"/>
      <c r="AG277" s="92"/>
    </row>
    <row r="278" spans="1:33">
      <c r="A278" s="87" t="str">
        <f t="shared" si="8"/>
        <v/>
      </c>
      <c r="B278" s="103" t="str">
        <f t="shared" si="9"/>
        <v/>
      </c>
      <c r="C278" s="88"/>
      <c r="D278" s="89"/>
      <c r="E278" s="89"/>
      <c r="F278" s="105"/>
      <c r="G278" s="105"/>
      <c r="H278" s="105"/>
      <c r="I278" s="105"/>
      <c r="J278" s="148"/>
      <c r="K278" s="87" t="s">
        <v>3767</v>
      </c>
      <c r="L278" s="87" t="s">
        <v>3562</v>
      </c>
      <c r="M278" s="88"/>
      <c r="N278" s="89"/>
      <c r="O278" s="89"/>
      <c r="P278" s="89"/>
      <c r="Q278" s="89"/>
      <c r="R278" s="87"/>
      <c r="S278" s="89"/>
      <c r="T278" s="87"/>
      <c r="U278" s="87"/>
      <c r="V278" s="90"/>
      <c r="W278" s="90"/>
      <c r="X278" s="87"/>
      <c r="Y278" s="90"/>
      <c r="Z278" s="87"/>
      <c r="AA278" s="90"/>
      <c r="AB278" s="87"/>
      <c r="AC278" s="90"/>
      <c r="AD278" s="87" t="s">
        <v>3568</v>
      </c>
      <c r="AE278" s="87" t="s">
        <v>3569</v>
      </c>
      <c r="AF278" s="87"/>
      <c r="AG278" s="90"/>
    </row>
    <row r="279" spans="1:33">
      <c r="A279" s="91" t="str">
        <f t="shared" si="8"/>
        <v/>
      </c>
      <c r="B279" s="104" t="str">
        <f t="shared" si="9"/>
        <v/>
      </c>
      <c r="C279" s="88"/>
      <c r="D279" s="89"/>
      <c r="E279" s="89"/>
      <c r="F279" s="105"/>
      <c r="G279" s="105"/>
      <c r="H279" s="105"/>
      <c r="I279" s="105"/>
      <c r="J279" s="148"/>
      <c r="K279" s="91" t="s">
        <v>3767</v>
      </c>
      <c r="L279" s="91" t="s">
        <v>3562</v>
      </c>
      <c r="M279" s="88"/>
      <c r="N279" s="89"/>
      <c r="O279" s="89"/>
      <c r="P279" s="89"/>
      <c r="Q279" s="89"/>
      <c r="R279" s="91"/>
      <c r="S279" s="89"/>
      <c r="T279" s="91"/>
      <c r="U279" s="91"/>
      <c r="V279" s="92"/>
      <c r="W279" s="92"/>
      <c r="X279" s="91"/>
      <c r="Y279" s="92"/>
      <c r="Z279" s="91"/>
      <c r="AA279" s="92"/>
      <c r="AB279" s="91"/>
      <c r="AC279" s="92"/>
      <c r="AD279" s="91" t="s">
        <v>3568</v>
      </c>
      <c r="AE279" s="91" t="s">
        <v>3569</v>
      </c>
      <c r="AF279" s="91"/>
      <c r="AG279" s="92"/>
    </row>
    <row r="280" spans="1:33">
      <c r="A280" s="87" t="str">
        <f t="shared" si="8"/>
        <v/>
      </c>
      <c r="B280" s="103" t="str">
        <f t="shared" si="9"/>
        <v/>
      </c>
      <c r="C280" s="88"/>
      <c r="D280" s="89"/>
      <c r="E280" s="89"/>
      <c r="F280" s="105"/>
      <c r="G280" s="105"/>
      <c r="H280" s="105"/>
      <c r="I280" s="105"/>
      <c r="J280" s="148"/>
      <c r="K280" s="87" t="s">
        <v>3767</v>
      </c>
      <c r="L280" s="87" t="s">
        <v>3562</v>
      </c>
      <c r="M280" s="88"/>
      <c r="N280" s="89"/>
      <c r="O280" s="89"/>
      <c r="P280" s="89"/>
      <c r="Q280" s="89"/>
      <c r="R280" s="87"/>
      <c r="S280" s="89"/>
      <c r="T280" s="87"/>
      <c r="U280" s="87"/>
      <c r="V280" s="90"/>
      <c r="W280" s="90"/>
      <c r="X280" s="87"/>
      <c r="Y280" s="90"/>
      <c r="Z280" s="87"/>
      <c r="AA280" s="90"/>
      <c r="AB280" s="87"/>
      <c r="AC280" s="90"/>
      <c r="AD280" s="87" t="s">
        <v>3568</v>
      </c>
      <c r="AE280" s="87" t="s">
        <v>3569</v>
      </c>
      <c r="AF280" s="87"/>
      <c r="AG280" s="90"/>
    </row>
    <row r="281" spans="1:33">
      <c r="A281" s="91" t="str">
        <f t="shared" si="8"/>
        <v/>
      </c>
      <c r="B281" s="104" t="str">
        <f t="shared" si="9"/>
        <v/>
      </c>
      <c r="C281" s="88"/>
      <c r="D281" s="89"/>
      <c r="E281" s="89"/>
      <c r="F281" s="105"/>
      <c r="G281" s="105"/>
      <c r="H281" s="105"/>
      <c r="I281" s="105"/>
      <c r="J281" s="148"/>
      <c r="K281" s="91" t="s">
        <v>3767</v>
      </c>
      <c r="L281" s="91" t="s">
        <v>3562</v>
      </c>
      <c r="M281" s="88"/>
      <c r="N281" s="89"/>
      <c r="O281" s="89"/>
      <c r="P281" s="89"/>
      <c r="Q281" s="89"/>
      <c r="R281" s="91"/>
      <c r="S281" s="89"/>
      <c r="T281" s="91"/>
      <c r="U281" s="91"/>
      <c r="V281" s="92"/>
      <c r="W281" s="92"/>
      <c r="X281" s="91"/>
      <c r="Y281" s="92"/>
      <c r="Z281" s="91"/>
      <c r="AA281" s="92"/>
      <c r="AB281" s="91"/>
      <c r="AC281" s="92"/>
      <c r="AD281" s="91" t="s">
        <v>3568</v>
      </c>
      <c r="AE281" s="91" t="s">
        <v>3569</v>
      </c>
      <c r="AF281" s="91"/>
      <c r="AG281" s="92"/>
    </row>
    <row r="282" spans="1:33">
      <c r="A282" s="87" t="str">
        <f t="shared" si="8"/>
        <v/>
      </c>
      <c r="B282" s="103" t="str">
        <f t="shared" si="9"/>
        <v/>
      </c>
      <c r="C282" s="88"/>
      <c r="D282" s="89"/>
      <c r="E282" s="89"/>
      <c r="F282" s="105"/>
      <c r="G282" s="105"/>
      <c r="H282" s="105"/>
      <c r="I282" s="105"/>
      <c r="J282" s="148"/>
      <c r="K282" s="87" t="s">
        <v>3767</v>
      </c>
      <c r="L282" s="87" t="s">
        <v>3562</v>
      </c>
      <c r="M282" s="88"/>
      <c r="N282" s="89"/>
      <c r="O282" s="89"/>
      <c r="P282" s="89"/>
      <c r="Q282" s="89"/>
      <c r="R282" s="87"/>
      <c r="S282" s="89"/>
      <c r="T282" s="87"/>
      <c r="U282" s="87"/>
      <c r="V282" s="90"/>
      <c r="W282" s="90"/>
      <c r="X282" s="87"/>
      <c r="Y282" s="90"/>
      <c r="Z282" s="87"/>
      <c r="AA282" s="90"/>
      <c r="AB282" s="87"/>
      <c r="AC282" s="90"/>
      <c r="AD282" s="87" t="s">
        <v>3568</v>
      </c>
      <c r="AE282" s="87" t="s">
        <v>3569</v>
      </c>
      <c r="AF282" s="87"/>
      <c r="AG282" s="90"/>
    </row>
    <row r="283" spans="1:33">
      <c r="A283" s="91" t="str">
        <f t="shared" si="8"/>
        <v/>
      </c>
      <c r="B283" s="104" t="str">
        <f t="shared" si="9"/>
        <v/>
      </c>
      <c r="C283" s="88"/>
      <c r="D283" s="89"/>
      <c r="E283" s="89"/>
      <c r="F283" s="105"/>
      <c r="G283" s="105"/>
      <c r="H283" s="105"/>
      <c r="I283" s="105"/>
      <c r="J283" s="148"/>
      <c r="K283" s="91" t="s">
        <v>3767</v>
      </c>
      <c r="L283" s="91" t="s">
        <v>3562</v>
      </c>
      <c r="M283" s="88"/>
      <c r="N283" s="89"/>
      <c r="O283" s="89"/>
      <c r="P283" s="89"/>
      <c r="Q283" s="89"/>
      <c r="R283" s="91"/>
      <c r="S283" s="89"/>
      <c r="T283" s="91"/>
      <c r="U283" s="91"/>
      <c r="V283" s="92"/>
      <c r="W283" s="92"/>
      <c r="X283" s="91"/>
      <c r="Y283" s="92"/>
      <c r="Z283" s="91"/>
      <c r="AA283" s="92"/>
      <c r="AB283" s="91"/>
      <c r="AC283" s="92"/>
      <c r="AD283" s="91" t="s">
        <v>3568</v>
      </c>
      <c r="AE283" s="91" t="s">
        <v>3569</v>
      </c>
      <c r="AF283" s="91"/>
      <c r="AG283" s="92"/>
    </row>
    <row r="284" spans="1:33">
      <c r="A284" s="87" t="str">
        <f t="shared" si="8"/>
        <v/>
      </c>
      <c r="B284" s="103" t="str">
        <f t="shared" si="9"/>
        <v/>
      </c>
      <c r="C284" s="88"/>
      <c r="D284" s="89"/>
      <c r="E284" s="89"/>
      <c r="F284" s="105"/>
      <c r="G284" s="105"/>
      <c r="H284" s="105"/>
      <c r="I284" s="105"/>
      <c r="J284" s="148"/>
      <c r="K284" s="87" t="s">
        <v>3767</v>
      </c>
      <c r="L284" s="87" t="s">
        <v>3562</v>
      </c>
      <c r="M284" s="88"/>
      <c r="N284" s="89"/>
      <c r="O284" s="89"/>
      <c r="P284" s="89"/>
      <c r="Q284" s="89"/>
      <c r="R284" s="87"/>
      <c r="S284" s="89"/>
      <c r="T284" s="87"/>
      <c r="U284" s="87"/>
      <c r="V284" s="90"/>
      <c r="W284" s="90"/>
      <c r="X284" s="87"/>
      <c r="Y284" s="90"/>
      <c r="Z284" s="87"/>
      <c r="AA284" s="90"/>
      <c r="AB284" s="87"/>
      <c r="AC284" s="90"/>
      <c r="AD284" s="87" t="s">
        <v>3568</v>
      </c>
      <c r="AE284" s="87" t="s">
        <v>3569</v>
      </c>
      <c r="AF284" s="87"/>
      <c r="AG284" s="90"/>
    </row>
    <row r="285" spans="1:33">
      <c r="A285" s="91" t="str">
        <f t="shared" si="8"/>
        <v/>
      </c>
      <c r="B285" s="104" t="str">
        <f t="shared" si="9"/>
        <v/>
      </c>
      <c r="C285" s="88"/>
      <c r="D285" s="89"/>
      <c r="E285" s="89"/>
      <c r="F285" s="105"/>
      <c r="G285" s="105"/>
      <c r="H285" s="105"/>
      <c r="I285" s="105"/>
      <c r="J285" s="148"/>
      <c r="K285" s="91" t="s">
        <v>3767</v>
      </c>
      <c r="L285" s="91" t="s">
        <v>3562</v>
      </c>
      <c r="M285" s="88"/>
      <c r="N285" s="89"/>
      <c r="O285" s="89"/>
      <c r="P285" s="89"/>
      <c r="Q285" s="89"/>
      <c r="R285" s="91"/>
      <c r="S285" s="89"/>
      <c r="T285" s="91"/>
      <c r="U285" s="91"/>
      <c r="V285" s="92"/>
      <c r="W285" s="92"/>
      <c r="X285" s="91"/>
      <c r="Y285" s="92"/>
      <c r="Z285" s="91"/>
      <c r="AA285" s="92"/>
      <c r="AB285" s="91"/>
      <c r="AC285" s="92"/>
      <c r="AD285" s="91" t="s">
        <v>3568</v>
      </c>
      <c r="AE285" s="91" t="s">
        <v>3569</v>
      </c>
      <c r="AF285" s="91"/>
      <c r="AG285" s="92"/>
    </row>
    <row r="286" spans="1:33">
      <c r="A286" s="87" t="str">
        <f t="shared" si="8"/>
        <v/>
      </c>
      <c r="B286" s="103" t="str">
        <f t="shared" si="9"/>
        <v/>
      </c>
      <c r="C286" s="88"/>
      <c r="D286" s="89"/>
      <c r="E286" s="89"/>
      <c r="F286" s="105"/>
      <c r="G286" s="105"/>
      <c r="H286" s="105"/>
      <c r="I286" s="105"/>
      <c r="J286" s="148"/>
      <c r="K286" s="87" t="s">
        <v>3767</v>
      </c>
      <c r="L286" s="87" t="s">
        <v>3562</v>
      </c>
      <c r="M286" s="88"/>
      <c r="N286" s="89"/>
      <c r="O286" s="89"/>
      <c r="P286" s="89"/>
      <c r="Q286" s="89"/>
      <c r="R286" s="87"/>
      <c r="S286" s="89"/>
      <c r="T286" s="87"/>
      <c r="U286" s="87"/>
      <c r="V286" s="90"/>
      <c r="W286" s="90"/>
      <c r="X286" s="87"/>
      <c r="Y286" s="90"/>
      <c r="Z286" s="87"/>
      <c r="AA286" s="90"/>
      <c r="AB286" s="87"/>
      <c r="AC286" s="90"/>
      <c r="AD286" s="87" t="s">
        <v>3568</v>
      </c>
      <c r="AE286" s="87" t="s">
        <v>3569</v>
      </c>
      <c r="AF286" s="87"/>
      <c r="AG286" s="90"/>
    </row>
    <row r="287" spans="1:33">
      <c r="A287" s="91" t="str">
        <f t="shared" si="8"/>
        <v/>
      </c>
      <c r="B287" s="104" t="str">
        <f t="shared" si="9"/>
        <v/>
      </c>
      <c r="C287" s="88"/>
      <c r="D287" s="89"/>
      <c r="E287" s="89"/>
      <c r="F287" s="105"/>
      <c r="G287" s="105"/>
      <c r="H287" s="105"/>
      <c r="I287" s="105"/>
      <c r="J287" s="148"/>
      <c r="K287" s="91" t="s">
        <v>3767</v>
      </c>
      <c r="L287" s="91" t="s">
        <v>3562</v>
      </c>
      <c r="M287" s="88"/>
      <c r="N287" s="89"/>
      <c r="O287" s="89"/>
      <c r="P287" s="89"/>
      <c r="Q287" s="89"/>
      <c r="R287" s="91"/>
      <c r="S287" s="89"/>
      <c r="T287" s="91"/>
      <c r="U287" s="91"/>
      <c r="V287" s="92"/>
      <c r="W287" s="92"/>
      <c r="X287" s="91"/>
      <c r="Y287" s="92"/>
      <c r="Z287" s="91"/>
      <c r="AA287" s="92"/>
      <c r="AB287" s="91"/>
      <c r="AC287" s="92"/>
      <c r="AD287" s="91" t="s">
        <v>3568</v>
      </c>
      <c r="AE287" s="91" t="s">
        <v>3569</v>
      </c>
      <c r="AF287" s="91"/>
      <c r="AG287" s="92"/>
    </row>
    <row r="288" spans="1:33">
      <c r="A288" s="87" t="str">
        <f t="shared" si="8"/>
        <v/>
      </c>
      <c r="B288" s="103" t="str">
        <f t="shared" si="9"/>
        <v/>
      </c>
      <c r="C288" s="88"/>
      <c r="D288" s="89"/>
      <c r="E288" s="89"/>
      <c r="F288" s="105"/>
      <c r="G288" s="105"/>
      <c r="H288" s="105"/>
      <c r="I288" s="105"/>
      <c r="J288" s="148"/>
      <c r="K288" s="87" t="s">
        <v>3767</v>
      </c>
      <c r="L288" s="87" t="s">
        <v>3562</v>
      </c>
      <c r="M288" s="88"/>
      <c r="N288" s="89"/>
      <c r="O288" s="89"/>
      <c r="P288" s="89"/>
      <c r="Q288" s="89"/>
      <c r="R288" s="87"/>
      <c r="S288" s="89"/>
      <c r="T288" s="87"/>
      <c r="U288" s="87"/>
      <c r="V288" s="90"/>
      <c r="W288" s="90"/>
      <c r="X288" s="87"/>
      <c r="Y288" s="90"/>
      <c r="Z288" s="87"/>
      <c r="AA288" s="90"/>
      <c r="AB288" s="87"/>
      <c r="AC288" s="90"/>
      <c r="AD288" s="87" t="s">
        <v>3568</v>
      </c>
      <c r="AE288" s="87" t="s">
        <v>3569</v>
      </c>
      <c r="AF288" s="87"/>
      <c r="AG288" s="90"/>
    </row>
    <row r="289" spans="1:33">
      <c r="A289" s="91" t="str">
        <f t="shared" si="8"/>
        <v/>
      </c>
      <c r="B289" s="104" t="str">
        <f t="shared" si="9"/>
        <v/>
      </c>
      <c r="C289" s="88"/>
      <c r="D289" s="89"/>
      <c r="E289" s="89"/>
      <c r="F289" s="105"/>
      <c r="G289" s="105"/>
      <c r="H289" s="105"/>
      <c r="I289" s="105"/>
      <c r="J289" s="148"/>
      <c r="K289" s="91" t="s">
        <v>3767</v>
      </c>
      <c r="L289" s="91" t="s">
        <v>3562</v>
      </c>
      <c r="M289" s="88"/>
      <c r="N289" s="89"/>
      <c r="O289" s="89"/>
      <c r="P289" s="89"/>
      <c r="Q289" s="89"/>
      <c r="R289" s="91"/>
      <c r="S289" s="89"/>
      <c r="T289" s="91"/>
      <c r="U289" s="91"/>
      <c r="V289" s="92"/>
      <c r="W289" s="92"/>
      <c r="X289" s="91"/>
      <c r="Y289" s="92"/>
      <c r="Z289" s="91"/>
      <c r="AA289" s="92"/>
      <c r="AB289" s="91"/>
      <c r="AC289" s="92"/>
      <c r="AD289" s="91" t="s">
        <v>3568</v>
      </c>
      <c r="AE289" s="91" t="s">
        <v>3569</v>
      </c>
      <c r="AF289" s="91"/>
      <c r="AG289" s="92"/>
    </row>
    <row r="290" spans="1:33">
      <c r="A290" s="87" t="str">
        <f t="shared" si="8"/>
        <v/>
      </c>
      <c r="B290" s="103" t="str">
        <f t="shared" si="9"/>
        <v/>
      </c>
      <c r="C290" s="88"/>
      <c r="D290" s="89"/>
      <c r="E290" s="89"/>
      <c r="F290" s="105"/>
      <c r="G290" s="105"/>
      <c r="H290" s="105"/>
      <c r="I290" s="105"/>
      <c r="J290" s="148"/>
      <c r="K290" s="87" t="s">
        <v>3767</v>
      </c>
      <c r="L290" s="87" t="s">
        <v>3562</v>
      </c>
      <c r="M290" s="88"/>
      <c r="N290" s="89"/>
      <c r="O290" s="89"/>
      <c r="P290" s="89"/>
      <c r="Q290" s="89"/>
      <c r="R290" s="87"/>
      <c r="S290" s="89"/>
      <c r="T290" s="87"/>
      <c r="U290" s="87"/>
      <c r="V290" s="90"/>
      <c r="W290" s="90"/>
      <c r="X290" s="87"/>
      <c r="Y290" s="90"/>
      <c r="Z290" s="87"/>
      <c r="AA290" s="90"/>
      <c r="AB290" s="87"/>
      <c r="AC290" s="90"/>
      <c r="AD290" s="87" t="s">
        <v>3568</v>
      </c>
      <c r="AE290" s="87" t="s">
        <v>3569</v>
      </c>
      <c r="AF290" s="87"/>
      <c r="AG290" s="90"/>
    </row>
    <row r="291" spans="1:33">
      <c r="A291" s="91" t="str">
        <f t="shared" si="8"/>
        <v/>
      </c>
      <c r="B291" s="104" t="str">
        <f t="shared" si="9"/>
        <v/>
      </c>
      <c r="C291" s="88"/>
      <c r="D291" s="89"/>
      <c r="E291" s="89"/>
      <c r="F291" s="105"/>
      <c r="G291" s="105"/>
      <c r="H291" s="105"/>
      <c r="I291" s="105"/>
      <c r="J291" s="148"/>
      <c r="K291" s="91" t="s">
        <v>3767</v>
      </c>
      <c r="L291" s="91" t="s">
        <v>3562</v>
      </c>
      <c r="M291" s="88"/>
      <c r="N291" s="89"/>
      <c r="O291" s="89"/>
      <c r="P291" s="89"/>
      <c r="Q291" s="89"/>
      <c r="R291" s="91"/>
      <c r="S291" s="89"/>
      <c r="T291" s="91"/>
      <c r="U291" s="91"/>
      <c r="V291" s="92"/>
      <c r="W291" s="92"/>
      <c r="X291" s="91"/>
      <c r="Y291" s="92"/>
      <c r="Z291" s="91"/>
      <c r="AA291" s="92"/>
      <c r="AB291" s="91"/>
      <c r="AC291" s="92"/>
      <c r="AD291" s="91" t="s">
        <v>3568</v>
      </c>
      <c r="AE291" s="91" t="s">
        <v>3569</v>
      </c>
      <c r="AF291" s="91"/>
      <c r="AG291" s="92"/>
    </row>
    <row r="292" spans="1:33">
      <c r="A292" s="87" t="str">
        <f t="shared" si="8"/>
        <v/>
      </c>
      <c r="B292" s="103" t="str">
        <f t="shared" si="9"/>
        <v/>
      </c>
      <c r="C292" s="88"/>
      <c r="D292" s="89"/>
      <c r="E292" s="89"/>
      <c r="F292" s="105"/>
      <c r="G292" s="105"/>
      <c r="H292" s="105"/>
      <c r="I292" s="105"/>
      <c r="J292" s="148"/>
      <c r="K292" s="87" t="s">
        <v>3767</v>
      </c>
      <c r="L292" s="87" t="s">
        <v>3562</v>
      </c>
      <c r="M292" s="88"/>
      <c r="N292" s="89"/>
      <c r="O292" s="89"/>
      <c r="P292" s="89"/>
      <c r="Q292" s="89"/>
      <c r="R292" s="87"/>
      <c r="S292" s="89"/>
      <c r="T292" s="87"/>
      <c r="U292" s="87"/>
      <c r="V292" s="90"/>
      <c r="W292" s="90"/>
      <c r="X292" s="87"/>
      <c r="Y292" s="90"/>
      <c r="Z292" s="87"/>
      <c r="AA292" s="90"/>
      <c r="AB292" s="87"/>
      <c r="AC292" s="90"/>
      <c r="AD292" s="87" t="s">
        <v>3568</v>
      </c>
      <c r="AE292" s="87" t="s">
        <v>3569</v>
      </c>
      <c r="AF292" s="87"/>
      <c r="AG292" s="90"/>
    </row>
    <row r="293" spans="1:33">
      <c r="A293" s="91" t="str">
        <f t="shared" si="8"/>
        <v/>
      </c>
      <c r="B293" s="104" t="str">
        <f t="shared" si="9"/>
        <v/>
      </c>
      <c r="C293" s="88"/>
      <c r="D293" s="89"/>
      <c r="E293" s="89"/>
      <c r="F293" s="105"/>
      <c r="G293" s="105"/>
      <c r="H293" s="105"/>
      <c r="I293" s="105"/>
      <c r="J293" s="148"/>
      <c r="K293" s="91" t="s">
        <v>3767</v>
      </c>
      <c r="L293" s="91" t="s">
        <v>3562</v>
      </c>
      <c r="M293" s="88"/>
      <c r="N293" s="89"/>
      <c r="O293" s="89"/>
      <c r="P293" s="89"/>
      <c r="Q293" s="89"/>
      <c r="R293" s="91"/>
      <c r="S293" s="89"/>
      <c r="T293" s="91"/>
      <c r="U293" s="91"/>
      <c r="V293" s="92"/>
      <c r="W293" s="92"/>
      <c r="X293" s="91"/>
      <c r="Y293" s="92"/>
      <c r="Z293" s="91"/>
      <c r="AA293" s="92"/>
      <c r="AB293" s="91"/>
      <c r="AC293" s="92"/>
      <c r="AD293" s="91" t="s">
        <v>3568</v>
      </c>
      <c r="AE293" s="91" t="s">
        <v>3569</v>
      </c>
      <c r="AF293" s="91"/>
      <c r="AG293" s="92"/>
    </row>
    <row r="294" spans="1:33">
      <c r="A294" s="87" t="str">
        <f t="shared" si="8"/>
        <v/>
      </c>
      <c r="B294" s="103" t="str">
        <f t="shared" si="9"/>
        <v/>
      </c>
      <c r="C294" s="88"/>
      <c r="D294" s="89"/>
      <c r="E294" s="89"/>
      <c r="F294" s="105"/>
      <c r="G294" s="105"/>
      <c r="H294" s="105"/>
      <c r="I294" s="105"/>
      <c r="J294" s="148"/>
      <c r="K294" s="87" t="s">
        <v>3767</v>
      </c>
      <c r="L294" s="87" t="s">
        <v>3562</v>
      </c>
      <c r="M294" s="88"/>
      <c r="N294" s="89"/>
      <c r="O294" s="89"/>
      <c r="P294" s="89"/>
      <c r="Q294" s="89"/>
      <c r="R294" s="87"/>
      <c r="S294" s="89"/>
      <c r="T294" s="87"/>
      <c r="U294" s="87"/>
      <c r="V294" s="90"/>
      <c r="W294" s="90"/>
      <c r="X294" s="87"/>
      <c r="Y294" s="90"/>
      <c r="Z294" s="87"/>
      <c r="AA294" s="90"/>
      <c r="AB294" s="87"/>
      <c r="AC294" s="90"/>
      <c r="AD294" s="87" t="s">
        <v>3568</v>
      </c>
      <c r="AE294" s="87" t="s">
        <v>3569</v>
      </c>
      <c r="AF294" s="87"/>
      <c r="AG294" s="90"/>
    </row>
    <row r="295" spans="1:33">
      <c r="A295" s="91" t="str">
        <f t="shared" si="8"/>
        <v/>
      </c>
      <c r="B295" s="104" t="str">
        <f t="shared" si="9"/>
        <v/>
      </c>
      <c r="C295" s="88"/>
      <c r="D295" s="89"/>
      <c r="E295" s="89"/>
      <c r="F295" s="105"/>
      <c r="G295" s="105"/>
      <c r="H295" s="105"/>
      <c r="I295" s="105"/>
      <c r="J295" s="148"/>
      <c r="K295" s="91" t="s">
        <v>3767</v>
      </c>
      <c r="L295" s="91" t="s">
        <v>3562</v>
      </c>
      <c r="M295" s="88"/>
      <c r="N295" s="89"/>
      <c r="O295" s="89"/>
      <c r="P295" s="89"/>
      <c r="Q295" s="89"/>
      <c r="R295" s="91"/>
      <c r="S295" s="89"/>
      <c r="T295" s="91"/>
      <c r="U295" s="91"/>
      <c r="V295" s="92"/>
      <c r="W295" s="92"/>
      <c r="X295" s="91"/>
      <c r="Y295" s="92"/>
      <c r="Z295" s="91"/>
      <c r="AA295" s="92"/>
      <c r="AB295" s="91"/>
      <c r="AC295" s="92"/>
      <c r="AD295" s="91" t="s">
        <v>3568</v>
      </c>
      <c r="AE295" s="91" t="s">
        <v>3569</v>
      </c>
      <c r="AF295" s="91"/>
      <c r="AG295" s="92"/>
    </row>
    <row r="296" spans="1:33">
      <c r="A296" s="87" t="str">
        <f t="shared" si="8"/>
        <v/>
      </c>
      <c r="B296" s="103" t="str">
        <f t="shared" si="9"/>
        <v/>
      </c>
      <c r="C296" s="88"/>
      <c r="D296" s="89"/>
      <c r="E296" s="89"/>
      <c r="F296" s="105"/>
      <c r="G296" s="105"/>
      <c r="H296" s="105"/>
      <c r="I296" s="105"/>
      <c r="J296" s="148"/>
      <c r="K296" s="87" t="s">
        <v>3767</v>
      </c>
      <c r="L296" s="87" t="s">
        <v>3562</v>
      </c>
      <c r="M296" s="88"/>
      <c r="N296" s="89"/>
      <c r="O296" s="89"/>
      <c r="P296" s="89"/>
      <c r="Q296" s="89"/>
      <c r="R296" s="87"/>
      <c r="S296" s="89"/>
      <c r="T296" s="87"/>
      <c r="U296" s="87"/>
      <c r="V296" s="90"/>
      <c r="W296" s="90"/>
      <c r="X296" s="87"/>
      <c r="Y296" s="90"/>
      <c r="Z296" s="87"/>
      <c r="AA296" s="90"/>
      <c r="AB296" s="87"/>
      <c r="AC296" s="90"/>
      <c r="AD296" s="87" t="s">
        <v>3568</v>
      </c>
      <c r="AE296" s="87" t="s">
        <v>3569</v>
      </c>
      <c r="AF296" s="87"/>
      <c r="AG296" s="90"/>
    </row>
    <row r="297" spans="1:33">
      <c r="A297" s="91" t="str">
        <f t="shared" si="8"/>
        <v/>
      </c>
      <c r="B297" s="104" t="str">
        <f t="shared" si="9"/>
        <v/>
      </c>
      <c r="C297" s="88"/>
      <c r="D297" s="89"/>
      <c r="E297" s="89"/>
      <c r="F297" s="105"/>
      <c r="G297" s="105"/>
      <c r="H297" s="105"/>
      <c r="I297" s="105"/>
      <c r="J297" s="148"/>
      <c r="K297" s="91" t="s">
        <v>3767</v>
      </c>
      <c r="L297" s="91" t="s">
        <v>3562</v>
      </c>
      <c r="M297" s="88"/>
      <c r="N297" s="89"/>
      <c r="O297" s="89"/>
      <c r="P297" s="89"/>
      <c r="Q297" s="89"/>
      <c r="R297" s="91"/>
      <c r="S297" s="89"/>
      <c r="T297" s="91"/>
      <c r="U297" s="91"/>
      <c r="V297" s="92"/>
      <c r="W297" s="92"/>
      <c r="X297" s="91"/>
      <c r="Y297" s="92"/>
      <c r="Z297" s="91"/>
      <c r="AA297" s="92"/>
      <c r="AB297" s="91"/>
      <c r="AC297" s="92"/>
      <c r="AD297" s="91" t="s">
        <v>3568</v>
      </c>
      <c r="AE297" s="91" t="s">
        <v>3569</v>
      </c>
      <c r="AF297" s="91"/>
      <c r="AG297" s="92"/>
    </row>
    <row r="298" spans="1:33">
      <c r="A298" s="87" t="str">
        <f t="shared" si="8"/>
        <v/>
      </c>
      <c r="B298" s="103" t="str">
        <f t="shared" si="9"/>
        <v/>
      </c>
      <c r="C298" s="88"/>
      <c r="D298" s="89"/>
      <c r="E298" s="89"/>
      <c r="F298" s="105"/>
      <c r="G298" s="105"/>
      <c r="H298" s="105"/>
      <c r="I298" s="105"/>
      <c r="J298" s="148"/>
      <c r="K298" s="87" t="s">
        <v>3767</v>
      </c>
      <c r="L298" s="87" t="s">
        <v>3562</v>
      </c>
      <c r="M298" s="88"/>
      <c r="N298" s="89"/>
      <c r="O298" s="89"/>
      <c r="P298" s="89"/>
      <c r="Q298" s="89"/>
      <c r="R298" s="87"/>
      <c r="S298" s="89"/>
      <c r="T298" s="87"/>
      <c r="U298" s="87"/>
      <c r="V298" s="90"/>
      <c r="W298" s="90"/>
      <c r="X298" s="87"/>
      <c r="Y298" s="90"/>
      <c r="Z298" s="87"/>
      <c r="AA298" s="90"/>
      <c r="AB298" s="87"/>
      <c r="AC298" s="90"/>
      <c r="AD298" s="87" t="s">
        <v>3568</v>
      </c>
      <c r="AE298" s="87" t="s">
        <v>3569</v>
      </c>
      <c r="AF298" s="87"/>
      <c r="AG298" s="90"/>
    </row>
    <row r="299" spans="1:33">
      <c r="A299" s="91" t="str">
        <f t="shared" si="8"/>
        <v/>
      </c>
      <c r="B299" s="104" t="str">
        <f t="shared" si="9"/>
        <v/>
      </c>
      <c r="C299" s="88"/>
      <c r="D299" s="89"/>
      <c r="E299" s="89"/>
      <c r="F299" s="105"/>
      <c r="G299" s="105"/>
      <c r="H299" s="105"/>
      <c r="I299" s="105"/>
      <c r="J299" s="148"/>
      <c r="K299" s="91" t="s">
        <v>3767</v>
      </c>
      <c r="L299" s="91" t="s">
        <v>3562</v>
      </c>
      <c r="M299" s="88"/>
      <c r="N299" s="89"/>
      <c r="O299" s="89"/>
      <c r="P299" s="89"/>
      <c r="Q299" s="89"/>
      <c r="R299" s="91"/>
      <c r="S299" s="89"/>
      <c r="T299" s="91"/>
      <c r="U299" s="91"/>
      <c r="V299" s="92"/>
      <c r="W299" s="92"/>
      <c r="X299" s="91"/>
      <c r="Y299" s="92"/>
      <c r="Z299" s="91"/>
      <c r="AA299" s="92"/>
      <c r="AB299" s="91"/>
      <c r="AC299" s="92"/>
      <c r="AD299" s="91" t="s">
        <v>3568</v>
      </c>
      <c r="AE299" s="91" t="s">
        <v>3569</v>
      </c>
      <c r="AF299" s="91"/>
      <c r="AG299" s="92"/>
    </row>
    <row r="300" spans="1:33">
      <c r="A300" s="87" t="str">
        <f t="shared" si="8"/>
        <v/>
      </c>
      <c r="B300" s="103" t="str">
        <f t="shared" si="9"/>
        <v/>
      </c>
      <c r="C300" s="88"/>
      <c r="D300" s="89"/>
      <c r="E300" s="89"/>
      <c r="F300" s="105"/>
      <c r="G300" s="105"/>
      <c r="H300" s="105"/>
      <c r="I300" s="105"/>
      <c r="J300" s="148"/>
      <c r="K300" s="87" t="s">
        <v>3767</v>
      </c>
      <c r="L300" s="87" t="s">
        <v>3562</v>
      </c>
      <c r="M300" s="88"/>
      <c r="N300" s="89"/>
      <c r="O300" s="89"/>
      <c r="P300" s="89"/>
      <c r="Q300" s="89"/>
      <c r="R300" s="87"/>
      <c r="S300" s="89"/>
      <c r="T300" s="87"/>
      <c r="U300" s="87"/>
      <c r="V300" s="90"/>
      <c r="W300" s="90"/>
      <c r="X300" s="87"/>
      <c r="Y300" s="90"/>
      <c r="Z300" s="87"/>
      <c r="AA300" s="90"/>
      <c r="AB300" s="87"/>
      <c r="AC300" s="90"/>
      <c r="AD300" s="87" t="s">
        <v>3568</v>
      </c>
      <c r="AE300" s="87" t="s">
        <v>3569</v>
      </c>
      <c r="AF300" s="87"/>
      <c r="AG300" s="90"/>
    </row>
    <row r="301" spans="1:33">
      <c r="A301" s="91" t="str">
        <f t="shared" si="8"/>
        <v/>
      </c>
      <c r="B301" s="104" t="str">
        <f t="shared" si="9"/>
        <v/>
      </c>
      <c r="C301" s="88"/>
      <c r="D301" s="89"/>
      <c r="E301" s="89"/>
      <c r="F301" s="105"/>
      <c r="G301" s="105"/>
      <c r="H301" s="105"/>
      <c r="I301" s="105"/>
      <c r="J301" s="148"/>
      <c r="K301" s="91" t="s">
        <v>3767</v>
      </c>
      <c r="L301" s="91" t="s">
        <v>3562</v>
      </c>
      <c r="M301" s="88"/>
      <c r="N301" s="89"/>
      <c r="O301" s="89"/>
      <c r="P301" s="89"/>
      <c r="Q301" s="89"/>
      <c r="R301" s="91"/>
      <c r="S301" s="89"/>
      <c r="T301" s="91"/>
      <c r="U301" s="91"/>
      <c r="V301" s="92"/>
      <c r="W301" s="92"/>
      <c r="X301" s="91"/>
      <c r="Y301" s="92"/>
      <c r="Z301" s="91"/>
      <c r="AA301" s="92"/>
      <c r="AB301" s="91"/>
      <c r="AC301" s="92"/>
      <c r="AD301" s="91" t="s">
        <v>3568</v>
      </c>
      <c r="AE301" s="91" t="s">
        <v>3569</v>
      </c>
      <c r="AF301" s="91"/>
      <c r="AG301" s="92"/>
    </row>
    <row r="302" spans="1:33">
      <c r="A302" s="87" t="str">
        <f t="shared" si="8"/>
        <v/>
      </c>
      <c r="B302" s="103" t="str">
        <f t="shared" si="9"/>
        <v/>
      </c>
      <c r="C302" s="88"/>
      <c r="D302" s="89"/>
      <c r="E302" s="89"/>
      <c r="F302" s="105"/>
      <c r="G302" s="105"/>
      <c r="H302" s="105"/>
      <c r="I302" s="105"/>
      <c r="J302" s="148"/>
      <c r="K302" s="87" t="s">
        <v>3767</v>
      </c>
      <c r="L302" s="87" t="s">
        <v>3562</v>
      </c>
      <c r="M302" s="88"/>
      <c r="N302" s="89"/>
      <c r="O302" s="89"/>
      <c r="P302" s="89"/>
      <c r="Q302" s="89"/>
      <c r="R302" s="87"/>
      <c r="S302" s="89"/>
      <c r="T302" s="87"/>
      <c r="U302" s="87"/>
      <c r="V302" s="90"/>
      <c r="W302" s="90"/>
      <c r="X302" s="87"/>
      <c r="Y302" s="90"/>
      <c r="Z302" s="87"/>
      <c r="AA302" s="90"/>
      <c r="AB302" s="87"/>
      <c r="AC302" s="90"/>
      <c r="AD302" s="87" t="s">
        <v>3568</v>
      </c>
      <c r="AE302" s="87" t="s">
        <v>3569</v>
      </c>
      <c r="AF302" s="87"/>
      <c r="AG302" s="90"/>
    </row>
    <row r="303" spans="1:33">
      <c r="A303" s="91" t="str">
        <f t="shared" si="8"/>
        <v/>
      </c>
      <c r="B303" s="104" t="str">
        <f t="shared" si="9"/>
        <v/>
      </c>
      <c r="C303" s="88"/>
      <c r="D303" s="89"/>
      <c r="E303" s="89"/>
      <c r="F303" s="105"/>
      <c r="G303" s="105"/>
      <c r="H303" s="105"/>
      <c r="I303" s="105"/>
      <c r="J303" s="148"/>
      <c r="K303" s="91" t="s">
        <v>3767</v>
      </c>
      <c r="L303" s="91" t="s">
        <v>3562</v>
      </c>
      <c r="M303" s="88"/>
      <c r="N303" s="89"/>
      <c r="O303" s="89"/>
      <c r="P303" s="89"/>
      <c r="Q303" s="89"/>
      <c r="R303" s="91"/>
      <c r="S303" s="89"/>
      <c r="T303" s="91"/>
      <c r="U303" s="91"/>
      <c r="V303" s="92"/>
      <c r="W303" s="92"/>
      <c r="X303" s="91"/>
      <c r="Y303" s="92"/>
      <c r="Z303" s="91"/>
      <c r="AA303" s="92"/>
      <c r="AB303" s="91"/>
      <c r="AC303" s="92"/>
      <c r="AD303" s="91" t="s">
        <v>3568</v>
      </c>
      <c r="AE303" s="91" t="s">
        <v>3569</v>
      </c>
      <c r="AF303" s="91"/>
      <c r="AG303" s="92"/>
    </row>
    <row r="304" spans="1:33">
      <c r="A304" s="87" t="str">
        <f t="shared" si="8"/>
        <v/>
      </c>
      <c r="B304" s="103" t="str">
        <f t="shared" si="9"/>
        <v/>
      </c>
      <c r="C304" s="88"/>
      <c r="D304" s="89"/>
      <c r="E304" s="89"/>
      <c r="F304" s="105"/>
      <c r="G304" s="105"/>
      <c r="H304" s="105"/>
      <c r="I304" s="105"/>
      <c r="J304" s="148"/>
      <c r="K304" s="87" t="s">
        <v>3767</v>
      </c>
      <c r="L304" s="87" t="s">
        <v>3562</v>
      </c>
      <c r="M304" s="88"/>
      <c r="N304" s="89"/>
      <c r="O304" s="89"/>
      <c r="P304" s="89"/>
      <c r="Q304" s="89"/>
      <c r="R304" s="87"/>
      <c r="S304" s="89"/>
      <c r="T304" s="87"/>
      <c r="U304" s="87"/>
      <c r="V304" s="90"/>
      <c r="W304" s="90"/>
      <c r="X304" s="87"/>
      <c r="Y304" s="90"/>
      <c r="Z304" s="87"/>
      <c r="AA304" s="90"/>
      <c r="AB304" s="87"/>
      <c r="AC304" s="90"/>
      <c r="AD304" s="87" t="s">
        <v>3568</v>
      </c>
      <c r="AE304" s="87" t="s">
        <v>3569</v>
      </c>
      <c r="AF304" s="87"/>
      <c r="AG304" s="90"/>
    </row>
    <row r="305" spans="1:33">
      <c r="A305" s="91" t="str">
        <f t="shared" si="8"/>
        <v/>
      </c>
      <c r="B305" s="104" t="str">
        <f t="shared" si="9"/>
        <v/>
      </c>
      <c r="C305" s="88"/>
      <c r="D305" s="89"/>
      <c r="E305" s="89"/>
      <c r="F305" s="105"/>
      <c r="G305" s="105"/>
      <c r="H305" s="105"/>
      <c r="I305" s="105"/>
      <c r="J305" s="148"/>
      <c r="K305" s="91" t="s">
        <v>3767</v>
      </c>
      <c r="L305" s="91" t="s">
        <v>3562</v>
      </c>
      <c r="M305" s="88"/>
      <c r="N305" s="89"/>
      <c r="O305" s="89"/>
      <c r="P305" s="89"/>
      <c r="Q305" s="89"/>
      <c r="R305" s="91"/>
      <c r="S305" s="89"/>
      <c r="T305" s="91"/>
      <c r="U305" s="91"/>
      <c r="V305" s="92"/>
      <c r="W305" s="92"/>
      <c r="X305" s="91"/>
      <c r="Y305" s="92"/>
      <c r="Z305" s="91"/>
      <c r="AA305" s="92"/>
      <c r="AB305" s="91"/>
      <c r="AC305" s="92"/>
      <c r="AD305" s="91" t="s">
        <v>3568</v>
      </c>
      <c r="AE305" s="91" t="s">
        <v>3569</v>
      </c>
      <c r="AF305" s="91"/>
      <c r="AG305" s="92"/>
    </row>
    <row r="306" spans="1:33">
      <c r="A306" s="87" t="str">
        <f t="shared" si="8"/>
        <v/>
      </c>
      <c r="B306" s="103" t="str">
        <f t="shared" si="9"/>
        <v/>
      </c>
      <c r="C306" s="88"/>
      <c r="D306" s="89"/>
      <c r="E306" s="89"/>
      <c r="F306" s="105"/>
      <c r="G306" s="105"/>
      <c r="H306" s="105"/>
      <c r="I306" s="105"/>
      <c r="J306" s="148"/>
      <c r="K306" s="87" t="s">
        <v>3767</v>
      </c>
      <c r="L306" s="87" t="s">
        <v>3562</v>
      </c>
      <c r="M306" s="88"/>
      <c r="N306" s="89"/>
      <c r="O306" s="89"/>
      <c r="P306" s="89"/>
      <c r="Q306" s="89"/>
      <c r="R306" s="87"/>
      <c r="S306" s="89"/>
      <c r="T306" s="87"/>
      <c r="U306" s="87"/>
      <c r="V306" s="90"/>
      <c r="W306" s="90"/>
      <c r="X306" s="87"/>
      <c r="Y306" s="90"/>
      <c r="Z306" s="87"/>
      <c r="AA306" s="90"/>
      <c r="AB306" s="87"/>
      <c r="AC306" s="90"/>
      <c r="AD306" s="87" t="s">
        <v>3568</v>
      </c>
      <c r="AE306" s="87" t="s">
        <v>3569</v>
      </c>
      <c r="AF306" s="87"/>
      <c r="AG306" s="90"/>
    </row>
    <row r="307" spans="1:33">
      <c r="A307" s="91" t="str">
        <f t="shared" si="8"/>
        <v/>
      </c>
      <c r="B307" s="104" t="str">
        <f t="shared" si="9"/>
        <v/>
      </c>
      <c r="C307" s="88"/>
      <c r="D307" s="89"/>
      <c r="E307" s="89"/>
      <c r="F307" s="105"/>
      <c r="G307" s="105"/>
      <c r="H307" s="105"/>
      <c r="I307" s="105"/>
      <c r="J307" s="148"/>
      <c r="K307" s="91" t="s">
        <v>3767</v>
      </c>
      <c r="L307" s="91" t="s">
        <v>3562</v>
      </c>
      <c r="M307" s="88"/>
      <c r="N307" s="89"/>
      <c r="O307" s="89"/>
      <c r="P307" s="89"/>
      <c r="Q307" s="89"/>
      <c r="R307" s="91"/>
      <c r="S307" s="89"/>
      <c r="T307" s="91"/>
      <c r="U307" s="91"/>
      <c r="V307" s="92"/>
      <c r="W307" s="92"/>
      <c r="X307" s="91"/>
      <c r="Y307" s="92"/>
      <c r="Z307" s="91"/>
      <c r="AA307" s="92"/>
      <c r="AB307" s="91"/>
      <c r="AC307" s="92"/>
      <c r="AD307" s="91" t="s">
        <v>3568</v>
      </c>
      <c r="AE307" s="91" t="s">
        <v>3569</v>
      </c>
      <c r="AF307" s="91"/>
      <c r="AG307" s="92"/>
    </row>
    <row r="308" spans="1:33">
      <c r="A308" s="87" t="str">
        <f t="shared" si="8"/>
        <v/>
      </c>
      <c r="B308" s="103" t="str">
        <f t="shared" si="9"/>
        <v/>
      </c>
      <c r="C308" s="88"/>
      <c r="D308" s="89"/>
      <c r="E308" s="89"/>
      <c r="F308" s="105"/>
      <c r="G308" s="105"/>
      <c r="H308" s="105"/>
      <c r="I308" s="105"/>
      <c r="J308" s="148"/>
      <c r="K308" s="87" t="s">
        <v>3767</v>
      </c>
      <c r="L308" s="87" t="s">
        <v>3562</v>
      </c>
      <c r="M308" s="88"/>
      <c r="N308" s="89"/>
      <c r="O308" s="89"/>
      <c r="P308" s="89"/>
      <c r="Q308" s="89"/>
      <c r="R308" s="87"/>
      <c r="S308" s="89"/>
      <c r="T308" s="87"/>
      <c r="U308" s="87"/>
      <c r="V308" s="90"/>
      <c r="W308" s="90"/>
      <c r="X308" s="87"/>
      <c r="Y308" s="90"/>
      <c r="Z308" s="87"/>
      <c r="AA308" s="90"/>
      <c r="AB308" s="87"/>
      <c r="AC308" s="90"/>
      <c r="AD308" s="87" t="s">
        <v>3568</v>
      </c>
      <c r="AE308" s="87" t="s">
        <v>3569</v>
      </c>
      <c r="AF308" s="87"/>
      <c r="AG308" s="90"/>
    </row>
    <row r="309" spans="1:33">
      <c r="A309" s="91" t="str">
        <f t="shared" si="8"/>
        <v/>
      </c>
      <c r="B309" s="104" t="str">
        <f t="shared" si="9"/>
        <v/>
      </c>
      <c r="C309" s="88"/>
      <c r="D309" s="89"/>
      <c r="E309" s="89"/>
      <c r="F309" s="105"/>
      <c r="G309" s="105"/>
      <c r="H309" s="105"/>
      <c r="I309" s="105"/>
      <c r="J309" s="148"/>
      <c r="K309" s="91" t="s">
        <v>3767</v>
      </c>
      <c r="L309" s="91" t="s">
        <v>3562</v>
      </c>
      <c r="M309" s="88"/>
      <c r="N309" s="89"/>
      <c r="O309" s="89"/>
      <c r="P309" s="89"/>
      <c r="Q309" s="89"/>
      <c r="R309" s="91"/>
      <c r="S309" s="89"/>
      <c r="T309" s="91"/>
      <c r="U309" s="91"/>
      <c r="V309" s="92"/>
      <c r="W309" s="92"/>
      <c r="X309" s="91"/>
      <c r="Y309" s="92"/>
      <c r="Z309" s="91"/>
      <c r="AA309" s="92"/>
      <c r="AB309" s="91"/>
      <c r="AC309" s="92"/>
      <c r="AD309" s="91" t="s">
        <v>3568</v>
      </c>
      <c r="AE309" s="91" t="s">
        <v>3569</v>
      </c>
      <c r="AF309" s="91"/>
      <c r="AG309" s="92"/>
    </row>
    <row r="310" spans="1:33">
      <c r="A310" s="87" t="str">
        <f t="shared" si="8"/>
        <v/>
      </c>
      <c r="B310" s="103" t="str">
        <f t="shared" si="9"/>
        <v/>
      </c>
      <c r="C310" s="88"/>
      <c r="D310" s="89"/>
      <c r="E310" s="89"/>
      <c r="F310" s="105"/>
      <c r="G310" s="105"/>
      <c r="H310" s="105"/>
      <c r="I310" s="105"/>
      <c r="J310" s="148"/>
      <c r="K310" s="87" t="s">
        <v>3767</v>
      </c>
      <c r="L310" s="87" t="s">
        <v>3562</v>
      </c>
      <c r="M310" s="88"/>
      <c r="N310" s="89"/>
      <c r="O310" s="89"/>
      <c r="P310" s="89"/>
      <c r="Q310" s="89"/>
      <c r="R310" s="87"/>
      <c r="S310" s="89"/>
      <c r="T310" s="87"/>
      <c r="U310" s="87"/>
      <c r="V310" s="90"/>
      <c r="W310" s="90"/>
      <c r="X310" s="87"/>
      <c r="Y310" s="90"/>
      <c r="Z310" s="87"/>
      <c r="AA310" s="90"/>
      <c r="AB310" s="87"/>
      <c r="AC310" s="90"/>
      <c r="AD310" s="87" t="s">
        <v>3568</v>
      </c>
      <c r="AE310" s="87" t="s">
        <v>3569</v>
      </c>
      <c r="AF310" s="87"/>
      <c r="AG310" s="90"/>
    </row>
    <row r="311" spans="1:33">
      <c r="A311" s="91" t="str">
        <f t="shared" si="8"/>
        <v/>
      </c>
      <c r="B311" s="104" t="str">
        <f t="shared" si="9"/>
        <v/>
      </c>
      <c r="C311" s="88"/>
      <c r="D311" s="89"/>
      <c r="E311" s="89"/>
      <c r="F311" s="105"/>
      <c r="G311" s="105"/>
      <c r="H311" s="105"/>
      <c r="I311" s="105"/>
      <c r="J311" s="148"/>
      <c r="K311" s="91" t="s">
        <v>3767</v>
      </c>
      <c r="L311" s="91" t="s">
        <v>3562</v>
      </c>
      <c r="M311" s="88"/>
      <c r="N311" s="89"/>
      <c r="O311" s="89"/>
      <c r="P311" s="89"/>
      <c r="Q311" s="89"/>
      <c r="R311" s="91"/>
      <c r="S311" s="89"/>
      <c r="T311" s="91"/>
      <c r="U311" s="91"/>
      <c r="V311" s="92"/>
      <c r="W311" s="92"/>
      <c r="X311" s="91"/>
      <c r="Y311" s="92"/>
      <c r="Z311" s="91"/>
      <c r="AA311" s="92"/>
      <c r="AB311" s="91"/>
      <c r="AC311" s="92"/>
      <c r="AD311" s="91" t="s">
        <v>3568</v>
      </c>
      <c r="AE311" s="91" t="s">
        <v>3569</v>
      </c>
      <c r="AF311" s="91"/>
      <c r="AG311" s="92"/>
    </row>
    <row r="312" spans="1:33">
      <c r="A312" s="87" t="str">
        <f t="shared" si="8"/>
        <v/>
      </c>
      <c r="B312" s="103" t="str">
        <f t="shared" si="9"/>
        <v/>
      </c>
      <c r="C312" s="88"/>
      <c r="D312" s="89"/>
      <c r="E312" s="89"/>
      <c r="F312" s="105"/>
      <c r="G312" s="105"/>
      <c r="H312" s="105"/>
      <c r="I312" s="105"/>
      <c r="J312" s="148"/>
      <c r="K312" s="87" t="s">
        <v>3767</v>
      </c>
      <c r="L312" s="87" t="s">
        <v>3562</v>
      </c>
      <c r="M312" s="88"/>
      <c r="N312" s="89"/>
      <c r="O312" s="89"/>
      <c r="P312" s="89"/>
      <c r="Q312" s="89"/>
      <c r="R312" s="87"/>
      <c r="S312" s="89"/>
      <c r="T312" s="87"/>
      <c r="U312" s="87"/>
      <c r="V312" s="90"/>
      <c r="W312" s="90"/>
      <c r="X312" s="87"/>
      <c r="Y312" s="90"/>
      <c r="Z312" s="87"/>
      <c r="AA312" s="90"/>
      <c r="AB312" s="87"/>
      <c r="AC312" s="90"/>
      <c r="AD312" s="87" t="s">
        <v>3568</v>
      </c>
      <c r="AE312" s="87" t="s">
        <v>3569</v>
      </c>
      <c r="AF312" s="87"/>
      <c r="AG312" s="90"/>
    </row>
    <row r="313" spans="1:33">
      <c r="A313" s="91" t="str">
        <f t="shared" si="8"/>
        <v/>
      </c>
      <c r="B313" s="104" t="str">
        <f t="shared" si="9"/>
        <v/>
      </c>
      <c r="C313" s="88"/>
      <c r="D313" s="89"/>
      <c r="E313" s="89"/>
      <c r="F313" s="105"/>
      <c r="G313" s="105"/>
      <c r="H313" s="105"/>
      <c r="I313" s="105"/>
      <c r="J313" s="148"/>
      <c r="K313" s="91" t="s">
        <v>3767</v>
      </c>
      <c r="L313" s="91" t="s">
        <v>3562</v>
      </c>
      <c r="M313" s="88"/>
      <c r="N313" s="89"/>
      <c r="O313" s="89"/>
      <c r="P313" s="89"/>
      <c r="Q313" s="89"/>
      <c r="R313" s="91"/>
      <c r="S313" s="89"/>
      <c r="T313" s="91"/>
      <c r="U313" s="91"/>
      <c r="V313" s="92"/>
      <c r="W313" s="92"/>
      <c r="X313" s="91"/>
      <c r="Y313" s="92"/>
      <c r="Z313" s="91"/>
      <c r="AA313" s="92"/>
      <c r="AB313" s="91"/>
      <c r="AC313" s="92"/>
      <c r="AD313" s="91" t="s">
        <v>3568</v>
      </c>
      <c r="AE313" s="91" t="s">
        <v>3569</v>
      </c>
      <c r="AF313" s="91"/>
      <c r="AG313" s="92"/>
    </row>
    <row r="314" spans="1:33">
      <c r="A314" s="87" t="str">
        <f t="shared" si="8"/>
        <v/>
      </c>
      <c r="B314" s="103" t="str">
        <f t="shared" si="9"/>
        <v/>
      </c>
      <c r="C314" s="88"/>
      <c r="D314" s="89"/>
      <c r="E314" s="89"/>
      <c r="F314" s="105"/>
      <c r="G314" s="105"/>
      <c r="H314" s="105"/>
      <c r="I314" s="105"/>
      <c r="J314" s="148"/>
      <c r="K314" s="87" t="s">
        <v>3767</v>
      </c>
      <c r="L314" s="87" t="s">
        <v>3562</v>
      </c>
      <c r="M314" s="88"/>
      <c r="N314" s="89"/>
      <c r="O314" s="89"/>
      <c r="P314" s="89"/>
      <c r="Q314" s="89"/>
      <c r="R314" s="87"/>
      <c r="S314" s="89"/>
      <c r="T314" s="87"/>
      <c r="U314" s="87"/>
      <c r="V314" s="90"/>
      <c r="W314" s="90"/>
      <c r="X314" s="87"/>
      <c r="Y314" s="90"/>
      <c r="Z314" s="87"/>
      <c r="AA314" s="90"/>
      <c r="AB314" s="87"/>
      <c r="AC314" s="90"/>
      <c r="AD314" s="87" t="s">
        <v>3568</v>
      </c>
      <c r="AE314" s="87" t="s">
        <v>3569</v>
      </c>
      <c r="AF314" s="87"/>
      <c r="AG314" s="90"/>
    </row>
    <row r="315" spans="1:33">
      <c r="A315" s="91" t="str">
        <f t="shared" si="8"/>
        <v/>
      </c>
      <c r="B315" s="104" t="str">
        <f t="shared" si="9"/>
        <v/>
      </c>
      <c r="C315" s="88"/>
      <c r="D315" s="89"/>
      <c r="E315" s="89"/>
      <c r="F315" s="105"/>
      <c r="G315" s="105"/>
      <c r="H315" s="105"/>
      <c r="I315" s="105"/>
      <c r="J315" s="148"/>
      <c r="K315" s="91" t="s">
        <v>3767</v>
      </c>
      <c r="L315" s="91" t="s">
        <v>3562</v>
      </c>
      <c r="M315" s="88"/>
      <c r="N315" s="89"/>
      <c r="O315" s="89"/>
      <c r="P315" s="89"/>
      <c r="Q315" s="89"/>
      <c r="R315" s="91"/>
      <c r="S315" s="89"/>
      <c r="T315" s="91"/>
      <c r="U315" s="91"/>
      <c r="V315" s="92"/>
      <c r="W315" s="92"/>
      <c r="X315" s="91"/>
      <c r="Y315" s="92"/>
      <c r="Z315" s="91"/>
      <c r="AA315" s="92"/>
      <c r="AB315" s="91"/>
      <c r="AC315" s="92"/>
      <c r="AD315" s="91" t="s">
        <v>3568</v>
      </c>
      <c r="AE315" s="91" t="s">
        <v>3569</v>
      </c>
      <c r="AF315" s="91"/>
      <c r="AG315" s="92"/>
    </row>
    <row r="316" spans="1:33">
      <c r="A316" s="87" t="str">
        <f t="shared" si="8"/>
        <v/>
      </c>
      <c r="B316" s="103" t="str">
        <f t="shared" si="9"/>
        <v/>
      </c>
      <c r="C316" s="88"/>
      <c r="D316" s="89"/>
      <c r="E316" s="89"/>
      <c r="F316" s="105"/>
      <c r="G316" s="105"/>
      <c r="H316" s="105"/>
      <c r="I316" s="105"/>
      <c r="J316" s="148"/>
      <c r="K316" s="87" t="s">
        <v>3767</v>
      </c>
      <c r="L316" s="87" t="s">
        <v>3562</v>
      </c>
      <c r="M316" s="88"/>
      <c r="N316" s="89"/>
      <c r="O316" s="89"/>
      <c r="P316" s="89"/>
      <c r="Q316" s="89"/>
      <c r="R316" s="87"/>
      <c r="S316" s="89"/>
      <c r="T316" s="87"/>
      <c r="U316" s="87"/>
      <c r="V316" s="90"/>
      <c r="W316" s="90"/>
      <c r="X316" s="87"/>
      <c r="Y316" s="90"/>
      <c r="Z316" s="87"/>
      <c r="AA316" s="90"/>
      <c r="AB316" s="87"/>
      <c r="AC316" s="90"/>
      <c r="AD316" s="87" t="s">
        <v>3568</v>
      </c>
      <c r="AE316" s="87" t="s">
        <v>3569</v>
      </c>
      <c r="AF316" s="87"/>
      <c r="AG316" s="90"/>
    </row>
    <row r="317" spans="1:33">
      <c r="A317" s="91" t="str">
        <f t="shared" si="8"/>
        <v/>
      </c>
      <c r="B317" s="104" t="str">
        <f t="shared" si="9"/>
        <v/>
      </c>
      <c r="C317" s="88"/>
      <c r="D317" s="89"/>
      <c r="E317" s="89"/>
      <c r="F317" s="105"/>
      <c r="G317" s="105"/>
      <c r="H317" s="105"/>
      <c r="I317" s="105"/>
      <c r="J317" s="148"/>
      <c r="K317" s="91" t="s">
        <v>3767</v>
      </c>
      <c r="L317" s="91" t="s">
        <v>3562</v>
      </c>
      <c r="M317" s="88"/>
      <c r="N317" s="89"/>
      <c r="O317" s="89"/>
      <c r="P317" s="89"/>
      <c r="Q317" s="89"/>
      <c r="R317" s="91"/>
      <c r="S317" s="89"/>
      <c r="T317" s="91"/>
      <c r="U317" s="91"/>
      <c r="V317" s="92"/>
      <c r="W317" s="92"/>
      <c r="X317" s="91"/>
      <c r="Y317" s="92"/>
      <c r="Z317" s="91"/>
      <c r="AA317" s="92"/>
      <c r="AB317" s="91"/>
      <c r="AC317" s="92"/>
      <c r="AD317" s="91" t="s">
        <v>3568</v>
      </c>
      <c r="AE317" s="91" t="s">
        <v>3569</v>
      </c>
      <c r="AF317" s="91"/>
      <c r="AG317" s="92"/>
    </row>
    <row r="318" spans="1:33">
      <c r="A318" s="87" t="str">
        <f t="shared" si="8"/>
        <v/>
      </c>
      <c r="B318" s="103" t="str">
        <f t="shared" si="9"/>
        <v/>
      </c>
      <c r="C318" s="88"/>
      <c r="D318" s="89"/>
      <c r="E318" s="89"/>
      <c r="F318" s="105"/>
      <c r="G318" s="105"/>
      <c r="H318" s="105"/>
      <c r="I318" s="105"/>
      <c r="J318" s="148"/>
      <c r="K318" s="87" t="s">
        <v>3767</v>
      </c>
      <c r="L318" s="87" t="s">
        <v>3562</v>
      </c>
      <c r="M318" s="88"/>
      <c r="N318" s="89"/>
      <c r="O318" s="89"/>
      <c r="P318" s="89"/>
      <c r="Q318" s="89"/>
      <c r="R318" s="87"/>
      <c r="S318" s="89"/>
      <c r="T318" s="87"/>
      <c r="U318" s="87"/>
      <c r="V318" s="90"/>
      <c r="W318" s="90"/>
      <c r="X318" s="87"/>
      <c r="Y318" s="90"/>
      <c r="Z318" s="87"/>
      <c r="AA318" s="90"/>
      <c r="AB318" s="87"/>
      <c r="AC318" s="90"/>
      <c r="AD318" s="87" t="s">
        <v>3568</v>
      </c>
      <c r="AE318" s="87" t="s">
        <v>3569</v>
      </c>
      <c r="AF318" s="87"/>
      <c r="AG318" s="90"/>
    </row>
    <row r="319" spans="1:33">
      <c r="A319" s="91" t="str">
        <f t="shared" si="8"/>
        <v/>
      </c>
      <c r="B319" s="104" t="str">
        <f t="shared" si="9"/>
        <v/>
      </c>
      <c r="C319" s="88"/>
      <c r="D319" s="89"/>
      <c r="E319" s="89"/>
      <c r="F319" s="105"/>
      <c r="G319" s="105"/>
      <c r="H319" s="105"/>
      <c r="I319" s="105"/>
      <c r="J319" s="148"/>
      <c r="K319" s="91" t="s">
        <v>3767</v>
      </c>
      <c r="L319" s="91" t="s">
        <v>3562</v>
      </c>
      <c r="M319" s="88"/>
      <c r="N319" s="89"/>
      <c r="O319" s="89"/>
      <c r="P319" s="89"/>
      <c r="Q319" s="89"/>
      <c r="R319" s="91"/>
      <c r="S319" s="89"/>
      <c r="T319" s="91"/>
      <c r="U319" s="91"/>
      <c r="V319" s="92"/>
      <c r="W319" s="92"/>
      <c r="X319" s="91"/>
      <c r="Y319" s="92"/>
      <c r="Z319" s="91"/>
      <c r="AA319" s="92"/>
      <c r="AB319" s="91"/>
      <c r="AC319" s="92"/>
      <c r="AD319" s="91" t="s">
        <v>3568</v>
      </c>
      <c r="AE319" s="91" t="s">
        <v>3569</v>
      </c>
      <c r="AF319" s="91"/>
      <c r="AG319" s="92"/>
    </row>
    <row r="320" spans="1:33">
      <c r="A320" s="87" t="str">
        <f t="shared" si="8"/>
        <v/>
      </c>
      <c r="B320" s="103" t="str">
        <f t="shared" si="9"/>
        <v/>
      </c>
      <c r="C320" s="88"/>
      <c r="D320" s="89"/>
      <c r="E320" s="89"/>
      <c r="F320" s="105"/>
      <c r="G320" s="105"/>
      <c r="H320" s="105"/>
      <c r="I320" s="105"/>
      <c r="J320" s="148"/>
      <c r="K320" s="87" t="s">
        <v>3767</v>
      </c>
      <c r="L320" s="87" t="s">
        <v>3562</v>
      </c>
      <c r="M320" s="88"/>
      <c r="N320" s="89"/>
      <c r="O320" s="89"/>
      <c r="P320" s="89"/>
      <c r="Q320" s="89"/>
      <c r="R320" s="87"/>
      <c r="S320" s="89"/>
      <c r="T320" s="87"/>
      <c r="U320" s="87"/>
      <c r="V320" s="90"/>
      <c r="W320" s="90"/>
      <c r="X320" s="87"/>
      <c r="Y320" s="90"/>
      <c r="Z320" s="87"/>
      <c r="AA320" s="90"/>
      <c r="AB320" s="87"/>
      <c r="AC320" s="90"/>
      <c r="AD320" s="87" t="s">
        <v>3568</v>
      </c>
      <c r="AE320" s="87" t="s">
        <v>3569</v>
      </c>
      <c r="AF320" s="87"/>
      <c r="AG320" s="90"/>
    </row>
    <row r="321" spans="1:33">
      <c r="A321" s="91" t="str">
        <f t="shared" si="8"/>
        <v/>
      </c>
      <c r="B321" s="104" t="str">
        <f t="shared" si="9"/>
        <v/>
      </c>
      <c r="C321" s="88"/>
      <c r="D321" s="89"/>
      <c r="E321" s="89"/>
      <c r="F321" s="105"/>
      <c r="G321" s="105"/>
      <c r="H321" s="105"/>
      <c r="I321" s="105"/>
      <c r="J321" s="148"/>
      <c r="K321" s="91" t="s">
        <v>3767</v>
      </c>
      <c r="L321" s="91" t="s">
        <v>3562</v>
      </c>
      <c r="M321" s="88"/>
      <c r="N321" s="89"/>
      <c r="O321" s="89"/>
      <c r="P321" s="89"/>
      <c r="Q321" s="89"/>
      <c r="R321" s="91"/>
      <c r="S321" s="89"/>
      <c r="T321" s="91"/>
      <c r="U321" s="91"/>
      <c r="V321" s="92"/>
      <c r="W321" s="92"/>
      <c r="X321" s="91"/>
      <c r="Y321" s="92"/>
      <c r="Z321" s="91"/>
      <c r="AA321" s="92"/>
      <c r="AB321" s="91"/>
      <c r="AC321" s="92"/>
      <c r="AD321" s="91" t="s">
        <v>3568</v>
      </c>
      <c r="AE321" s="91" t="s">
        <v>3569</v>
      </c>
      <c r="AF321" s="91"/>
      <c r="AG321" s="92"/>
    </row>
    <row r="322" spans="1:33">
      <c r="A322" s="87" t="str">
        <f t="shared" si="8"/>
        <v/>
      </c>
      <c r="B322" s="103" t="str">
        <f t="shared" si="9"/>
        <v/>
      </c>
      <c r="C322" s="88"/>
      <c r="D322" s="89"/>
      <c r="E322" s="89"/>
      <c r="F322" s="105"/>
      <c r="G322" s="105"/>
      <c r="H322" s="105"/>
      <c r="I322" s="105"/>
      <c r="J322" s="148"/>
      <c r="K322" s="87" t="s">
        <v>3767</v>
      </c>
      <c r="L322" s="87" t="s">
        <v>3562</v>
      </c>
      <c r="M322" s="88"/>
      <c r="N322" s="89"/>
      <c r="O322" s="89"/>
      <c r="P322" s="89"/>
      <c r="Q322" s="89"/>
      <c r="R322" s="87"/>
      <c r="S322" s="89"/>
      <c r="T322" s="87"/>
      <c r="U322" s="87"/>
      <c r="V322" s="90"/>
      <c r="W322" s="90"/>
      <c r="X322" s="87"/>
      <c r="Y322" s="90"/>
      <c r="Z322" s="87"/>
      <c r="AA322" s="90"/>
      <c r="AB322" s="87"/>
      <c r="AC322" s="90"/>
      <c r="AD322" s="87" t="s">
        <v>3568</v>
      </c>
      <c r="AE322" s="87" t="s">
        <v>3569</v>
      </c>
      <c r="AF322" s="87"/>
      <c r="AG322" s="90"/>
    </row>
    <row r="323" spans="1:33">
      <c r="A323" s="91" t="str">
        <f t="shared" si="8"/>
        <v/>
      </c>
      <c r="B323" s="104" t="str">
        <f t="shared" si="9"/>
        <v/>
      </c>
      <c r="C323" s="88"/>
      <c r="D323" s="89"/>
      <c r="E323" s="89"/>
      <c r="F323" s="105"/>
      <c r="G323" s="105"/>
      <c r="H323" s="105"/>
      <c r="I323" s="105"/>
      <c r="J323" s="148"/>
      <c r="K323" s="91" t="s">
        <v>3767</v>
      </c>
      <c r="L323" s="91" t="s">
        <v>3562</v>
      </c>
      <c r="M323" s="88"/>
      <c r="N323" s="89"/>
      <c r="O323" s="89"/>
      <c r="P323" s="89"/>
      <c r="Q323" s="89"/>
      <c r="R323" s="91"/>
      <c r="S323" s="89"/>
      <c r="T323" s="91"/>
      <c r="U323" s="91"/>
      <c r="V323" s="92"/>
      <c r="W323" s="92"/>
      <c r="X323" s="91"/>
      <c r="Y323" s="92"/>
      <c r="Z323" s="91"/>
      <c r="AA323" s="92"/>
      <c r="AB323" s="91"/>
      <c r="AC323" s="92"/>
      <c r="AD323" s="91" t="s">
        <v>3568</v>
      </c>
      <c r="AE323" s="91" t="s">
        <v>3569</v>
      </c>
      <c r="AF323" s="91"/>
      <c r="AG323" s="92"/>
    </row>
    <row r="324" spans="1:33">
      <c r="A324" s="87" t="str">
        <f t="shared" si="8"/>
        <v/>
      </c>
      <c r="B324" s="103" t="str">
        <f t="shared" si="9"/>
        <v/>
      </c>
      <c r="C324" s="88"/>
      <c r="D324" s="89"/>
      <c r="E324" s="89"/>
      <c r="F324" s="105"/>
      <c r="G324" s="105"/>
      <c r="H324" s="105"/>
      <c r="I324" s="105"/>
      <c r="J324" s="148"/>
      <c r="K324" s="87" t="s">
        <v>3767</v>
      </c>
      <c r="L324" s="87" t="s">
        <v>3562</v>
      </c>
      <c r="M324" s="88"/>
      <c r="N324" s="89"/>
      <c r="O324" s="89"/>
      <c r="P324" s="89"/>
      <c r="Q324" s="89"/>
      <c r="R324" s="87"/>
      <c r="S324" s="89"/>
      <c r="T324" s="87"/>
      <c r="U324" s="87"/>
      <c r="V324" s="90"/>
      <c r="W324" s="90"/>
      <c r="X324" s="87"/>
      <c r="Y324" s="90"/>
      <c r="Z324" s="87"/>
      <c r="AA324" s="90"/>
      <c r="AB324" s="87"/>
      <c r="AC324" s="90"/>
      <c r="AD324" s="87" t="s">
        <v>3568</v>
      </c>
      <c r="AE324" s="87" t="s">
        <v>3569</v>
      </c>
      <c r="AF324" s="87"/>
      <c r="AG324" s="90"/>
    </row>
    <row r="325" spans="1:33">
      <c r="A325" s="91" t="str">
        <f t="shared" si="8"/>
        <v/>
      </c>
      <c r="B325" s="104" t="str">
        <f t="shared" si="9"/>
        <v/>
      </c>
      <c r="C325" s="88"/>
      <c r="D325" s="89"/>
      <c r="E325" s="89"/>
      <c r="F325" s="105"/>
      <c r="G325" s="105"/>
      <c r="H325" s="105"/>
      <c r="I325" s="105"/>
      <c r="J325" s="148"/>
      <c r="K325" s="91" t="s">
        <v>3767</v>
      </c>
      <c r="L325" s="91" t="s">
        <v>3562</v>
      </c>
      <c r="M325" s="88"/>
      <c r="N325" s="89"/>
      <c r="O325" s="89"/>
      <c r="P325" s="89"/>
      <c r="Q325" s="89"/>
      <c r="R325" s="91"/>
      <c r="S325" s="89"/>
      <c r="T325" s="91"/>
      <c r="U325" s="91"/>
      <c r="V325" s="92"/>
      <c r="W325" s="92"/>
      <c r="X325" s="91"/>
      <c r="Y325" s="92"/>
      <c r="Z325" s="91"/>
      <c r="AA325" s="92"/>
      <c r="AB325" s="91"/>
      <c r="AC325" s="92"/>
      <c r="AD325" s="91" t="s">
        <v>3568</v>
      </c>
      <c r="AE325" s="91" t="s">
        <v>3569</v>
      </c>
      <c r="AF325" s="91"/>
      <c r="AG325" s="92"/>
    </row>
    <row r="326" spans="1:33">
      <c r="A326" s="87" t="str">
        <f t="shared" ref="A326:A389" si="10">IF(B326&lt;&gt;"",(ROW()-4),"")</f>
        <v/>
      </c>
      <c r="B326" s="103" t="str">
        <f t="shared" ref="B326:B389" si="11">IF(D326&lt;&gt;"","CASE-PMS-ADV-2026-"&amp;TEXT(ROW()-4,"000"),"")</f>
        <v/>
      </c>
      <c r="C326" s="88"/>
      <c r="D326" s="89"/>
      <c r="E326" s="89"/>
      <c r="F326" s="105"/>
      <c r="G326" s="105"/>
      <c r="H326" s="105"/>
      <c r="I326" s="105"/>
      <c r="J326" s="148"/>
      <c r="K326" s="87" t="s">
        <v>3767</v>
      </c>
      <c r="L326" s="87" t="s">
        <v>3562</v>
      </c>
      <c r="M326" s="88"/>
      <c r="N326" s="89"/>
      <c r="O326" s="89"/>
      <c r="P326" s="89"/>
      <c r="Q326" s="89"/>
      <c r="R326" s="87"/>
      <c r="S326" s="89"/>
      <c r="T326" s="87"/>
      <c r="U326" s="87"/>
      <c r="V326" s="90"/>
      <c r="W326" s="90"/>
      <c r="X326" s="87"/>
      <c r="Y326" s="90"/>
      <c r="Z326" s="87"/>
      <c r="AA326" s="90"/>
      <c r="AB326" s="87"/>
      <c r="AC326" s="90"/>
      <c r="AD326" s="87" t="s">
        <v>3568</v>
      </c>
      <c r="AE326" s="87" t="s">
        <v>3569</v>
      </c>
      <c r="AF326" s="87"/>
      <c r="AG326" s="90"/>
    </row>
    <row r="327" spans="1:33">
      <c r="A327" s="91" t="str">
        <f t="shared" si="10"/>
        <v/>
      </c>
      <c r="B327" s="104" t="str">
        <f t="shared" si="11"/>
        <v/>
      </c>
      <c r="C327" s="88"/>
      <c r="D327" s="89"/>
      <c r="E327" s="89"/>
      <c r="F327" s="105"/>
      <c r="G327" s="105"/>
      <c r="H327" s="105"/>
      <c r="I327" s="105"/>
      <c r="J327" s="148"/>
      <c r="K327" s="91" t="s">
        <v>3767</v>
      </c>
      <c r="L327" s="91" t="s">
        <v>3562</v>
      </c>
      <c r="M327" s="88"/>
      <c r="N327" s="89"/>
      <c r="O327" s="89"/>
      <c r="P327" s="89"/>
      <c r="Q327" s="89"/>
      <c r="R327" s="91"/>
      <c r="S327" s="89"/>
      <c r="T327" s="91"/>
      <c r="U327" s="91"/>
      <c r="V327" s="92"/>
      <c r="W327" s="92"/>
      <c r="X327" s="91"/>
      <c r="Y327" s="92"/>
      <c r="Z327" s="91"/>
      <c r="AA327" s="92"/>
      <c r="AB327" s="91"/>
      <c r="AC327" s="92"/>
      <c r="AD327" s="91" t="s">
        <v>3568</v>
      </c>
      <c r="AE327" s="91" t="s">
        <v>3569</v>
      </c>
      <c r="AF327" s="91"/>
      <c r="AG327" s="92"/>
    </row>
    <row r="328" spans="1:33">
      <c r="A328" s="87" t="str">
        <f t="shared" si="10"/>
        <v/>
      </c>
      <c r="B328" s="103" t="str">
        <f t="shared" si="11"/>
        <v/>
      </c>
      <c r="C328" s="88"/>
      <c r="D328" s="89"/>
      <c r="E328" s="89"/>
      <c r="F328" s="105"/>
      <c r="G328" s="105"/>
      <c r="H328" s="105"/>
      <c r="I328" s="105"/>
      <c r="J328" s="148"/>
      <c r="K328" s="87" t="s">
        <v>3767</v>
      </c>
      <c r="L328" s="87" t="s">
        <v>3562</v>
      </c>
      <c r="M328" s="88"/>
      <c r="N328" s="89"/>
      <c r="O328" s="89"/>
      <c r="P328" s="89"/>
      <c r="Q328" s="89"/>
      <c r="R328" s="87"/>
      <c r="S328" s="89"/>
      <c r="T328" s="87"/>
      <c r="U328" s="87"/>
      <c r="V328" s="90"/>
      <c r="W328" s="90"/>
      <c r="X328" s="87"/>
      <c r="Y328" s="90"/>
      <c r="Z328" s="87"/>
      <c r="AA328" s="90"/>
      <c r="AB328" s="87"/>
      <c r="AC328" s="90"/>
      <c r="AD328" s="87" t="s">
        <v>3568</v>
      </c>
      <c r="AE328" s="87" t="s">
        <v>3569</v>
      </c>
      <c r="AF328" s="87"/>
      <c r="AG328" s="90"/>
    </row>
    <row r="329" spans="1:33">
      <c r="A329" s="91" t="str">
        <f t="shared" si="10"/>
        <v/>
      </c>
      <c r="B329" s="104" t="str">
        <f t="shared" si="11"/>
        <v/>
      </c>
      <c r="C329" s="88"/>
      <c r="D329" s="89"/>
      <c r="E329" s="89"/>
      <c r="F329" s="105"/>
      <c r="G329" s="105"/>
      <c r="H329" s="105"/>
      <c r="I329" s="105"/>
      <c r="J329" s="148"/>
      <c r="K329" s="91" t="s">
        <v>3767</v>
      </c>
      <c r="L329" s="91" t="s">
        <v>3562</v>
      </c>
      <c r="M329" s="88"/>
      <c r="N329" s="89"/>
      <c r="O329" s="89"/>
      <c r="P329" s="89"/>
      <c r="Q329" s="89"/>
      <c r="R329" s="91"/>
      <c r="S329" s="89"/>
      <c r="T329" s="91"/>
      <c r="U329" s="91"/>
      <c r="V329" s="92"/>
      <c r="W329" s="92"/>
      <c r="X329" s="91"/>
      <c r="Y329" s="92"/>
      <c r="Z329" s="91"/>
      <c r="AA329" s="92"/>
      <c r="AB329" s="91"/>
      <c r="AC329" s="92"/>
      <c r="AD329" s="91" t="s">
        <v>3568</v>
      </c>
      <c r="AE329" s="91" t="s">
        <v>3569</v>
      </c>
      <c r="AF329" s="91"/>
      <c r="AG329" s="92"/>
    </row>
    <row r="330" spans="1:33">
      <c r="A330" s="87" t="str">
        <f t="shared" si="10"/>
        <v/>
      </c>
      <c r="B330" s="103" t="str">
        <f t="shared" si="11"/>
        <v/>
      </c>
      <c r="C330" s="88"/>
      <c r="D330" s="89"/>
      <c r="E330" s="89"/>
      <c r="F330" s="105"/>
      <c r="G330" s="105"/>
      <c r="H330" s="105"/>
      <c r="I330" s="105"/>
      <c r="J330" s="148"/>
      <c r="K330" s="87" t="s">
        <v>3767</v>
      </c>
      <c r="L330" s="87" t="s">
        <v>3562</v>
      </c>
      <c r="M330" s="88"/>
      <c r="N330" s="89"/>
      <c r="O330" s="89"/>
      <c r="P330" s="89"/>
      <c r="Q330" s="89"/>
      <c r="R330" s="87"/>
      <c r="S330" s="89"/>
      <c r="T330" s="87"/>
      <c r="U330" s="87"/>
      <c r="V330" s="90"/>
      <c r="W330" s="90"/>
      <c r="X330" s="87"/>
      <c r="Y330" s="90"/>
      <c r="Z330" s="87"/>
      <c r="AA330" s="90"/>
      <c r="AB330" s="87"/>
      <c r="AC330" s="90"/>
      <c r="AD330" s="87" t="s">
        <v>3568</v>
      </c>
      <c r="AE330" s="87" t="s">
        <v>3569</v>
      </c>
      <c r="AF330" s="87"/>
      <c r="AG330" s="90"/>
    </row>
    <row r="331" spans="1:33">
      <c r="A331" s="91" t="str">
        <f t="shared" si="10"/>
        <v/>
      </c>
      <c r="B331" s="104" t="str">
        <f t="shared" si="11"/>
        <v/>
      </c>
      <c r="C331" s="88"/>
      <c r="D331" s="89"/>
      <c r="E331" s="89"/>
      <c r="F331" s="105"/>
      <c r="G331" s="105"/>
      <c r="H331" s="105"/>
      <c r="I331" s="105"/>
      <c r="J331" s="148"/>
      <c r="K331" s="91" t="s">
        <v>3767</v>
      </c>
      <c r="L331" s="91" t="s">
        <v>3562</v>
      </c>
      <c r="M331" s="88"/>
      <c r="N331" s="89"/>
      <c r="O331" s="89"/>
      <c r="P331" s="89"/>
      <c r="Q331" s="89"/>
      <c r="R331" s="91"/>
      <c r="S331" s="89"/>
      <c r="T331" s="91"/>
      <c r="U331" s="91"/>
      <c r="V331" s="92"/>
      <c r="W331" s="92"/>
      <c r="X331" s="91"/>
      <c r="Y331" s="92"/>
      <c r="Z331" s="91"/>
      <c r="AA331" s="92"/>
      <c r="AB331" s="91"/>
      <c r="AC331" s="92"/>
      <c r="AD331" s="91" t="s">
        <v>3568</v>
      </c>
      <c r="AE331" s="91" t="s">
        <v>3569</v>
      </c>
      <c r="AF331" s="91"/>
      <c r="AG331" s="92"/>
    </row>
    <row r="332" spans="1:33">
      <c r="A332" s="87" t="str">
        <f t="shared" si="10"/>
        <v/>
      </c>
      <c r="B332" s="103" t="str">
        <f t="shared" si="11"/>
        <v/>
      </c>
      <c r="C332" s="88"/>
      <c r="D332" s="89"/>
      <c r="E332" s="89"/>
      <c r="F332" s="105"/>
      <c r="G332" s="105"/>
      <c r="H332" s="105"/>
      <c r="I332" s="105"/>
      <c r="J332" s="148"/>
      <c r="K332" s="87" t="s">
        <v>3767</v>
      </c>
      <c r="L332" s="87" t="s">
        <v>3562</v>
      </c>
      <c r="M332" s="88"/>
      <c r="N332" s="89"/>
      <c r="O332" s="89"/>
      <c r="P332" s="89"/>
      <c r="Q332" s="89"/>
      <c r="R332" s="87"/>
      <c r="S332" s="89"/>
      <c r="T332" s="87"/>
      <c r="U332" s="87"/>
      <c r="V332" s="90"/>
      <c r="W332" s="90"/>
      <c r="X332" s="87"/>
      <c r="Y332" s="90"/>
      <c r="Z332" s="87"/>
      <c r="AA332" s="90"/>
      <c r="AB332" s="87"/>
      <c r="AC332" s="90"/>
      <c r="AD332" s="87" t="s">
        <v>3568</v>
      </c>
      <c r="AE332" s="87" t="s">
        <v>3569</v>
      </c>
      <c r="AF332" s="87"/>
      <c r="AG332" s="90"/>
    </row>
    <row r="333" spans="1:33">
      <c r="A333" s="91" t="str">
        <f t="shared" si="10"/>
        <v/>
      </c>
      <c r="B333" s="104" t="str">
        <f t="shared" si="11"/>
        <v/>
      </c>
      <c r="C333" s="88"/>
      <c r="D333" s="89"/>
      <c r="E333" s="89"/>
      <c r="F333" s="105"/>
      <c r="G333" s="105"/>
      <c r="H333" s="105"/>
      <c r="I333" s="105"/>
      <c r="J333" s="148"/>
      <c r="K333" s="91" t="s">
        <v>3767</v>
      </c>
      <c r="L333" s="91" t="s">
        <v>3562</v>
      </c>
      <c r="M333" s="88"/>
      <c r="N333" s="89"/>
      <c r="O333" s="89"/>
      <c r="P333" s="89"/>
      <c r="Q333" s="89"/>
      <c r="R333" s="91"/>
      <c r="S333" s="89"/>
      <c r="T333" s="91"/>
      <c r="U333" s="91"/>
      <c r="V333" s="92"/>
      <c r="W333" s="92"/>
      <c r="X333" s="91"/>
      <c r="Y333" s="92"/>
      <c r="Z333" s="91"/>
      <c r="AA333" s="92"/>
      <c r="AB333" s="91"/>
      <c r="AC333" s="92"/>
      <c r="AD333" s="91" t="s">
        <v>3568</v>
      </c>
      <c r="AE333" s="91" t="s">
        <v>3569</v>
      </c>
      <c r="AF333" s="91"/>
      <c r="AG333" s="92"/>
    </row>
    <row r="334" spans="1:33">
      <c r="A334" s="87" t="str">
        <f t="shared" si="10"/>
        <v/>
      </c>
      <c r="B334" s="103" t="str">
        <f t="shared" si="11"/>
        <v/>
      </c>
      <c r="C334" s="88"/>
      <c r="D334" s="89"/>
      <c r="E334" s="89"/>
      <c r="F334" s="105"/>
      <c r="G334" s="105"/>
      <c r="H334" s="105"/>
      <c r="I334" s="105"/>
      <c r="J334" s="148"/>
      <c r="K334" s="87" t="s">
        <v>3767</v>
      </c>
      <c r="L334" s="87" t="s">
        <v>3562</v>
      </c>
      <c r="M334" s="88"/>
      <c r="N334" s="89"/>
      <c r="O334" s="89"/>
      <c r="P334" s="89"/>
      <c r="Q334" s="89"/>
      <c r="R334" s="87"/>
      <c r="S334" s="89"/>
      <c r="T334" s="87"/>
      <c r="U334" s="87"/>
      <c r="V334" s="90"/>
      <c r="W334" s="90"/>
      <c r="X334" s="87"/>
      <c r="Y334" s="90"/>
      <c r="Z334" s="87"/>
      <c r="AA334" s="90"/>
      <c r="AB334" s="87"/>
      <c r="AC334" s="90"/>
      <c r="AD334" s="87" t="s">
        <v>3568</v>
      </c>
      <c r="AE334" s="87" t="s">
        <v>3569</v>
      </c>
      <c r="AF334" s="87"/>
      <c r="AG334" s="90"/>
    </row>
    <row r="335" spans="1:33">
      <c r="A335" s="91" t="str">
        <f t="shared" si="10"/>
        <v/>
      </c>
      <c r="B335" s="104" t="str">
        <f t="shared" si="11"/>
        <v/>
      </c>
      <c r="C335" s="88"/>
      <c r="D335" s="89"/>
      <c r="E335" s="89"/>
      <c r="F335" s="105"/>
      <c r="G335" s="105"/>
      <c r="H335" s="105"/>
      <c r="I335" s="105"/>
      <c r="J335" s="148"/>
      <c r="K335" s="91" t="s">
        <v>3767</v>
      </c>
      <c r="L335" s="91" t="s">
        <v>3562</v>
      </c>
      <c r="M335" s="88"/>
      <c r="N335" s="89"/>
      <c r="O335" s="89"/>
      <c r="P335" s="89"/>
      <c r="Q335" s="89"/>
      <c r="R335" s="91"/>
      <c r="S335" s="89"/>
      <c r="T335" s="91"/>
      <c r="U335" s="91"/>
      <c r="V335" s="92"/>
      <c r="W335" s="92"/>
      <c r="X335" s="91"/>
      <c r="Y335" s="92"/>
      <c r="Z335" s="91"/>
      <c r="AA335" s="92"/>
      <c r="AB335" s="91"/>
      <c r="AC335" s="92"/>
      <c r="AD335" s="91" t="s">
        <v>3568</v>
      </c>
      <c r="AE335" s="91" t="s">
        <v>3569</v>
      </c>
      <c r="AF335" s="91"/>
      <c r="AG335" s="92"/>
    </row>
    <row r="336" spans="1:33">
      <c r="A336" s="87" t="str">
        <f t="shared" si="10"/>
        <v/>
      </c>
      <c r="B336" s="103" t="str">
        <f t="shared" si="11"/>
        <v/>
      </c>
      <c r="C336" s="88"/>
      <c r="D336" s="89"/>
      <c r="E336" s="89"/>
      <c r="F336" s="105"/>
      <c r="G336" s="105"/>
      <c r="H336" s="105"/>
      <c r="I336" s="105"/>
      <c r="J336" s="148"/>
      <c r="K336" s="87" t="s">
        <v>3767</v>
      </c>
      <c r="L336" s="87" t="s">
        <v>3562</v>
      </c>
      <c r="M336" s="88"/>
      <c r="N336" s="89"/>
      <c r="O336" s="89"/>
      <c r="P336" s="89"/>
      <c r="Q336" s="89"/>
      <c r="R336" s="87"/>
      <c r="S336" s="89"/>
      <c r="T336" s="87"/>
      <c r="U336" s="87"/>
      <c r="V336" s="90"/>
      <c r="W336" s="90"/>
      <c r="X336" s="87"/>
      <c r="Y336" s="90"/>
      <c r="Z336" s="87"/>
      <c r="AA336" s="90"/>
      <c r="AB336" s="87"/>
      <c r="AC336" s="90"/>
      <c r="AD336" s="87" t="s">
        <v>3568</v>
      </c>
      <c r="AE336" s="87" t="s">
        <v>3569</v>
      </c>
      <c r="AF336" s="87"/>
      <c r="AG336" s="90"/>
    </row>
    <row r="337" spans="1:33">
      <c r="A337" s="91" t="str">
        <f t="shared" si="10"/>
        <v/>
      </c>
      <c r="B337" s="104" t="str">
        <f t="shared" si="11"/>
        <v/>
      </c>
      <c r="C337" s="88"/>
      <c r="D337" s="89"/>
      <c r="E337" s="89"/>
      <c r="F337" s="105"/>
      <c r="G337" s="105"/>
      <c r="H337" s="105"/>
      <c r="I337" s="105"/>
      <c r="J337" s="148"/>
      <c r="K337" s="91" t="s">
        <v>3767</v>
      </c>
      <c r="L337" s="91" t="s">
        <v>3562</v>
      </c>
      <c r="M337" s="88"/>
      <c r="N337" s="89"/>
      <c r="O337" s="89"/>
      <c r="P337" s="89"/>
      <c r="Q337" s="89"/>
      <c r="R337" s="91"/>
      <c r="S337" s="89"/>
      <c r="T337" s="91"/>
      <c r="U337" s="91"/>
      <c r="V337" s="92"/>
      <c r="W337" s="92"/>
      <c r="X337" s="91"/>
      <c r="Y337" s="92"/>
      <c r="Z337" s="91"/>
      <c r="AA337" s="92"/>
      <c r="AB337" s="91"/>
      <c r="AC337" s="92"/>
      <c r="AD337" s="91" t="s">
        <v>3568</v>
      </c>
      <c r="AE337" s="91" t="s">
        <v>3569</v>
      </c>
      <c r="AF337" s="91"/>
      <c r="AG337" s="92"/>
    </row>
    <row r="338" spans="1:33">
      <c r="A338" s="87" t="str">
        <f t="shared" si="10"/>
        <v/>
      </c>
      <c r="B338" s="103" t="str">
        <f t="shared" si="11"/>
        <v/>
      </c>
      <c r="C338" s="88"/>
      <c r="D338" s="89"/>
      <c r="E338" s="89"/>
      <c r="F338" s="105"/>
      <c r="G338" s="105"/>
      <c r="H338" s="105"/>
      <c r="I338" s="105"/>
      <c r="J338" s="148"/>
      <c r="K338" s="87" t="s">
        <v>3767</v>
      </c>
      <c r="L338" s="87" t="s">
        <v>3562</v>
      </c>
      <c r="M338" s="88"/>
      <c r="N338" s="89"/>
      <c r="O338" s="89"/>
      <c r="P338" s="89"/>
      <c r="Q338" s="89"/>
      <c r="R338" s="87"/>
      <c r="S338" s="89"/>
      <c r="T338" s="87"/>
      <c r="U338" s="87"/>
      <c r="V338" s="90"/>
      <c r="W338" s="90"/>
      <c r="X338" s="87"/>
      <c r="Y338" s="90"/>
      <c r="Z338" s="87"/>
      <c r="AA338" s="90"/>
      <c r="AB338" s="87"/>
      <c r="AC338" s="90"/>
      <c r="AD338" s="87" t="s">
        <v>3568</v>
      </c>
      <c r="AE338" s="87" t="s">
        <v>3569</v>
      </c>
      <c r="AF338" s="87"/>
      <c r="AG338" s="90"/>
    </row>
    <row r="339" spans="1:33">
      <c r="A339" s="91" t="str">
        <f t="shared" si="10"/>
        <v/>
      </c>
      <c r="B339" s="104" t="str">
        <f t="shared" si="11"/>
        <v/>
      </c>
      <c r="C339" s="88"/>
      <c r="D339" s="89"/>
      <c r="E339" s="89"/>
      <c r="F339" s="105"/>
      <c r="G339" s="105"/>
      <c r="H339" s="105"/>
      <c r="I339" s="105"/>
      <c r="J339" s="148"/>
      <c r="K339" s="91" t="s">
        <v>3767</v>
      </c>
      <c r="L339" s="91" t="s">
        <v>3562</v>
      </c>
      <c r="M339" s="88"/>
      <c r="N339" s="89"/>
      <c r="O339" s="89"/>
      <c r="P339" s="89"/>
      <c r="Q339" s="89"/>
      <c r="R339" s="91"/>
      <c r="S339" s="89"/>
      <c r="T339" s="91"/>
      <c r="U339" s="91"/>
      <c r="V339" s="92"/>
      <c r="W339" s="92"/>
      <c r="X339" s="91"/>
      <c r="Y339" s="92"/>
      <c r="Z339" s="91"/>
      <c r="AA339" s="92"/>
      <c r="AB339" s="91"/>
      <c r="AC339" s="92"/>
      <c r="AD339" s="91" t="s">
        <v>3568</v>
      </c>
      <c r="AE339" s="91" t="s">
        <v>3569</v>
      </c>
      <c r="AF339" s="91"/>
      <c r="AG339" s="92"/>
    </row>
    <row r="340" spans="1:33">
      <c r="A340" s="87" t="str">
        <f t="shared" si="10"/>
        <v/>
      </c>
      <c r="B340" s="103" t="str">
        <f t="shared" si="11"/>
        <v/>
      </c>
      <c r="C340" s="88"/>
      <c r="D340" s="89"/>
      <c r="E340" s="89"/>
      <c r="F340" s="105"/>
      <c r="G340" s="105"/>
      <c r="H340" s="105"/>
      <c r="I340" s="105"/>
      <c r="J340" s="148"/>
      <c r="K340" s="87" t="s">
        <v>3767</v>
      </c>
      <c r="L340" s="87" t="s">
        <v>3562</v>
      </c>
      <c r="M340" s="88"/>
      <c r="N340" s="89"/>
      <c r="O340" s="89"/>
      <c r="P340" s="89"/>
      <c r="Q340" s="89"/>
      <c r="R340" s="87"/>
      <c r="S340" s="89"/>
      <c r="T340" s="87"/>
      <c r="U340" s="87"/>
      <c r="V340" s="90"/>
      <c r="W340" s="90"/>
      <c r="X340" s="87"/>
      <c r="Y340" s="90"/>
      <c r="Z340" s="87"/>
      <c r="AA340" s="90"/>
      <c r="AB340" s="87"/>
      <c r="AC340" s="90"/>
      <c r="AD340" s="87" t="s">
        <v>3568</v>
      </c>
      <c r="AE340" s="87" t="s">
        <v>3569</v>
      </c>
      <c r="AF340" s="87"/>
      <c r="AG340" s="90"/>
    </row>
    <row r="341" spans="1:33">
      <c r="A341" s="91" t="str">
        <f t="shared" si="10"/>
        <v/>
      </c>
      <c r="B341" s="104" t="str">
        <f t="shared" si="11"/>
        <v/>
      </c>
      <c r="C341" s="88"/>
      <c r="D341" s="89"/>
      <c r="E341" s="89"/>
      <c r="F341" s="105"/>
      <c r="G341" s="105"/>
      <c r="H341" s="105"/>
      <c r="I341" s="105"/>
      <c r="J341" s="148"/>
      <c r="K341" s="91" t="s">
        <v>3767</v>
      </c>
      <c r="L341" s="91" t="s">
        <v>3562</v>
      </c>
      <c r="M341" s="88"/>
      <c r="N341" s="89"/>
      <c r="O341" s="89"/>
      <c r="P341" s="89"/>
      <c r="Q341" s="89"/>
      <c r="R341" s="91"/>
      <c r="S341" s="89"/>
      <c r="T341" s="91"/>
      <c r="U341" s="91"/>
      <c r="V341" s="92"/>
      <c r="W341" s="92"/>
      <c r="X341" s="91"/>
      <c r="Y341" s="92"/>
      <c r="Z341" s="91"/>
      <c r="AA341" s="92"/>
      <c r="AB341" s="91"/>
      <c r="AC341" s="92"/>
      <c r="AD341" s="91" t="s">
        <v>3568</v>
      </c>
      <c r="AE341" s="91" t="s">
        <v>3569</v>
      </c>
      <c r="AF341" s="91"/>
      <c r="AG341" s="92"/>
    </row>
    <row r="342" spans="1:33">
      <c r="A342" s="87" t="str">
        <f t="shared" si="10"/>
        <v/>
      </c>
      <c r="B342" s="103" t="str">
        <f t="shared" si="11"/>
        <v/>
      </c>
      <c r="C342" s="88"/>
      <c r="D342" s="89"/>
      <c r="E342" s="89"/>
      <c r="F342" s="105"/>
      <c r="G342" s="105"/>
      <c r="H342" s="105"/>
      <c r="I342" s="105"/>
      <c r="J342" s="148"/>
      <c r="K342" s="87" t="s">
        <v>3767</v>
      </c>
      <c r="L342" s="87" t="s">
        <v>3562</v>
      </c>
      <c r="M342" s="88"/>
      <c r="N342" s="89"/>
      <c r="O342" s="89"/>
      <c r="P342" s="89"/>
      <c r="Q342" s="89"/>
      <c r="R342" s="87"/>
      <c r="S342" s="89"/>
      <c r="T342" s="87"/>
      <c r="U342" s="87"/>
      <c r="V342" s="90"/>
      <c r="W342" s="90"/>
      <c r="X342" s="87"/>
      <c r="Y342" s="90"/>
      <c r="Z342" s="87"/>
      <c r="AA342" s="90"/>
      <c r="AB342" s="87"/>
      <c r="AC342" s="90"/>
      <c r="AD342" s="87" t="s">
        <v>3568</v>
      </c>
      <c r="AE342" s="87" t="s">
        <v>3569</v>
      </c>
      <c r="AF342" s="87"/>
      <c r="AG342" s="90"/>
    </row>
    <row r="343" spans="1:33">
      <c r="A343" s="91" t="str">
        <f t="shared" si="10"/>
        <v/>
      </c>
      <c r="B343" s="104" t="str">
        <f t="shared" si="11"/>
        <v/>
      </c>
      <c r="C343" s="88"/>
      <c r="D343" s="89"/>
      <c r="E343" s="89"/>
      <c r="F343" s="105"/>
      <c r="G343" s="105"/>
      <c r="H343" s="105"/>
      <c r="I343" s="105"/>
      <c r="J343" s="148"/>
      <c r="K343" s="91" t="s">
        <v>3767</v>
      </c>
      <c r="L343" s="91" t="s">
        <v>3562</v>
      </c>
      <c r="M343" s="88"/>
      <c r="N343" s="89"/>
      <c r="O343" s="89"/>
      <c r="P343" s="89"/>
      <c r="Q343" s="89"/>
      <c r="R343" s="91"/>
      <c r="S343" s="89"/>
      <c r="T343" s="91"/>
      <c r="U343" s="91"/>
      <c r="V343" s="92"/>
      <c r="W343" s="92"/>
      <c r="X343" s="91"/>
      <c r="Y343" s="92"/>
      <c r="Z343" s="91"/>
      <c r="AA343" s="92"/>
      <c r="AB343" s="91"/>
      <c r="AC343" s="92"/>
      <c r="AD343" s="91" t="s">
        <v>3568</v>
      </c>
      <c r="AE343" s="91" t="s">
        <v>3569</v>
      </c>
      <c r="AF343" s="91"/>
      <c r="AG343" s="92"/>
    </row>
    <row r="344" spans="1:33">
      <c r="A344" s="87" t="str">
        <f t="shared" si="10"/>
        <v/>
      </c>
      <c r="B344" s="103" t="str">
        <f t="shared" si="11"/>
        <v/>
      </c>
      <c r="C344" s="88"/>
      <c r="D344" s="89"/>
      <c r="E344" s="89"/>
      <c r="F344" s="105"/>
      <c r="G344" s="105"/>
      <c r="H344" s="105"/>
      <c r="I344" s="105"/>
      <c r="J344" s="148"/>
      <c r="K344" s="87" t="s">
        <v>3767</v>
      </c>
      <c r="L344" s="87" t="s">
        <v>3562</v>
      </c>
      <c r="M344" s="88"/>
      <c r="N344" s="89"/>
      <c r="O344" s="89"/>
      <c r="P344" s="89"/>
      <c r="Q344" s="89"/>
      <c r="R344" s="87"/>
      <c r="S344" s="89"/>
      <c r="T344" s="87"/>
      <c r="U344" s="87"/>
      <c r="V344" s="90"/>
      <c r="W344" s="90"/>
      <c r="X344" s="87"/>
      <c r="Y344" s="90"/>
      <c r="Z344" s="87"/>
      <c r="AA344" s="90"/>
      <c r="AB344" s="87"/>
      <c r="AC344" s="90"/>
      <c r="AD344" s="87" t="s">
        <v>3568</v>
      </c>
      <c r="AE344" s="87" t="s">
        <v>3569</v>
      </c>
      <c r="AF344" s="87"/>
      <c r="AG344" s="90"/>
    </row>
    <row r="345" spans="1:33">
      <c r="A345" s="91" t="str">
        <f t="shared" si="10"/>
        <v/>
      </c>
      <c r="B345" s="104" t="str">
        <f t="shared" si="11"/>
        <v/>
      </c>
      <c r="C345" s="88"/>
      <c r="D345" s="89"/>
      <c r="E345" s="89"/>
      <c r="F345" s="105"/>
      <c r="G345" s="105"/>
      <c r="H345" s="105"/>
      <c r="I345" s="105"/>
      <c r="J345" s="148"/>
      <c r="K345" s="91" t="s">
        <v>3767</v>
      </c>
      <c r="L345" s="91" t="s">
        <v>3562</v>
      </c>
      <c r="M345" s="88"/>
      <c r="N345" s="89"/>
      <c r="O345" s="89"/>
      <c r="P345" s="89"/>
      <c r="Q345" s="89"/>
      <c r="R345" s="91"/>
      <c r="S345" s="89"/>
      <c r="T345" s="91"/>
      <c r="U345" s="91"/>
      <c r="V345" s="92"/>
      <c r="W345" s="92"/>
      <c r="X345" s="91"/>
      <c r="Y345" s="92"/>
      <c r="Z345" s="91"/>
      <c r="AA345" s="92"/>
      <c r="AB345" s="91"/>
      <c r="AC345" s="92"/>
      <c r="AD345" s="91" t="s">
        <v>3568</v>
      </c>
      <c r="AE345" s="91" t="s">
        <v>3569</v>
      </c>
      <c r="AF345" s="91"/>
      <c r="AG345" s="92"/>
    </row>
    <row r="346" spans="1:33">
      <c r="A346" s="87" t="str">
        <f t="shared" si="10"/>
        <v/>
      </c>
      <c r="B346" s="103" t="str">
        <f t="shared" si="11"/>
        <v/>
      </c>
      <c r="C346" s="88"/>
      <c r="D346" s="89"/>
      <c r="E346" s="89"/>
      <c r="F346" s="105"/>
      <c r="G346" s="105"/>
      <c r="H346" s="105"/>
      <c r="I346" s="105"/>
      <c r="J346" s="148"/>
      <c r="K346" s="87" t="s">
        <v>3767</v>
      </c>
      <c r="L346" s="87" t="s">
        <v>3562</v>
      </c>
      <c r="M346" s="88"/>
      <c r="N346" s="89"/>
      <c r="O346" s="89"/>
      <c r="P346" s="89"/>
      <c r="Q346" s="89"/>
      <c r="R346" s="87"/>
      <c r="S346" s="89"/>
      <c r="T346" s="87"/>
      <c r="U346" s="87"/>
      <c r="V346" s="90"/>
      <c r="W346" s="90"/>
      <c r="X346" s="87"/>
      <c r="Y346" s="90"/>
      <c r="Z346" s="87"/>
      <c r="AA346" s="90"/>
      <c r="AB346" s="87"/>
      <c r="AC346" s="90"/>
      <c r="AD346" s="87" t="s">
        <v>3568</v>
      </c>
      <c r="AE346" s="87" t="s">
        <v>3569</v>
      </c>
      <c r="AF346" s="87"/>
      <c r="AG346" s="90"/>
    </row>
    <row r="347" spans="1:33">
      <c r="A347" s="91" t="str">
        <f t="shared" si="10"/>
        <v/>
      </c>
      <c r="B347" s="104" t="str">
        <f t="shared" si="11"/>
        <v/>
      </c>
      <c r="C347" s="88"/>
      <c r="D347" s="89"/>
      <c r="E347" s="89"/>
      <c r="F347" s="105"/>
      <c r="G347" s="105"/>
      <c r="H347" s="105"/>
      <c r="I347" s="105"/>
      <c r="J347" s="148"/>
      <c r="K347" s="91" t="s">
        <v>3767</v>
      </c>
      <c r="L347" s="91" t="s">
        <v>3562</v>
      </c>
      <c r="M347" s="88"/>
      <c r="N347" s="89"/>
      <c r="O347" s="89"/>
      <c r="P347" s="89"/>
      <c r="Q347" s="89"/>
      <c r="R347" s="91"/>
      <c r="S347" s="89"/>
      <c r="T347" s="91"/>
      <c r="U347" s="91"/>
      <c r="V347" s="92"/>
      <c r="W347" s="92"/>
      <c r="X347" s="91"/>
      <c r="Y347" s="92"/>
      <c r="Z347" s="91"/>
      <c r="AA347" s="92"/>
      <c r="AB347" s="91"/>
      <c r="AC347" s="92"/>
      <c r="AD347" s="91" t="s">
        <v>3568</v>
      </c>
      <c r="AE347" s="91" t="s">
        <v>3569</v>
      </c>
      <c r="AF347" s="91"/>
      <c r="AG347" s="92"/>
    </row>
    <row r="348" spans="1:33">
      <c r="A348" s="87" t="str">
        <f t="shared" si="10"/>
        <v/>
      </c>
      <c r="B348" s="103" t="str">
        <f t="shared" si="11"/>
        <v/>
      </c>
      <c r="C348" s="88"/>
      <c r="D348" s="89"/>
      <c r="E348" s="89"/>
      <c r="F348" s="105"/>
      <c r="G348" s="105"/>
      <c r="H348" s="105"/>
      <c r="I348" s="105"/>
      <c r="J348" s="148"/>
      <c r="K348" s="87" t="s">
        <v>3767</v>
      </c>
      <c r="L348" s="87" t="s">
        <v>3562</v>
      </c>
      <c r="M348" s="88"/>
      <c r="N348" s="89"/>
      <c r="O348" s="89"/>
      <c r="P348" s="89"/>
      <c r="Q348" s="89"/>
      <c r="R348" s="87"/>
      <c r="S348" s="89"/>
      <c r="T348" s="87"/>
      <c r="U348" s="87"/>
      <c r="V348" s="90"/>
      <c r="W348" s="90"/>
      <c r="X348" s="87"/>
      <c r="Y348" s="90"/>
      <c r="Z348" s="87"/>
      <c r="AA348" s="90"/>
      <c r="AB348" s="87"/>
      <c r="AC348" s="90"/>
      <c r="AD348" s="87" t="s">
        <v>3568</v>
      </c>
      <c r="AE348" s="87" t="s">
        <v>3569</v>
      </c>
      <c r="AF348" s="87"/>
      <c r="AG348" s="90"/>
    </row>
    <row r="349" spans="1:33">
      <c r="A349" s="91" t="str">
        <f t="shared" si="10"/>
        <v/>
      </c>
      <c r="B349" s="104" t="str">
        <f t="shared" si="11"/>
        <v/>
      </c>
      <c r="C349" s="88"/>
      <c r="D349" s="89"/>
      <c r="E349" s="89"/>
      <c r="F349" s="105"/>
      <c r="G349" s="105"/>
      <c r="H349" s="105"/>
      <c r="I349" s="105"/>
      <c r="J349" s="148"/>
      <c r="K349" s="91" t="s">
        <v>3767</v>
      </c>
      <c r="L349" s="91" t="s">
        <v>3562</v>
      </c>
      <c r="M349" s="88"/>
      <c r="N349" s="89"/>
      <c r="O349" s="89"/>
      <c r="P349" s="89"/>
      <c r="Q349" s="89"/>
      <c r="R349" s="91"/>
      <c r="S349" s="89"/>
      <c r="T349" s="91"/>
      <c r="U349" s="91"/>
      <c r="V349" s="92"/>
      <c r="W349" s="92"/>
      <c r="X349" s="91"/>
      <c r="Y349" s="92"/>
      <c r="Z349" s="91"/>
      <c r="AA349" s="92"/>
      <c r="AB349" s="91"/>
      <c r="AC349" s="92"/>
      <c r="AD349" s="91" t="s">
        <v>3568</v>
      </c>
      <c r="AE349" s="91" t="s">
        <v>3569</v>
      </c>
      <c r="AF349" s="91"/>
      <c r="AG349" s="92"/>
    </row>
    <row r="350" spans="1:33">
      <c r="A350" s="87" t="str">
        <f t="shared" si="10"/>
        <v/>
      </c>
      <c r="B350" s="103" t="str">
        <f t="shared" si="11"/>
        <v/>
      </c>
      <c r="C350" s="88"/>
      <c r="D350" s="89"/>
      <c r="E350" s="89"/>
      <c r="F350" s="105"/>
      <c r="G350" s="105"/>
      <c r="H350" s="105"/>
      <c r="I350" s="105"/>
      <c r="J350" s="148"/>
      <c r="K350" s="87" t="s">
        <v>3767</v>
      </c>
      <c r="L350" s="87" t="s">
        <v>3562</v>
      </c>
      <c r="M350" s="88"/>
      <c r="N350" s="89"/>
      <c r="O350" s="89"/>
      <c r="P350" s="89"/>
      <c r="Q350" s="89"/>
      <c r="R350" s="87"/>
      <c r="S350" s="89"/>
      <c r="T350" s="87"/>
      <c r="U350" s="87"/>
      <c r="V350" s="90"/>
      <c r="W350" s="90"/>
      <c r="X350" s="87"/>
      <c r="Y350" s="90"/>
      <c r="Z350" s="87"/>
      <c r="AA350" s="90"/>
      <c r="AB350" s="87"/>
      <c r="AC350" s="90"/>
      <c r="AD350" s="87" t="s">
        <v>3568</v>
      </c>
      <c r="AE350" s="87" t="s">
        <v>3569</v>
      </c>
      <c r="AF350" s="87"/>
      <c r="AG350" s="90"/>
    </row>
    <row r="351" spans="1:33">
      <c r="A351" s="91" t="str">
        <f t="shared" si="10"/>
        <v/>
      </c>
      <c r="B351" s="104" t="str">
        <f t="shared" si="11"/>
        <v/>
      </c>
      <c r="C351" s="88"/>
      <c r="D351" s="89"/>
      <c r="E351" s="89"/>
      <c r="F351" s="105"/>
      <c r="G351" s="105"/>
      <c r="H351" s="105"/>
      <c r="I351" s="105"/>
      <c r="J351" s="148"/>
      <c r="K351" s="91" t="s">
        <v>3767</v>
      </c>
      <c r="L351" s="91" t="s">
        <v>3562</v>
      </c>
      <c r="M351" s="88"/>
      <c r="N351" s="89"/>
      <c r="O351" s="89"/>
      <c r="P351" s="89"/>
      <c r="Q351" s="89"/>
      <c r="R351" s="91"/>
      <c r="S351" s="89"/>
      <c r="T351" s="91"/>
      <c r="U351" s="91"/>
      <c r="V351" s="92"/>
      <c r="W351" s="92"/>
      <c r="X351" s="91"/>
      <c r="Y351" s="92"/>
      <c r="Z351" s="91"/>
      <c r="AA351" s="92"/>
      <c r="AB351" s="91"/>
      <c r="AC351" s="92"/>
      <c r="AD351" s="91" t="s">
        <v>3568</v>
      </c>
      <c r="AE351" s="91" t="s">
        <v>3569</v>
      </c>
      <c r="AF351" s="91"/>
      <c r="AG351" s="92"/>
    </row>
    <row r="352" spans="1:33">
      <c r="A352" s="87" t="str">
        <f t="shared" si="10"/>
        <v/>
      </c>
      <c r="B352" s="103" t="str">
        <f t="shared" si="11"/>
        <v/>
      </c>
      <c r="C352" s="88"/>
      <c r="D352" s="89"/>
      <c r="E352" s="89"/>
      <c r="F352" s="105"/>
      <c r="G352" s="105"/>
      <c r="H352" s="105"/>
      <c r="I352" s="105"/>
      <c r="J352" s="148"/>
      <c r="K352" s="87" t="s">
        <v>3767</v>
      </c>
      <c r="L352" s="87" t="s">
        <v>3562</v>
      </c>
      <c r="M352" s="88"/>
      <c r="N352" s="89"/>
      <c r="O352" s="89"/>
      <c r="P352" s="89"/>
      <c r="Q352" s="89"/>
      <c r="R352" s="87"/>
      <c r="S352" s="89"/>
      <c r="T352" s="87"/>
      <c r="U352" s="87"/>
      <c r="V352" s="90"/>
      <c r="W352" s="90"/>
      <c r="X352" s="87"/>
      <c r="Y352" s="90"/>
      <c r="Z352" s="87"/>
      <c r="AA352" s="90"/>
      <c r="AB352" s="87"/>
      <c r="AC352" s="90"/>
      <c r="AD352" s="87" t="s">
        <v>3568</v>
      </c>
      <c r="AE352" s="87" t="s">
        <v>3569</v>
      </c>
      <c r="AF352" s="87"/>
      <c r="AG352" s="90"/>
    </row>
    <row r="353" spans="1:33">
      <c r="A353" s="91" t="str">
        <f t="shared" si="10"/>
        <v/>
      </c>
      <c r="B353" s="104" t="str">
        <f t="shared" si="11"/>
        <v/>
      </c>
      <c r="C353" s="88"/>
      <c r="D353" s="89"/>
      <c r="E353" s="89"/>
      <c r="F353" s="105"/>
      <c r="G353" s="105"/>
      <c r="H353" s="105"/>
      <c r="I353" s="105"/>
      <c r="J353" s="148"/>
      <c r="K353" s="91" t="s">
        <v>3767</v>
      </c>
      <c r="L353" s="91" t="s">
        <v>3562</v>
      </c>
      <c r="M353" s="88"/>
      <c r="N353" s="89"/>
      <c r="O353" s="89"/>
      <c r="P353" s="89"/>
      <c r="Q353" s="89"/>
      <c r="R353" s="91"/>
      <c r="S353" s="89"/>
      <c r="T353" s="91"/>
      <c r="U353" s="91"/>
      <c r="V353" s="92"/>
      <c r="W353" s="92"/>
      <c r="X353" s="91"/>
      <c r="Y353" s="92"/>
      <c r="Z353" s="91"/>
      <c r="AA353" s="92"/>
      <c r="AB353" s="91"/>
      <c r="AC353" s="92"/>
      <c r="AD353" s="91" t="s">
        <v>3568</v>
      </c>
      <c r="AE353" s="91" t="s">
        <v>3569</v>
      </c>
      <c r="AF353" s="91"/>
      <c r="AG353" s="92"/>
    </row>
    <row r="354" spans="1:33">
      <c r="A354" s="87" t="str">
        <f t="shared" si="10"/>
        <v/>
      </c>
      <c r="B354" s="103" t="str">
        <f t="shared" si="11"/>
        <v/>
      </c>
      <c r="C354" s="88"/>
      <c r="D354" s="89"/>
      <c r="E354" s="89"/>
      <c r="F354" s="105"/>
      <c r="G354" s="105"/>
      <c r="H354" s="105"/>
      <c r="I354" s="105"/>
      <c r="J354" s="148"/>
      <c r="K354" s="87" t="s">
        <v>3767</v>
      </c>
      <c r="L354" s="87" t="s">
        <v>3562</v>
      </c>
      <c r="M354" s="88"/>
      <c r="N354" s="89"/>
      <c r="O354" s="89"/>
      <c r="P354" s="89"/>
      <c r="Q354" s="89"/>
      <c r="R354" s="87"/>
      <c r="S354" s="89"/>
      <c r="T354" s="87"/>
      <c r="U354" s="87"/>
      <c r="V354" s="90"/>
      <c r="W354" s="90"/>
      <c r="X354" s="87"/>
      <c r="Y354" s="90"/>
      <c r="Z354" s="87"/>
      <c r="AA354" s="90"/>
      <c r="AB354" s="87"/>
      <c r="AC354" s="90"/>
      <c r="AD354" s="87" t="s">
        <v>3568</v>
      </c>
      <c r="AE354" s="87" t="s">
        <v>3569</v>
      </c>
      <c r="AF354" s="87"/>
      <c r="AG354" s="90"/>
    </row>
    <row r="355" spans="1:33">
      <c r="A355" s="91" t="str">
        <f t="shared" si="10"/>
        <v/>
      </c>
      <c r="B355" s="104" t="str">
        <f t="shared" si="11"/>
        <v/>
      </c>
      <c r="C355" s="88"/>
      <c r="D355" s="89"/>
      <c r="E355" s="89"/>
      <c r="F355" s="105"/>
      <c r="G355" s="105"/>
      <c r="H355" s="105"/>
      <c r="I355" s="105"/>
      <c r="J355" s="148"/>
      <c r="K355" s="91" t="s">
        <v>3767</v>
      </c>
      <c r="L355" s="91" t="s">
        <v>3562</v>
      </c>
      <c r="M355" s="88"/>
      <c r="N355" s="89"/>
      <c r="O355" s="89"/>
      <c r="P355" s="89"/>
      <c r="Q355" s="89"/>
      <c r="R355" s="91"/>
      <c r="S355" s="89"/>
      <c r="T355" s="91"/>
      <c r="U355" s="91"/>
      <c r="V355" s="92"/>
      <c r="W355" s="92"/>
      <c r="X355" s="91"/>
      <c r="Y355" s="92"/>
      <c r="Z355" s="91"/>
      <c r="AA355" s="92"/>
      <c r="AB355" s="91"/>
      <c r="AC355" s="92"/>
      <c r="AD355" s="91" t="s">
        <v>3568</v>
      </c>
      <c r="AE355" s="91" t="s">
        <v>3569</v>
      </c>
      <c r="AF355" s="91"/>
      <c r="AG355" s="92"/>
    </row>
    <row r="356" spans="1:33">
      <c r="A356" s="87" t="str">
        <f t="shared" si="10"/>
        <v/>
      </c>
      <c r="B356" s="103" t="str">
        <f t="shared" si="11"/>
        <v/>
      </c>
      <c r="C356" s="88"/>
      <c r="D356" s="89"/>
      <c r="E356" s="89"/>
      <c r="F356" s="105"/>
      <c r="G356" s="105"/>
      <c r="H356" s="105"/>
      <c r="I356" s="105"/>
      <c r="J356" s="148"/>
      <c r="K356" s="87" t="s">
        <v>3767</v>
      </c>
      <c r="L356" s="87" t="s">
        <v>3562</v>
      </c>
      <c r="M356" s="88"/>
      <c r="N356" s="89"/>
      <c r="O356" s="89"/>
      <c r="P356" s="89"/>
      <c r="Q356" s="89"/>
      <c r="R356" s="87"/>
      <c r="S356" s="89"/>
      <c r="T356" s="87"/>
      <c r="U356" s="87"/>
      <c r="V356" s="90"/>
      <c r="W356" s="90"/>
      <c r="X356" s="87"/>
      <c r="Y356" s="90"/>
      <c r="Z356" s="87"/>
      <c r="AA356" s="90"/>
      <c r="AB356" s="87"/>
      <c r="AC356" s="90"/>
      <c r="AD356" s="87" t="s">
        <v>3568</v>
      </c>
      <c r="AE356" s="87" t="s">
        <v>3569</v>
      </c>
      <c r="AF356" s="87"/>
      <c r="AG356" s="90"/>
    </row>
    <row r="357" spans="1:33">
      <c r="A357" s="91" t="str">
        <f t="shared" si="10"/>
        <v/>
      </c>
      <c r="B357" s="104" t="str">
        <f t="shared" si="11"/>
        <v/>
      </c>
      <c r="C357" s="88"/>
      <c r="D357" s="89"/>
      <c r="E357" s="89"/>
      <c r="F357" s="105"/>
      <c r="G357" s="105"/>
      <c r="H357" s="105"/>
      <c r="I357" s="105"/>
      <c r="J357" s="148"/>
      <c r="K357" s="91" t="s">
        <v>3767</v>
      </c>
      <c r="L357" s="91" t="s">
        <v>3562</v>
      </c>
      <c r="M357" s="88"/>
      <c r="N357" s="89"/>
      <c r="O357" s="89"/>
      <c r="P357" s="89"/>
      <c r="Q357" s="89"/>
      <c r="R357" s="91"/>
      <c r="S357" s="89"/>
      <c r="T357" s="91"/>
      <c r="U357" s="91"/>
      <c r="V357" s="92"/>
      <c r="W357" s="92"/>
      <c r="X357" s="91"/>
      <c r="Y357" s="92"/>
      <c r="Z357" s="91"/>
      <c r="AA357" s="92"/>
      <c r="AB357" s="91"/>
      <c r="AC357" s="92"/>
      <c r="AD357" s="91" t="s">
        <v>3568</v>
      </c>
      <c r="AE357" s="91" t="s">
        <v>3569</v>
      </c>
      <c r="AF357" s="91"/>
      <c r="AG357" s="92"/>
    </row>
    <row r="358" spans="1:33">
      <c r="A358" s="87" t="str">
        <f t="shared" si="10"/>
        <v/>
      </c>
      <c r="B358" s="103" t="str">
        <f t="shared" si="11"/>
        <v/>
      </c>
      <c r="C358" s="88"/>
      <c r="D358" s="89"/>
      <c r="E358" s="89"/>
      <c r="F358" s="105"/>
      <c r="G358" s="105"/>
      <c r="H358" s="105"/>
      <c r="I358" s="105"/>
      <c r="J358" s="148"/>
      <c r="K358" s="87" t="s">
        <v>3767</v>
      </c>
      <c r="L358" s="87" t="s">
        <v>3562</v>
      </c>
      <c r="M358" s="88"/>
      <c r="N358" s="89"/>
      <c r="O358" s="89"/>
      <c r="P358" s="89"/>
      <c r="Q358" s="89"/>
      <c r="R358" s="87"/>
      <c r="S358" s="89"/>
      <c r="T358" s="87"/>
      <c r="U358" s="87"/>
      <c r="V358" s="90"/>
      <c r="W358" s="90"/>
      <c r="X358" s="87"/>
      <c r="Y358" s="90"/>
      <c r="Z358" s="87"/>
      <c r="AA358" s="90"/>
      <c r="AB358" s="87"/>
      <c r="AC358" s="90"/>
      <c r="AD358" s="87" t="s">
        <v>3568</v>
      </c>
      <c r="AE358" s="87" t="s">
        <v>3569</v>
      </c>
      <c r="AF358" s="87"/>
      <c r="AG358" s="90"/>
    </row>
    <row r="359" spans="1:33">
      <c r="A359" s="91" t="str">
        <f t="shared" si="10"/>
        <v/>
      </c>
      <c r="B359" s="104" t="str">
        <f t="shared" si="11"/>
        <v/>
      </c>
      <c r="C359" s="88"/>
      <c r="D359" s="89"/>
      <c r="E359" s="89"/>
      <c r="F359" s="105"/>
      <c r="G359" s="105"/>
      <c r="H359" s="105"/>
      <c r="I359" s="105"/>
      <c r="J359" s="148"/>
      <c r="K359" s="91" t="s">
        <v>3767</v>
      </c>
      <c r="L359" s="91" t="s">
        <v>3562</v>
      </c>
      <c r="M359" s="88"/>
      <c r="N359" s="89"/>
      <c r="O359" s="89"/>
      <c r="P359" s="89"/>
      <c r="Q359" s="89"/>
      <c r="R359" s="91"/>
      <c r="S359" s="89"/>
      <c r="T359" s="91"/>
      <c r="U359" s="91"/>
      <c r="V359" s="92"/>
      <c r="W359" s="92"/>
      <c r="X359" s="91"/>
      <c r="Y359" s="92"/>
      <c r="Z359" s="91"/>
      <c r="AA359" s="92"/>
      <c r="AB359" s="91"/>
      <c r="AC359" s="92"/>
      <c r="AD359" s="91" t="s">
        <v>3568</v>
      </c>
      <c r="AE359" s="91" t="s">
        <v>3569</v>
      </c>
      <c r="AF359" s="91"/>
      <c r="AG359" s="92"/>
    </row>
    <row r="360" spans="1:33">
      <c r="A360" s="87" t="str">
        <f t="shared" si="10"/>
        <v/>
      </c>
      <c r="B360" s="103" t="str">
        <f t="shared" si="11"/>
        <v/>
      </c>
      <c r="C360" s="88"/>
      <c r="D360" s="89"/>
      <c r="E360" s="89"/>
      <c r="F360" s="105"/>
      <c r="G360" s="105"/>
      <c r="H360" s="105"/>
      <c r="I360" s="105"/>
      <c r="J360" s="148"/>
      <c r="K360" s="87" t="s">
        <v>3767</v>
      </c>
      <c r="L360" s="87" t="s">
        <v>3562</v>
      </c>
      <c r="M360" s="88"/>
      <c r="N360" s="89"/>
      <c r="O360" s="89"/>
      <c r="P360" s="89"/>
      <c r="Q360" s="89"/>
      <c r="R360" s="87"/>
      <c r="S360" s="89"/>
      <c r="T360" s="87"/>
      <c r="U360" s="87"/>
      <c r="V360" s="90"/>
      <c r="W360" s="90"/>
      <c r="X360" s="87"/>
      <c r="Y360" s="90"/>
      <c r="Z360" s="87"/>
      <c r="AA360" s="90"/>
      <c r="AB360" s="87"/>
      <c r="AC360" s="90"/>
      <c r="AD360" s="87" t="s">
        <v>3568</v>
      </c>
      <c r="AE360" s="87" t="s">
        <v>3569</v>
      </c>
      <c r="AF360" s="87"/>
      <c r="AG360" s="90"/>
    </row>
    <row r="361" spans="1:33">
      <c r="A361" s="91" t="str">
        <f t="shared" si="10"/>
        <v/>
      </c>
      <c r="B361" s="104" t="str">
        <f t="shared" si="11"/>
        <v/>
      </c>
      <c r="C361" s="88"/>
      <c r="D361" s="89"/>
      <c r="E361" s="89"/>
      <c r="F361" s="105"/>
      <c r="G361" s="105"/>
      <c r="H361" s="105"/>
      <c r="I361" s="105"/>
      <c r="J361" s="148"/>
      <c r="K361" s="91" t="s">
        <v>3767</v>
      </c>
      <c r="L361" s="91" t="s">
        <v>3562</v>
      </c>
      <c r="M361" s="88"/>
      <c r="N361" s="89"/>
      <c r="O361" s="89"/>
      <c r="P361" s="89"/>
      <c r="Q361" s="89"/>
      <c r="R361" s="91"/>
      <c r="S361" s="89"/>
      <c r="T361" s="91"/>
      <c r="U361" s="91"/>
      <c r="V361" s="92"/>
      <c r="W361" s="92"/>
      <c r="X361" s="91"/>
      <c r="Y361" s="92"/>
      <c r="Z361" s="91"/>
      <c r="AA361" s="92"/>
      <c r="AB361" s="91"/>
      <c r="AC361" s="92"/>
      <c r="AD361" s="91" t="s">
        <v>3568</v>
      </c>
      <c r="AE361" s="91" t="s">
        <v>3569</v>
      </c>
      <c r="AF361" s="91"/>
      <c r="AG361" s="92"/>
    </row>
    <row r="362" spans="1:33">
      <c r="A362" s="87" t="str">
        <f t="shared" si="10"/>
        <v/>
      </c>
      <c r="B362" s="103" t="str">
        <f t="shared" si="11"/>
        <v/>
      </c>
      <c r="C362" s="88"/>
      <c r="D362" s="89"/>
      <c r="E362" s="89"/>
      <c r="F362" s="105"/>
      <c r="G362" s="105"/>
      <c r="H362" s="105"/>
      <c r="I362" s="105"/>
      <c r="J362" s="148"/>
      <c r="K362" s="87" t="s">
        <v>3767</v>
      </c>
      <c r="L362" s="87" t="s">
        <v>3562</v>
      </c>
      <c r="M362" s="88"/>
      <c r="N362" s="89"/>
      <c r="O362" s="89"/>
      <c r="P362" s="89"/>
      <c r="Q362" s="89"/>
      <c r="R362" s="87"/>
      <c r="S362" s="89"/>
      <c r="T362" s="87"/>
      <c r="U362" s="87"/>
      <c r="V362" s="90"/>
      <c r="W362" s="90"/>
      <c r="X362" s="87"/>
      <c r="Y362" s="90"/>
      <c r="Z362" s="87"/>
      <c r="AA362" s="90"/>
      <c r="AB362" s="87"/>
      <c r="AC362" s="90"/>
      <c r="AD362" s="87" t="s">
        <v>3568</v>
      </c>
      <c r="AE362" s="87" t="s">
        <v>3569</v>
      </c>
      <c r="AF362" s="87"/>
      <c r="AG362" s="90"/>
    </row>
    <row r="363" spans="1:33">
      <c r="A363" s="91" t="str">
        <f t="shared" si="10"/>
        <v/>
      </c>
      <c r="B363" s="104" t="str">
        <f t="shared" si="11"/>
        <v/>
      </c>
      <c r="C363" s="88"/>
      <c r="D363" s="89"/>
      <c r="E363" s="89"/>
      <c r="F363" s="105"/>
      <c r="G363" s="105"/>
      <c r="H363" s="105"/>
      <c r="I363" s="105"/>
      <c r="J363" s="148"/>
      <c r="K363" s="91" t="s">
        <v>3767</v>
      </c>
      <c r="L363" s="91" t="s">
        <v>3562</v>
      </c>
      <c r="M363" s="88"/>
      <c r="N363" s="89"/>
      <c r="O363" s="89"/>
      <c r="P363" s="89"/>
      <c r="Q363" s="89"/>
      <c r="R363" s="91"/>
      <c r="S363" s="89"/>
      <c r="T363" s="91"/>
      <c r="U363" s="91"/>
      <c r="V363" s="92"/>
      <c r="W363" s="92"/>
      <c r="X363" s="91"/>
      <c r="Y363" s="92"/>
      <c r="Z363" s="91"/>
      <c r="AA363" s="92"/>
      <c r="AB363" s="91"/>
      <c r="AC363" s="92"/>
      <c r="AD363" s="91" t="s">
        <v>3568</v>
      </c>
      <c r="AE363" s="91" t="s">
        <v>3569</v>
      </c>
      <c r="AF363" s="91"/>
      <c r="AG363" s="92"/>
    </row>
    <row r="364" spans="1:33">
      <c r="A364" s="87" t="str">
        <f t="shared" si="10"/>
        <v/>
      </c>
      <c r="B364" s="103" t="str">
        <f t="shared" si="11"/>
        <v/>
      </c>
      <c r="C364" s="88"/>
      <c r="D364" s="89"/>
      <c r="E364" s="89"/>
      <c r="F364" s="105"/>
      <c r="G364" s="105"/>
      <c r="H364" s="105"/>
      <c r="I364" s="105"/>
      <c r="J364" s="148"/>
      <c r="K364" s="87" t="s">
        <v>3767</v>
      </c>
      <c r="L364" s="87" t="s">
        <v>3562</v>
      </c>
      <c r="M364" s="88"/>
      <c r="N364" s="89"/>
      <c r="O364" s="89"/>
      <c r="P364" s="89"/>
      <c r="Q364" s="89"/>
      <c r="R364" s="87"/>
      <c r="S364" s="89"/>
      <c r="T364" s="87"/>
      <c r="U364" s="87"/>
      <c r="V364" s="90"/>
      <c r="W364" s="90"/>
      <c r="X364" s="87"/>
      <c r="Y364" s="90"/>
      <c r="Z364" s="87"/>
      <c r="AA364" s="90"/>
      <c r="AB364" s="87"/>
      <c r="AC364" s="90"/>
      <c r="AD364" s="87" t="s">
        <v>3568</v>
      </c>
      <c r="AE364" s="87" t="s">
        <v>3569</v>
      </c>
      <c r="AF364" s="87"/>
      <c r="AG364" s="90"/>
    </row>
    <row r="365" spans="1:33">
      <c r="A365" s="91" t="str">
        <f t="shared" si="10"/>
        <v/>
      </c>
      <c r="B365" s="104" t="str">
        <f t="shared" si="11"/>
        <v/>
      </c>
      <c r="C365" s="88"/>
      <c r="D365" s="89"/>
      <c r="E365" s="89"/>
      <c r="F365" s="105"/>
      <c r="G365" s="105"/>
      <c r="H365" s="105"/>
      <c r="I365" s="105"/>
      <c r="J365" s="148"/>
      <c r="K365" s="91" t="s">
        <v>3767</v>
      </c>
      <c r="L365" s="91" t="s">
        <v>3562</v>
      </c>
      <c r="M365" s="88"/>
      <c r="N365" s="89"/>
      <c r="O365" s="89"/>
      <c r="P365" s="89"/>
      <c r="Q365" s="89"/>
      <c r="R365" s="91"/>
      <c r="S365" s="89"/>
      <c r="T365" s="91"/>
      <c r="U365" s="91"/>
      <c r="V365" s="92"/>
      <c r="W365" s="92"/>
      <c r="X365" s="91"/>
      <c r="Y365" s="92"/>
      <c r="Z365" s="91"/>
      <c r="AA365" s="92"/>
      <c r="AB365" s="91"/>
      <c r="AC365" s="92"/>
      <c r="AD365" s="91" t="s">
        <v>3568</v>
      </c>
      <c r="AE365" s="91" t="s">
        <v>3569</v>
      </c>
      <c r="AF365" s="91"/>
      <c r="AG365" s="92"/>
    </row>
    <row r="366" spans="1:33">
      <c r="A366" s="87" t="str">
        <f t="shared" si="10"/>
        <v/>
      </c>
      <c r="B366" s="103" t="str">
        <f t="shared" si="11"/>
        <v/>
      </c>
      <c r="C366" s="88"/>
      <c r="D366" s="89"/>
      <c r="E366" s="89"/>
      <c r="F366" s="105"/>
      <c r="G366" s="105"/>
      <c r="H366" s="105"/>
      <c r="I366" s="105"/>
      <c r="J366" s="148"/>
      <c r="K366" s="87" t="s">
        <v>3767</v>
      </c>
      <c r="L366" s="87" t="s">
        <v>3562</v>
      </c>
      <c r="M366" s="88"/>
      <c r="N366" s="89"/>
      <c r="O366" s="89"/>
      <c r="P366" s="89"/>
      <c r="Q366" s="89"/>
      <c r="R366" s="87"/>
      <c r="S366" s="89"/>
      <c r="T366" s="87"/>
      <c r="U366" s="87"/>
      <c r="V366" s="90"/>
      <c r="W366" s="90"/>
      <c r="X366" s="87"/>
      <c r="Y366" s="90"/>
      <c r="Z366" s="87"/>
      <c r="AA366" s="90"/>
      <c r="AB366" s="87"/>
      <c r="AC366" s="90"/>
      <c r="AD366" s="87" t="s">
        <v>3568</v>
      </c>
      <c r="AE366" s="87" t="s">
        <v>3569</v>
      </c>
      <c r="AF366" s="87"/>
      <c r="AG366" s="90"/>
    </row>
    <row r="367" spans="1:33">
      <c r="A367" s="91" t="str">
        <f t="shared" si="10"/>
        <v/>
      </c>
      <c r="B367" s="104" t="str">
        <f t="shared" si="11"/>
        <v/>
      </c>
      <c r="C367" s="88"/>
      <c r="D367" s="89"/>
      <c r="E367" s="89"/>
      <c r="F367" s="105"/>
      <c r="G367" s="105"/>
      <c r="H367" s="105"/>
      <c r="I367" s="105"/>
      <c r="J367" s="148"/>
      <c r="K367" s="91" t="s">
        <v>3767</v>
      </c>
      <c r="L367" s="91" t="s">
        <v>3562</v>
      </c>
      <c r="M367" s="88"/>
      <c r="N367" s="89"/>
      <c r="O367" s="89"/>
      <c r="P367" s="89"/>
      <c r="Q367" s="89"/>
      <c r="R367" s="91"/>
      <c r="S367" s="89"/>
      <c r="T367" s="91"/>
      <c r="U367" s="91"/>
      <c r="V367" s="92"/>
      <c r="W367" s="92"/>
      <c r="X367" s="91"/>
      <c r="Y367" s="92"/>
      <c r="Z367" s="91"/>
      <c r="AA367" s="92"/>
      <c r="AB367" s="91"/>
      <c r="AC367" s="92"/>
      <c r="AD367" s="91" t="s">
        <v>3568</v>
      </c>
      <c r="AE367" s="91" t="s">
        <v>3569</v>
      </c>
      <c r="AF367" s="91"/>
      <c r="AG367" s="92"/>
    </row>
    <row r="368" spans="1:33">
      <c r="A368" s="87" t="str">
        <f t="shared" si="10"/>
        <v/>
      </c>
      <c r="B368" s="103" t="str">
        <f t="shared" si="11"/>
        <v/>
      </c>
      <c r="C368" s="88"/>
      <c r="D368" s="89"/>
      <c r="E368" s="89"/>
      <c r="F368" s="105"/>
      <c r="G368" s="105"/>
      <c r="H368" s="105"/>
      <c r="I368" s="105"/>
      <c r="J368" s="148"/>
      <c r="K368" s="87" t="s">
        <v>3767</v>
      </c>
      <c r="L368" s="87" t="s">
        <v>3562</v>
      </c>
      <c r="M368" s="88"/>
      <c r="N368" s="89"/>
      <c r="O368" s="89"/>
      <c r="P368" s="89"/>
      <c r="Q368" s="89"/>
      <c r="R368" s="87"/>
      <c r="S368" s="89"/>
      <c r="T368" s="87"/>
      <c r="U368" s="87"/>
      <c r="V368" s="90"/>
      <c r="W368" s="90"/>
      <c r="X368" s="87"/>
      <c r="Y368" s="90"/>
      <c r="Z368" s="87"/>
      <c r="AA368" s="90"/>
      <c r="AB368" s="87"/>
      <c r="AC368" s="90"/>
      <c r="AD368" s="87" t="s">
        <v>3568</v>
      </c>
      <c r="AE368" s="87" t="s">
        <v>3569</v>
      </c>
      <c r="AF368" s="87"/>
      <c r="AG368" s="90"/>
    </row>
    <row r="369" spans="1:33">
      <c r="A369" s="91" t="str">
        <f t="shared" si="10"/>
        <v/>
      </c>
      <c r="B369" s="104" t="str">
        <f t="shared" si="11"/>
        <v/>
      </c>
      <c r="C369" s="88"/>
      <c r="D369" s="89"/>
      <c r="E369" s="89"/>
      <c r="F369" s="105"/>
      <c r="G369" s="105"/>
      <c r="H369" s="105"/>
      <c r="I369" s="105"/>
      <c r="J369" s="148"/>
      <c r="K369" s="91" t="s">
        <v>3767</v>
      </c>
      <c r="L369" s="91" t="s">
        <v>3562</v>
      </c>
      <c r="M369" s="88"/>
      <c r="N369" s="89"/>
      <c r="O369" s="89"/>
      <c r="P369" s="89"/>
      <c r="Q369" s="89"/>
      <c r="R369" s="91"/>
      <c r="S369" s="89"/>
      <c r="T369" s="91"/>
      <c r="U369" s="91"/>
      <c r="V369" s="92"/>
      <c r="W369" s="92"/>
      <c r="X369" s="91"/>
      <c r="Y369" s="92"/>
      <c r="Z369" s="91"/>
      <c r="AA369" s="92"/>
      <c r="AB369" s="91"/>
      <c r="AC369" s="92"/>
      <c r="AD369" s="91" t="s">
        <v>3568</v>
      </c>
      <c r="AE369" s="91" t="s">
        <v>3569</v>
      </c>
      <c r="AF369" s="91"/>
      <c r="AG369" s="92"/>
    </row>
    <row r="370" spans="1:33">
      <c r="A370" s="87" t="str">
        <f t="shared" si="10"/>
        <v/>
      </c>
      <c r="B370" s="103" t="str">
        <f t="shared" si="11"/>
        <v/>
      </c>
      <c r="C370" s="88"/>
      <c r="D370" s="89"/>
      <c r="E370" s="89"/>
      <c r="F370" s="105"/>
      <c r="G370" s="105"/>
      <c r="H370" s="105"/>
      <c r="I370" s="105"/>
      <c r="J370" s="148"/>
      <c r="K370" s="87" t="s">
        <v>3767</v>
      </c>
      <c r="L370" s="87" t="s">
        <v>3562</v>
      </c>
      <c r="M370" s="88"/>
      <c r="N370" s="89"/>
      <c r="O370" s="89"/>
      <c r="P370" s="89"/>
      <c r="Q370" s="89"/>
      <c r="R370" s="87"/>
      <c r="S370" s="89"/>
      <c r="T370" s="87"/>
      <c r="U370" s="87"/>
      <c r="V370" s="90"/>
      <c r="W370" s="90"/>
      <c r="X370" s="87"/>
      <c r="Y370" s="90"/>
      <c r="Z370" s="87"/>
      <c r="AA370" s="90"/>
      <c r="AB370" s="87"/>
      <c r="AC370" s="90"/>
      <c r="AD370" s="87" t="s">
        <v>3568</v>
      </c>
      <c r="AE370" s="87" t="s">
        <v>3569</v>
      </c>
      <c r="AF370" s="87"/>
      <c r="AG370" s="90"/>
    </row>
    <row r="371" spans="1:33">
      <c r="A371" s="91" t="str">
        <f t="shared" si="10"/>
        <v/>
      </c>
      <c r="B371" s="104" t="str">
        <f t="shared" si="11"/>
        <v/>
      </c>
      <c r="C371" s="88"/>
      <c r="D371" s="89"/>
      <c r="E371" s="89"/>
      <c r="F371" s="105"/>
      <c r="G371" s="105"/>
      <c r="H371" s="105"/>
      <c r="I371" s="105"/>
      <c r="J371" s="148"/>
      <c r="K371" s="91" t="s">
        <v>3767</v>
      </c>
      <c r="L371" s="91" t="s">
        <v>3562</v>
      </c>
      <c r="M371" s="88"/>
      <c r="N371" s="89"/>
      <c r="O371" s="89"/>
      <c r="P371" s="89"/>
      <c r="Q371" s="89"/>
      <c r="R371" s="91"/>
      <c r="S371" s="89"/>
      <c r="T371" s="91"/>
      <c r="U371" s="91"/>
      <c r="V371" s="92"/>
      <c r="W371" s="92"/>
      <c r="X371" s="91"/>
      <c r="Y371" s="92"/>
      <c r="Z371" s="91"/>
      <c r="AA371" s="92"/>
      <c r="AB371" s="91"/>
      <c r="AC371" s="92"/>
      <c r="AD371" s="91" t="s">
        <v>3568</v>
      </c>
      <c r="AE371" s="91" t="s">
        <v>3569</v>
      </c>
      <c r="AF371" s="91"/>
      <c r="AG371" s="92"/>
    </row>
    <row r="372" spans="1:33">
      <c r="A372" s="87" t="str">
        <f t="shared" si="10"/>
        <v/>
      </c>
      <c r="B372" s="103" t="str">
        <f t="shared" si="11"/>
        <v/>
      </c>
      <c r="C372" s="88"/>
      <c r="D372" s="89"/>
      <c r="E372" s="89"/>
      <c r="F372" s="105"/>
      <c r="G372" s="105"/>
      <c r="H372" s="105"/>
      <c r="I372" s="105"/>
      <c r="J372" s="148"/>
      <c r="K372" s="87" t="s">
        <v>3767</v>
      </c>
      <c r="L372" s="87" t="s">
        <v>3562</v>
      </c>
      <c r="M372" s="88"/>
      <c r="N372" s="89"/>
      <c r="O372" s="89"/>
      <c r="P372" s="89"/>
      <c r="Q372" s="89"/>
      <c r="R372" s="87"/>
      <c r="S372" s="89"/>
      <c r="T372" s="87"/>
      <c r="U372" s="87"/>
      <c r="V372" s="90"/>
      <c r="W372" s="90"/>
      <c r="X372" s="87"/>
      <c r="Y372" s="90"/>
      <c r="Z372" s="87"/>
      <c r="AA372" s="90"/>
      <c r="AB372" s="87"/>
      <c r="AC372" s="90"/>
      <c r="AD372" s="87" t="s">
        <v>3568</v>
      </c>
      <c r="AE372" s="87" t="s">
        <v>3569</v>
      </c>
      <c r="AF372" s="87"/>
      <c r="AG372" s="90"/>
    </row>
    <row r="373" spans="1:33">
      <c r="A373" s="91" t="str">
        <f t="shared" si="10"/>
        <v/>
      </c>
      <c r="B373" s="104" t="str">
        <f t="shared" si="11"/>
        <v/>
      </c>
      <c r="C373" s="88"/>
      <c r="D373" s="89"/>
      <c r="E373" s="89"/>
      <c r="F373" s="105"/>
      <c r="G373" s="105"/>
      <c r="H373" s="105"/>
      <c r="I373" s="105"/>
      <c r="J373" s="148"/>
      <c r="K373" s="91" t="s">
        <v>3767</v>
      </c>
      <c r="L373" s="91" t="s">
        <v>3562</v>
      </c>
      <c r="M373" s="88"/>
      <c r="N373" s="89"/>
      <c r="O373" s="89"/>
      <c r="P373" s="89"/>
      <c r="Q373" s="89"/>
      <c r="R373" s="91"/>
      <c r="S373" s="89"/>
      <c r="T373" s="91"/>
      <c r="U373" s="91"/>
      <c r="V373" s="92"/>
      <c r="W373" s="92"/>
      <c r="X373" s="91"/>
      <c r="Y373" s="92"/>
      <c r="Z373" s="91"/>
      <c r="AA373" s="92"/>
      <c r="AB373" s="91"/>
      <c r="AC373" s="92"/>
      <c r="AD373" s="91" t="s">
        <v>3568</v>
      </c>
      <c r="AE373" s="91" t="s">
        <v>3569</v>
      </c>
      <c r="AF373" s="91"/>
      <c r="AG373" s="92"/>
    </row>
    <row r="374" spans="1:33">
      <c r="A374" s="87" t="str">
        <f t="shared" si="10"/>
        <v/>
      </c>
      <c r="B374" s="103" t="str">
        <f t="shared" si="11"/>
        <v/>
      </c>
      <c r="C374" s="88"/>
      <c r="D374" s="89"/>
      <c r="E374" s="89"/>
      <c r="F374" s="105"/>
      <c r="G374" s="105"/>
      <c r="H374" s="105"/>
      <c r="I374" s="105"/>
      <c r="J374" s="148"/>
      <c r="K374" s="87" t="s">
        <v>3767</v>
      </c>
      <c r="L374" s="87" t="s">
        <v>3562</v>
      </c>
      <c r="M374" s="88"/>
      <c r="N374" s="89"/>
      <c r="O374" s="89"/>
      <c r="P374" s="89"/>
      <c r="Q374" s="89"/>
      <c r="R374" s="87"/>
      <c r="S374" s="89"/>
      <c r="T374" s="87"/>
      <c r="U374" s="87"/>
      <c r="V374" s="90"/>
      <c r="W374" s="90"/>
      <c r="X374" s="87"/>
      <c r="Y374" s="90"/>
      <c r="Z374" s="87"/>
      <c r="AA374" s="90"/>
      <c r="AB374" s="87"/>
      <c r="AC374" s="90"/>
      <c r="AD374" s="87" t="s">
        <v>3568</v>
      </c>
      <c r="AE374" s="87" t="s">
        <v>3569</v>
      </c>
      <c r="AF374" s="87"/>
      <c r="AG374" s="90"/>
    </row>
    <row r="375" spans="1:33">
      <c r="A375" s="91" t="str">
        <f t="shared" si="10"/>
        <v/>
      </c>
      <c r="B375" s="104" t="str">
        <f t="shared" si="11"/>
        <v/>
      </c>
      <c r="C375" s="88"/>
      <c r="D375" s="89"/>
      <c r="E375" s="89"/>
      <c r="F375" s="105"/>
      <c r="G375" s="105"/>
      <c r="H375" s="105"/>
      <c r="I375" s="105"/>
      <c r="J375" s="148"/>
      <c r="K375" s="91" t="s">
        <v>3767</v>
      </c>
      <c r="L375" s="91" t="s">
        <v>3562</v>
      </c>
      <c r="M375" s="88"/>
      <c r="N375" s="89"/>
      <c r="O375" s="89"/>
      <c r="P375" s="89"/>
      <c r="Q375" s="89"/>
      <c r="R375" s="91"/>
      <c r="S375" s="89"/>
      <c r="T375" s="91"/>
      <c r="U375" s="91"/>
      <c r="V375" s="92"/>
      <c r="W375" s="92"/>
      <c r="X375" s="91"/>
      <c r="Y375" s="92"/>
      <c r="Z375" s="91"/>
      <c r="AA375" s="92"/>
      <c r="AB375" s="91"/>
      <c r="AC375" s="92"/>
      <c r="AD375" s="91" t="s">
        <v>3568</v>
      </c>
      <c r="AE375" s="91" t="s">
        <v>3569</v>
      </c>
      <c r="AF375" s="91"/>
      <c r="AG375" s="92"/>
    </row>
    <row r="376" spans="1:33">
      <c r="A376" s="87" t="str">
        <f t="shared" si="10"/>
        <v/>
      </c>
      <c r="B376" s="103" t="str">
        <f t="shared" si="11"/>
        <v/>
      </c>
      <c r="C376" s="88"/>
      <c r="D376" s="89"/>
      <c r="E376" s="89"/>
      <c r="F376" s="105"/>
      <c r="G376" s="105"/>
      <c r="H376" s="105"/>
      <c r="I376" s="105"/>
      <c r="J376" s="148"/>
      <c r="K376" s="87" t="s">
        <v>3767</v>
      </c>
      <c r="L376" s="87" t="s">
        <v>3562</v>
      </c>
      <c r="M376" s="88"/>
      <c r="N376" s="89"/>
      <c r="O376" s="89"/>
      <c r="P376" s="89"/>
      <c r="Q376" s="89"/>
      <c r="R376" s="87"/>
      <c r="S376" s="89"/>
      <c r="T376" s="87"/>
      <c r="U376" s="87"/>
      <c r="V376" s="90"/>
      <c r="W376" s="90"/>
      <c r="X376" s="87"/>
      <c r="Y376" s="90"/>
      <c r="Z376" s="87"/>
      <c r="AA376" s="90"/>
      <c r="AB376" s="87"/>
      <c r="AC376" s="90"/>
      <c r="AD376" s="87" t="s">
        <v>3568</v>
      </c>
      <c r="AE376" s="87" t="s">
        <v>3569</v>
      </c>
      <c r="AF376" s="87"/>
      <c r="AG376" s="90"/>
    </row>
    <row r="377" spans="1:33">
      <c r="A377" s="91" t="str">
        <f t="shared" si="10"/>
        <v/>
      </c>
      <c r="B377" s="104" t="str">
        <f t="shared" si="11"/>
        <v/>
      </c>
      <c r="C377" s="88"/>
      <c r="D377" s="89"/>
      <c r="E377" s="89"/>
      <c r="F377" s="105"/>
      <c r="G377" s="105"/>
      <c r="H377" s="105"/>
      <c r="I377" s="105"/>
      <c r="J377" s="148"/>
      <c r="K377" s="91" t="s">
        <v>3767</v>
      </c>
      <c r="L377" s="91" t="s">
        <v>3562</v>
      </c>
      <c r="M377" s="88"/>
      <c r="N377" s="89"/>
      <c r="O377" s="89"/>
      <c r="P377" s="89"/>
      <c r="Q377" s="89"/>
      <c r="R377" s="91"/>
      <c r="S377" s="89"/>
      <c r="T377" s="91"/>
      <c r="U377" s="91"/>
      <c r="V377" s="92"/>
      <c r="W377" s="92"/>
      <c r="X377" s="91"/>
      <c r="Y377" s="92"/>
      <c r="Z377" s="91"/>
      <c r="AA377" s="92"/>
      <c r="AB377" s="91"/>
      <c r="AC377" s="92"/>
      <c r="AD377" s="91" t="s">
        <v>3568</v>
      </c>
      <c r="AE377" s="91" t="s">
        <v>3569</v>
      </c>
      <c r="AF377" s="91"/>
      <c r="AG377" s="92"/>
    </row>
    <row r="378" spans="1:33">
      <c r="A378" s="87" t="str">
        <f t="shared" si="10"/>
        <v/>
      </c>
      <c r="B378" s="103" t="str">
        <f t="shared" si="11"/>
        <v/>
      </c>
      <c r="C378" s="88"/>
      <c r="D378" s="89"/>
      <c r="E378" s="89"/>
      <c r="F378" s="105"/>
      <c r="G378" s="105"/>
      <c r="H378" s="105"/>
      <c r="I378" s="105"/>
      <c r="J378" s="148"/>
      <c r="K378" s="87" t="s">
        <v>3767</v>
      </c>
      <c r="L378" s="87" t="s">
        <v>3562</v>
      </c>
      <c r="M378" s="88"/>
      <c r="N378" s="89"/>
      <c r="O378" s="89"/>
      <c r="P378" s="89"/>
      <c r="Q378" s="89"/>
      <c r="R378" s="87"/>
      <c r="S378" s="89"/>
      <c r="T378" s="87"/>
      <c r="U378" s="87"/>
      <c r="V378" s="90"/>
      <c r="W378" s="90"/>
      <c r="X378" s="87"/>
      <c r="Y378" s="90"/>
      <c r="Z378" s="87"/>
      <c r="AA378" s="90"/>
      <c r="AB378" s="87"/>
      <c r="AC378" s="90"/>
      <c r="AD378" s="87" t="s">
        <v>3568</v>
      </c>
      <c r="AE378" s="87" t="s">
        <v>3569</v>
      </c>
      <c r="AF378" s="87"/>
      <c r="AG378" s="90"/>
    </row>
    <row r="379" spans="1:33">
      <c r="A379" s="91" t="str">
        <f t="shared" si="10"/>
        <v/>
      </c>
      <c r="B379" s="104" t="str">
        <f t="shared" si="11"/>
        <v/>
      </c>
      <c r="C379" s="88"/>
      <c r="D379" s="89"/>
      <c r="E379" s="89"/>
      <c r="F379" s="105"/>
      <c r="G379" s="105"/>
      <c r="H379" s="105"/>
      <c r="I379" s="105"/>
      <c r="J379" s="148"/>
      <c r="K379" s="91" t="s">
        <v>3767</v>
      </c>
      <c r="L379" s="91" t="s">
        <v>3562</v>
      </c>
      <c r="M379" s="88"/>
      <c r="N379" s="89"/>
      <c r="O379" s="89"/>
      <c r="P379" s="89"/>
      <c r="Q379" s="89"/>
      <c r="R379" s="91"/>
      <c r="S379" s="89"/>
      <c r="T379" s="91"/>
      <c r="U379" s="91"/>
      <c r="V379" s="92"/>
      <c r="W379" s="92"/>
      <c r="X379" s="91"/>
      <c r="Y379" s="92"/>
      <c r="Z379" s="91"/>
      <c r="AA379" s="92"/>
      <c r="AB379" s="91"/>
      <c r="AC379" s="92"/>
      <c r="AD379" s="91" t="s">
        <v>3568</v>
      </c>
      <c r="AE379" s="91" t="s">
        <v>3569</v>
      </c>
      <c r="AF379" s="91"/>
      <c r="AG379" s="92"/>
    </row>
    <row r="380" spans="1:33">
      <c r="A380" s="87" t="str">
        <f t="shared" si="10"/>
        <v/>
      </c>
      <c r="B380" s="103" t="str">
        <f t="shared" si="11"/>
        <v/>
      </c>
      <c r="C380" s="88"/>
      <c r="D380" s="89"/>
      <c r="E380" s="89"/>
      <c r="F380" s="105"/>
      <c r="G380" s="105"/>
      <c r="H380" s="105"/>
      <c r="I380" s="105"/>
      <c r="J380" s="148"/>
      <c r="K380" s="87" t="s">
        <v>3767</v>
      </c>
      <c r="L380" s="87" t="s">
        <v>3562</v>
      </c>
      <c r="M380" s="88"/>
      <c r="N380" s="89"/>
      <c r="O380" s="89"/>
      <c r="P380" s="89"/>
      <c r="Q380" s="89"/>
      <c r="R380" s="87"/>
      <c r="S380" s="89"/>
      <c r="T380" s="87"/>
      <c r="U380" s="87"/>
      <c r="V380" s="90"/>
      <c r="W380" s="90"/>
      <c r="X380" s="87"/>
      <c r="Y380" s="90"/>
      <c r="Z380" s="87"/>
      <c r="AA380" s="90"/>
      <c r="AB380" s="87"/>
      <c r="AC380" s="90"/>
      <c r="AD380" s="87" t="s">
        <v>3568</v>
      </c>
      <c r="AE380" s="87" t="s">
        <v>3569</v>
      </c>
      <c r="AF380" s="87"/>
      <c r="AG380" s="90"/>
    </row>
    <row r="381" spans="1:33">
      <c r="A381" s="91" t="str">
        <f t="shared" si="10"/>
        <v/>
      </c>
      <c r="B381" s="104" t="str">
        <f t="shared" si="11"/>
        <v/>
      </c>
      <c r="C381" s="88"/>
      <c r="D381" s="89"/>
      <c r="E381" s="89"/>
      <c r="F381" s="105"/>
      <c r="G381" s="105"/>
      <c r="H381" s="105"/>
      <c r="I381" s="105"/>
      <c r="J381" s="148"/>
      <c r="K381" s="91" t="s">
        <v>3767</v>
      </c>
      <c r="L381" s="91" t="s">
        <v>3562</v>
      </c>
      <c r="M381" s="88"/>
      <c r="N381" s="89"/>
      <c r="O381" s="89"/>
      <c r="P381" s="89"/>
      <c r="Q381" s="89"/>
      <c r="R381" s="91"/>
      <c r="S381" s="89"/>
      <c r="T381" s="91"/>
      <c r="U381" s="91"/>
      <c r="V381" s="92"/>
      <c r="W381" s="92"/>
      <c r="X381" s="91"/>
      <c r="Y381" s="92"/>
      <c r="Z381" s="91"/>
      <c r="AA381" s="92"/>
      <c r="AB381" s="91"/>
      <c r="AC381" s="92"/>
      <c r="AD381" s="91" t="s">
        <v>3568</v>
      </c>
      <c r="AE381" s="91" t="s">
        <v>3569</v>
      </c>
      <c r="AF381" s="91"/>
      <c r="AG381" s="92"/>
    </row>
    <row r="382" spans="1:33">
      <c r="A382" s="87" t="str">
        <f t="shared" si="10"/>
        <v/>
      </c>
      <c r="B382" s="103" t="str">
        <f t="shared" si="11"/>
        <v/>
      </c>
      <c r="C382" s="88"/>
      <c r="D382" s="89"/>
      <c r="E382" s="89"/>
      <c r="F382" s="105"/>
      <c r="G382" s="105"/>
      <c r="H382" s="105"/>
      <c r="I382" s="105"/>
      <c r="J382" s="148"/>
      <c r="K382" s="87" t="s">
        <v>3767</v>
      </c>
      <c r="L382" s="87" t="s">
        <v>3562</v>
      </c>
      <c r="M382" s="88"/>
      <c r="N382" s="89"/>
      <c r="O382" s="89"/>
      <c r="P382" s="89"/>
      <c r="Q382" s="89"/>
      <c r="R382" s="87"/>
      <c r="S382" s="89"/>
      <c r="T382" s="87"/>
      <c r="U382" s="87"/>
      <c r="V382" s="90"/>
      <c r="W382" s="90"/>
      <c r="X382" s="87"/>
      <c r="Y382" s="90"/>
      <c r="Z382" s="87"/>
      <c r="AA382" s="90"/>
      <c r="AB382" s="87"/>
      <c r="AC382" s="90"/>
      <c r="AD382" s="87" t="s">
        <v>3568</v>
      </c>
      <c r="AE382" s="87" t="s">
        <v>3569</v>
      </c>
      <c r="AF382" s="87"/>
      <c r="AG382" s="90"/>
    </row>
    <row r="383" spans="1:33">
      <c r="A383" s="91" t="str">
        <f t="shared" si="10"/>
        <v/>
      </c>
      <c r="B383" s="104" t="str">
        <f t="shared" si="11"/>
        <v/>
      </c>
      <c r="C383" s="88"/>
      <c r="D383" s="89"/>
      <c r="E383" s="89"/>
      <c r="F383" s="105"/>
      <c r="G383" s="105"/>
      <c r="H383" s="105"/>
      <c r="I383" s="105"/>
      <c r="J383" s="148"/>
      <c r="K383" s="91" t="s">
        <v>3767</v>
      </c>
      <c r="L383" s="91" t="s">
        <v>3562</v>
      </c>
      <c r="M383" s="88"/>
      <c r="N383" s="89"/>
      <c r="O383" s="89"/>
      <c r="P383" s="89"/>
      <c r="Q383" s="89"/>
      <c r="R383" s="91"/>
      <c r="S383" s="89"/>
      <c r="T383" s="91"/>
      <c r="U383" s="91"/>
      <c r="V383" s="92"/>
      <c r="W383" s="92"/>
      <c r="X383" s="91"/>
      <c r="Y383" s="92"/>
      <c r="Z383" s="91"/>
      <c r="AA383" s="92"/>
      <c r="AB383" s="91"/>
      <c r="AC383" s="92"/>
      <c r="AD383" s="91" t="s">
        <v>3568</v>
      </c>
      <c r="AE383" s="91" t="s">
        <v>3569</v>
      </c>
      <c r="AF383" s="91"/>
      <c r="AG383" s="92"/>
    </row>
    <row r="384" spans="1:33">
      <c r="A384" s="87" t="str">
        <f t="shared" si="10"/>
        <v/>
      </c>
      <c r="B384" s="103" t="str">
        <f t="shared" si="11"/>
        <v/>
      </c>
      <c r="C384" s="88"/>
      <c r="D384" s="89"/>
      <c r="E384" s="89"/>
      <c r="F384" s="105"/>
      <c r="G384" s="105"/>
      <c r="H384" s="105"/>
      <c r="I384" s="105"/>
      <c r="J384" s="148"/>
      <c r="K384" s="87" t="s">
        <v>3767</v>
      </c>
      <c r="L384" s="87" t="s">
        <v>3562</v>
      </c>
      <c r="M384" s="88"/>
      <c r="N384" s="89"/>
      <c r="O384" s="89"/>
      <c r="P384" s="89"/>
      <c r="Q384" s="89"/>
      <c r="R384" s="87"/>
      <c r="S384" s="89"/>
      <c r="T384" s="87"/>
      <c r="U384" s="87"/>
      <c r="V384" s="90"/>
      <c r="W384" s="90"/>
      <c r="X384" s="87"/>
      <c r="Y384" s="90"/>
      <c r="Z384" s="87"/>
      <c r="AA384" s="90"/>
      <c r="AB384" s="87"/>
      <c r="AC384" s="90"/>
      <c r="AD384" s="87" t="s">
        <v>3568</v>
      </c>
      <c r="AE384" s="87" t="s">
        <v>3569</v>
      </c>
      <c r="AF384" s="87"/>
      <c r="AG384" s="90"/>
    </row>
    <row r="385" spans="1:33">
      <c r="A385" s="91" t="str">
        <f t="shared" si="10"/>
        <v/>
      </c>
      <c r="B385" s="104" t="str">
        <f t="shared" si="11"/>
        <v/>
      </c>
      <c r="C385" s="88"/>
      <c r="D385" s="89"/>
      <c r="E385" s="89"/>
      <c r="F385" s="105"/>
      <c r="G385" s="105"/>
      <c r="H385" s="105"/>
      <c r="I385" s="105"/>
      <c r="J385" s="148"/>
      <c r="K385" s="91" t="s">
        <v>3767</v>
      </c>
      <c r="L385" s="91" t="s">
        <v>3562</v>
      </c>
      <c r="M385" s="88"/>
      <c r="N385" s="89"/>
      <c r="O385" s="89"/>
      <c r="P385" s="89"/>
      <c r="Q385" s="89"/>
      <c r="R385" s="91"/>
      <c r="S385" s="89"/>
      <c r="T385" s="91"/>
      <c r="U385" s="91"/>
      <c r="V385" s="92"/>
      <c r="W385" s="92"/>
      <c r="X385" s="91"/>
      <c r="Y385" s="92"/>
      <c r="Z385" s="91"/>
      <c r="AA385" s="92"/>
      <c r="AB385" s="91"/>
      <c r="AC385" s="92"/>
      <c r="AD385" s="91" t="s">
        <v>3568</v>
      </c>
      <c r="AE385" s="91" t="s">
        <v>3569</v>
      </c>
      <c r="AF385" s="91"/>
      <c r="AG385" s="92"/>
    </row>
    <row r="386" spans="1:33">
      <c r="A386" s="87" t="str">
        <f t="shared" si="10"/>
        <v/>
      </c>
      <c r="B386" s="103" t="str">
        <f t="shared" si="11"/>
        <v/>
      </c>
      <c r="C386" s="88"/>
      <c r="D386" s="89"/>
      <c r="E386" s="89"/>
      <c r="F386" s="105"/>
      <c r="G386" s="105"/>
      <c r="H386" s="105"/>
      <c r="I386" s="105"/>
      <c r="J386" s="148"/>
      <c r="K386" s="87" t="s">
        <v>3767</v>
      </c>
      <c r="L386" s="87" t="s">
        <v>3562</v>
      </c>
      <c r="M386" s="88"/>
      <c r="N386" s="89"/>
      <c r="O386" s="89"/>
      <c r="P386" s="89"/>
      <c r="Q386" s="89"/>
      <c r="R386" s="87"/>
      <c r="S386" s="89"/>
      <c r="T386" s="87"/>
      <c r="U386" s="87"/>
      <c r="V386" s="90"/>
      <c r="W386" s="90"/>
      <c r="X386" s="87"/>
      <c r="Y386" s="90"/>
      <c r="Z386" s="87"/>
      <c r="AA386" s="90"/>
      <c r="AB386" s="87"/>
      <c r="AC386" s="90"/>
      <c r="AD386" s="87" t="s">
        <v>3568</v>
      </c>
      <c r="AE386" s="87" t="s">
        <v>3569</v>
      </c>
      <c r="AF386" s="87"/>
      <c r="AG386" s="90"/>
    </row>
    <row r="387" spans="1:33">
      <c r="A387" s="91" t="str">
        <f t="shared" si="10"/>
        <v/>
      </c>
      <c r="B387" s="104" t="str">
        <f t="shared" si="11"/>
        <v/>
      </c>
      <c r="C387" s="88"/>
      <c r="D387" s="89"/>
      <c r="E387" s="89"/>
      <c r="F387" s="105"/>
      <c r="G387" s="105"/>
      <c r="H387" s="105"/>
      <c r="I387" s="105"/>
      <c r="J387" s="148"/>
      <c r="K387" s="91" t="s">
        <v>3767</v>
      </c>
      <c r="L387" s="91" t="s">
        <v>3562</v>
      </c>
      <c r="M387" s="88"/>
      <c r="N387" s="89"/>
      <c r="O387" s="89"/>
      <c r="P387" s="89"/>
      <c r="Q387" s="89"/>
      <c r="R387" s="91"/>
      <c r="S387" s="89"/>
      <c r="T387" s="91"/>
      <c r="U387" s="91"/>
      <c r="V387" s="92"/>
      <c r="W387" s="92"/>
      <c r="X387" s="91"/>
      <c r="Y387" s="92"/>
      <c r="Z387" s="91"/>
      <c r="AA387" s="92"/>
      <c r="AB387" s="91"/>
      <c r="AC387" s="92"/>
      <c r="AD387" s="91" t="s">
        <v>3568</v>
      </c>
      <c r="AE387" s="91" t="s">
        <v>3569</v>
      </c>
      <c r="AF387" s="91"/>
      <c r="AG387" s="92"/>
    </row>
    <row r="388" spans="1:33">
      <c r="A388" s="87" t="str">
        <f t="shared" si="10"/>
        <v/>
      </c>
      <c r="B388" s="103" t="str">
        <f t="shared" si="11"/>
        <v/>
      </c>
      <c r="C388" s="88"/>
      <c r="D388" s="89"/>
      <c r="E388" s="89"/>
      <c r="F388" s="105"/>
      <c r="G388" s="105"/>
      <c r="H388" s="105"/>
      <c r="I388" s="105"/>
      <c r="J388" s="148"/>
      <c r="K388" s="87" t="s">
        <v>3767</v>
      </c>
      <c r="L388" s="87" t="s">
        <v>3562</v>
      </c>
      <c r="M388" s="88"/>
      <c r="N388" s="89"/>
      <c r="O388" s="89"/>
      <c r="P388" s="89"/>
      <c r="Q388" s="89"/>
      <c r="R388" s="87"/>
      <c r="S388" s="89"/>
      <c r="T388" s="87"/>
      <c r="U388" s="87"/>
      <c r="V388" s="90"/>
      <c r="W388" s="90"/>
      <c r="X388" s="87"/>
      <c r="Y388" s="90"/>
      <c r="Z388" s="87"/>
      <c r="AA388" s="90"/>
      <c r="AB388" s="87"/>
      <c r="AC388" s="90"/>
      <c r="AD388" s="87" t="s">
        <v>3568</v>
      </c>
      <c r="AE388" s="87" t="s">
        <v>3569</v>
      </c>
      <c r="AF388" s="87"/>
      <c r="AG388" s="90"/>
    </row>
    <row r="389" spans="1:33">
      <c r="A389" s="91" t="str">
        <f t="shared" si="10"/>
        <v/>
      </c>
      <c r="B389" s="104" t="str">
        <f t="shared" si="11"/>
        <v/>
      </c>
      <c r="C389" s="88"/>
      <c r="D389" s="89"/>
      <c r="E389" s="89"/>
      <c r="F389" s="105"/>
      <c r="G389" s="105"/>
      <c r="H389" s="105"/>
      <c r="I389" s="105"/>
      <c r="J389" s="148"/>
      <c r="K389" s="91" t="s">
        <v>3767</v>
      </c>
      <c r="L389" s="91" t="s">
        <v>3562</v>
      </c>
      <c r="M389" s="88"/>
      <c r="N389" s="89"/>
      <c r="O389" s="89"/>
      <c r="P389" s="89"/>
      <c r="Q389" s="89"/>
      <c r="R389" s="91"/>
      <c r="S389" s="89"/>
      <c r="T389" s="91"/>
      <c r="U389" s="91"/>
      <c r="V389" s="92"/>
      <c r="W389" s="92"/>
      <c r="X389" s="91"/>
      <c r="Y389" s="92"/>
      <c r="Z389" s="91"/>
      <c r="AA389" s="92"/>
      <c r="AB389" s="91"/>
      <c r="AC389" s="92"/>
      <c r="AD389" s="91" t="s">
        <v>3568</v>
      </c>
      <c r="AE389" s="91" t="s">
        <v>3569</v>
      </c>
      <c r="AF389" s="91"/>
      <c r="AG389" s="92"/>
    </row>
    <row r="390" spans="1:33">
      <c r="A390" s="87" t="str">
        <f t="shared" ref="A390:A401" si="12">IF(B390&lt;&gt;"",(ROW()-4),"")</f>
        <v/>
      </c>
      <c r="B390" s="103" t="str">
        <f t="shared" ref="B390:B401" si="13">IF(D390&lt;&gt;"","CASE-PMS-ADV-2026-"&amp;TEXT(ROW()-4,"000"),"")</f>
        <v/>
      </c>
      <c r="C390" s="88"/>
      <c r="D390" s="89"/>
      <c r="E390" s="89"/>
      <c r="F390" s="105"/>
      <c r="G390" s="105"/>
      <c r="H390" s="105"/>
      <c r="I390" s="105"/>
      <c r="J390" s="148"/>
      <c r="K390" s="87" t="s">
        <v>3767</v>
      </c>
      <c r="L390" s="87" t="s">
        <v>3562</v>
      </c>
      <c r="M390" s="88"/>
      <c r="N390" s="89"/>
      <c r="O390" s="89"/>
      <c r="P390" s="89"/>
      <c r="Q390" s="89"/>
      <c r="R390" s="87"/>
      <c r="S390" s="89"/>
      <c r="T390" s="87"/>
      <c r="U390" s="87"/>
      <c r="V390" s="90"/>
      <c r="W390" s="90"/>
      <c r="X390" s="87"/>
      <c r="Y390" s="90"/>
      <c r="Z390" s="87"/>
      <c r="AA390" s="90"/>
      <c r="AB390" s="87"/>
      <c r="AC390" s="90"/>
      <c r="AD390" s="87" t="s">
        <v>3568</v>
      </c>
      <c r="AE390" s="87" t="s">
        <v>3569</v>
      </c>
      <c r="AF390" s="87"/>
      <c r="AG390" s="90"/>
    </row>
    <row r="391" spans="1:33">
      <c r="A391" s="91" t="str">
        <f t="shared" si="12"/>
        <v/>
      </c>
      <c r="B391" s="104" t="str">
        <f t="shared" si="13"/>
        <v/>
      </c>
      <c r="C391" s="88"/>
      <c r="D391" s="89"/>
      <c r="E391" s="89"/>
      <c r="F391" s="105"/>
      <c r="G391" s="105"/>
      <c r="H391" s="105"/>
      <c r="I391" s="105"/>
      <c r="J391" s="148"/>
      <c r="K391" s="91" t="s">
        <v>3767</v>
      </c>
      <c r="L391" s="91" t="s">
        <v>3562</v>
      </c>
      <c r="M391" s="88"/>
      <c r="N391" s="89"/>
      <c r="O391" s="89"/>
      <c r="P391" s="89"/>
      <c r="Q391" s="89"/>
      <c r="R391" s="91"/>
      <c r="S391" s="89"/>
      <c r="T391" s="91"/>
      <c r="U391" s="91"/>
      <c r="V391" s="92"/>
      <c r="W391" s="92"/>
      <c r="X391" s="91"/>
      <c r="Y391" s="92"/>
      <c r="Z391" s="91"/>
      <c r="AA391" s="92"/>
      <c r="AB391" s="91"/>
      <c r="AC391" s="92"/>
      <c r="AD391" s="91" t="s">
        <v>3568</v>
      </c>
      <c r="AE391" s="91" t="s">
        <v>3569</v>
      </c>
      <c r="AF391" s="91"/>
      <c r="AG391" s="92"/>
    </row>
    <row r="392" spans="1:33">
      <c r="A392" s="87" t="str">
        <f t="shared" si="12"/>
        <v/>
      </c>
      <c r="B392" s="103" t="str">
        <f t="shared" si="13"/>
        <v/>
      </c>
      <c r="C392" s="88"/>
      <c r="D392" s="89"/>
      <c r="E392" s="89"/>
      <c r="F392" s="105"/>
      <c r="G392" s="105"/>
      <c r="H392" s="105"/>
      <c r="I392" s="105"/>
      <c r="J392" s="148"/>
      <c r="K392" s="87" t="s">
        <v>3767</v>
      </c>
      <c r="L392" s="87" t="s">
        <v>3562</v>
      </c>
      <c r="M392" s="88"/>
      <c r="N392" s="89"/>
      <c r="O392" s="89"/>
      <c r="P392" s="89"/>
      <c r="Q392" s="89"/>
      <c r="R392" s="87"/>
      <c r="S392" s="89"/>
      <c r="T392" s="87"/>
      <c r="U392" s="87"/>
      <c r="V392" s="90"/>
      <c r="W392" s="90"/>
      <c r="X392" s="87"/>
      <c r="Y392" s="90"/>
      <c r="Z392" s="87"/>
      <c r="AA392" s="90"/>
      <c r="AB392" s="87"/>
      <c r="AC392" s="90"/>
      <c r="AD392" s="87" t="s">
        <v>3568</v>
      </c>
      <c r="AE392" s="87" t="s">
        <v>3569</v>
      </c>
      <c r="AF392" s="87"/>
      <c r="AG392" s="90"/>
    </row>
    <row r="393" spans="1:33">
      <c r="A393" s="91" t="str">
        <f t="shared" si="12"/>
        <v/>
      </c>
      <c r="B393" s="104" t="str">
        <f t="shared" si="13"/>
        <v/>
      </c>
      <c r="C393" s="88"/>
      <c r="D393" s="89"/>
      <c r="E393" s="89"/>
      <c r="F393" s="105"/>
      <c r="G393" s="105"/>
      <c r="H393" s="105"/>
      <c r="I393" s="105"/>
      <c r="J393" s="148"/>
      <c r="K393" s="91" t="s">
        <v>3767</v>
      </c>
      <c r="L393" s="91" t="s">
        <v>3562</v>
      </c>
      <c r="M393" s="88"/>
      <c r="N393" s="89"/>
      <c r="O393" s="89"/>
      <c r="P393" s="89"/>
      <c r="Q393" s="89"/>
      <c r="R393" s="91"/>
      <c r="S393" s="89"/>
      <c r="T393" s="91"/>
      <c r="U393" s="91"/>
      <c r="V393" s="92"/>
      <c r="W393" s="92"/>
      <c r="X393" s="91"/>
      <c r="Y393" s="92"/>
      <c r="Z393" s="91"/>
      <c r="AA393" s="92"/>
      <c r="AB393" s="91"/>
      <c r="AC393" s="92"/>
      <c r="AD393" s="91" t="s">
        <v>3568</v>
      </c>
      <c r="AE393" s="91" t="s">
        <v>3569</v>
      </c>
      <c r="AF393" s="91"/>
      <c r="AG393" s="92"/>
    </row>
    <row r="394" spans="1:33">
      <c r="A394" s="87" t="str">
        <f t="shared" si="12"/>
        <v/>
      </c>
      <c r="B394" s="103" t="str">
        <f t="shared" si="13"/>
        <v/>
      </c>
      <c r="C394" s="88"/>
      <c r="D394" s="89"/>
      <c r="E394" s="89"/>
      <c r="F394" s="105"/>
      <c r="G394" s="105"/>
      <c r="H394" s="105"/>
      <c r="I394" s="105"/>
      <c r="J394" s="148"/>
      <c r="K394" s="87" t="s">
        <v>3767</v>
      </c>
      <c r="L394" s="87" t="s">
        <v>3562</v>
      </c>
      <c r="M394" s="88"/>
      <c r="N394" s="89"/>
      <c r="O394" s="89"/>
      <c r="P394" s="89"/>
      <c r="Q394" s="89"/>
      <c r="R394" s="87"/>
      <c r="S394" s="89"/>
      <c r="T394" s="87"/>
      <c r="U394" s="87"/>
      <c r="V394" s="90"/>
      <c r="W394" s="90"/>
      <c r="X394" s="87"/>
      <c r="Y394" s="90"/>
      <c r="Z394" s="87"/>
      <c r="AA394" s="90"/>
      <c r="AB394" s="87"/>
      <c r="AC394" s="90"/>
      <c r="AD394" s="87" t="s">
        <v>3568</v>
      </c>
      <c r="AE394" s="87" t="s">
        <v>3569</v>
      </c>
      <c r="AF394" s="87"/>
      <c r="AG394" s="90"/>
    </row>
    <row r="395" spans="1:33">
      <c r="A395" s="91" t="str">
        <f t="shared" si="12"/>
        <v/>
      </c>
      <c r="B395" s="104" t="str">
        <f t="shared" si="13"/>
        <v/>
      </c>
      <c r="C395" s="88"/>
      <c r="D395" s="89"/>
      <c r="E395" s="89"/>
      <c r="F395" s="105"/>
      <c r="G395" s="105"/>
      <c r="H395" s="105"/>
      <c r="I395" s="105"/>
      <c r="J395" s="148"/>
      <c r="K395" s="91" t="s">
        <v>3767</v>
      </c>
      <c r="L395" s="91" t="s">
        <v>3562</v>
      </c>
      <c r="M395" s="88"/>
      <c r="N395" s="89"/>
      <c r="O395" s="89"/>
      <c r="P395" s="89"/>
      <c r="Q395" s="89"/>
      <c r="R395" s="91"/>
      <c r="S395" s="89"/>
      <c r="T395" s="91"/>
      <c r="U395" s="91"/>
      <c r="V395" s="92"/>
      <c r="W395" s="92"/>
      <c r="X395" s="91"/>
      <c r="Y395" s="92"/>
      <c r="Z395" s="91"/>
      <c r="AA395" s="92"/>
      <c r="AB395" s="91"/>
      <c r="AC395" s="92"/>
      <c r="AD395" s="91" t="s">
        <v>3568</v>
      </c>
      <c r="AE395" s="91" t="s">
        <v>3569</v>
      </c>
      <c r="AF395" s="91"/>
      <c r="AG395" s="92"/>
    </row>
    <row r="396" spans="1:33">
      <c r="A396" s="87" t="str">
        <f t="shared" si="12"/>
        <v/>
      </c>
      <c r="B396" s="103" t="str">
        <f t="shared" si="13"/>
        <v/>
      </c>
      <c r="C396" s="88"/>
      <c r="D396" s="89"/>
      <c r="E396" s="89"/>
      <c r="F396" s="105"/>
      <c r="G396" s="105"/>
      <c r="H396" s="105"/>
      <c r="I396" s="105"/>
      <c r="J396" s="148"/>
      <c r="K396" s="87" t="s">
        <v>3767</v>
      </c>
      <c r="L396" s="87" t="s">
        <v>3562</v>
      </c>
      <c r="M396" s="88"/>
      <c r="N396" s="89"/>
      <c r="O396" s="89"/>
      <c r="P396" s="89"/>
      <c r="Q396" s="89"/>
      <c r="R396" s="87"/>
      <c r="S396" s="89"/>
      <c r="T396" s="87"/>
      <c r="U396" s="87"/>
      <c r="V396" s="90"/>
      <c r="W396" s="90"/>
      <c r="X396" s="87"/>
      <c r="Y396" s="90"/>
      <c r="Z396" s="87"/>
      <c r="AA396" s="90"/>
      <c r="AB396" s="87"/>
      <c r="AC396" s="90"/>
      <c r="AD396" s="87" t="s">
        <v>3568</v>
      </c>
      <c r="AE396" s="87" t="s">
        <v>3569</v>
      </c>
      <c r="AF396" s="87"/>
      <c r="AG396" s="90"/>
    </row>
    <row r="397" spans="1:33">
      <c r="A397" s="91" t="str">
        <f t="shared" si="12"/>
        <v/>
      </c>
      <c r="B397" s="104" t="str">
        <f t="shared" si="13"/>
        <v/>
      </c>
      <c r="C397" s="88"/>
      <c r="D397" s="89"/>
      <c r="E397" s="89"/>
      <c r="F397" s="105"/>
      <c r="G397" s="105"/>
      <c r="H397" s="105"/>
      <c r="I397" s="105"/>
      <c r="J397" s="148"/>
      <c r="K397" s="91" t="s">
        <v>3767</v>
      </c>
      <c r="L397" s="91" t="s">
        <v>3562</v>
      </c>
      <c r="M397" s="88"/>
      <c r="N397" s="89"/>
      <c r="O397" s="89"/>
      <c r="P397" s="89"/>
      <c r="Q397" s="89"/>
      <c r="R397" s="91"/>
      <c r="S397" s="89"/>
      <c r="T397" s="91"/>
      <c r="U397" s="91"/>
      <c r="V397" s="92"/>
      <c r="W397" s="92"/>
      <c r="X397" s="91"/>
      <c r="Y397" s="92"/>
      <c r="Z397" s="91"/>
      <c r="AA397" s="92"/>
      <c r="AB397" s="91"/>
      <c r="AC397" s="92"/>
      <c r="AD397" s="91" t="s">
        <v>3568</v>
      </c>
      <c r="AE397" s="91" t="s">
        <v>3569</v>
      </c>
      <c r="AF397" s="91"/>
      <c r="AG397" s="92"/>
    </row>
    <row r="398" spans="1:33">
      <c r="A398" s="87" t="str">
        <f t="shared" si="12"/>
        <v/>
      </c>
      <c r="B398" s="103" t="str">
        <f t="shared" si="13"/>
        <v/>
      </c>
      <c r="C398" s="88"/>
      <c r="D398" s="89"/>
      <c r="E398" s="89"/>
      <c r="F398" s="105"/>
      <c r="G398" s="105"/>
      <c r="H398" s="105"/>
      <c r="I398" s="105"/>
      <c r="J398" s="148"/>
      <c r="K398" s="87" t="s">
        <v>3767</v>
      </c>
      <c r="L398" s="87" t="s">
        <v>3562</v>
      </c>
      <c r="M398" s="88"/>
      <c r="N398" s="89"/>
      <c r="O398" s="89"/>
      <c r="P398" s="89"/>
      <c r="Q398" s="89"/>
      <c r="R398" s="87"/>
      <c r="S398" s="89"/>
      <c r="T398" s="87"/>
      <c r="U398" s="87"/>
      <c r="V398" s="90"/>
      <c r="W398" s="90"/>
      <c r="X398" s="87"/>
      <c r="Y398" s="90"/>
      <c r="Z398" s="87"/>
      <c r="AA398" s="90"/>
      <c r="AB398" s="87"/>
      <c r="AC398" s="90"/>
      <c r="AD398" s="87" t="s">
        <v>3568</v>
      </c>
      <c r="AE398" s="87" t="s">
        <v>3569</v>
      </c>
      <c r="AF398" s="87"/>
      <c r="AG398" s="90"/>
    </row>
    <row r="399" spans="1:33">
      <c r="A399" s="91" t="str">
        <f t="shared" si="12"/>
        <v/>
      </c>
      <c r="B399" s="104" t="str">
        <f t="shared" si="13"/>
        <v/>
      </c>
      <c r="C399" s="88"/>
      <c r="D399" s="89"/>
      <c r="E399" s="89"/>
      <c r="F399" s="105"/>
      <c r="G399" s="105"/>
      <c r="H399" s="105"/>
      <c r="I399" s="105"/>
      <c r="J399" s="148"/>
      <c r="K399" s="91" t="s">
        <v>3767</v>
      </c>
      <c r="L399" s="91" t="s">
        <v>3562</v>
      </c>
      <c r="M399" s="88"/>
      <c r="N399" s="89"/>
      <c r="O399" s="89"/>
      <c r="P399" s="89"/>
      <c r="Q399" s="89"/>
      <c r="R399" s="91"/>
      <c r="S399" s="89"/>
      <c r="T399" s="91"/>
      <c r="U399" s="91"/>
      <c r="V399" s="92"/>
      <c r="W399" s="92"/>
      <c r="X399" s="91"/>
      <c r="Y399" s="92"/>
      <c r="Z399" s="91"/>
      <c r="AA399" s="92"/>
      <c r="AB399" s="91"/>
      <c r="AC399" s="92"/>
      <c r="AD399" s="91" t="s">
        <v>3568</v>
      </c>
      <c r="AE399" s="91" t="s">
        <v>3569</v>
      </c>
      <c r="AF399" s="91"/>
      <c r="AG399" s="92"/>
    </row>
    <row r="400" spans="1:33">
      <c r="A400" s="87" t="str">
        <f t="shared" si="12"/>
        <v/>
      </c>
      <c r="B400" s="103" t="str">
        <f t="shared" si="13"/>
        <v/>
      </c>
      <c r="C400" s="88"/>
      <c r="D400" s="89"/>
      <c r="E400" s="89"/>
      <c r="F400" s="105"/>
      <c r="G400" s="105"/>
      <c r="H400" s="105"/>
      <c r="I400" s="105"/>
      <c r="J400" s="148"/>
      <c r="K400" s="87" t="s">
        <v>3767</v>
      </c>
      <c r="L400" s="87" t="s">
        <v>3562</v>
      </c>
      <c r="M400" s="88"/>
      <c r="N400" s="89"/>
      <c r="O400" s="89"/>
      <c r="P400" s="89"/>
      <c r="Q400" s="89"/>
      <c r="R400" s="87"/>
      <c r="S400" s="89"/>
      <c r="T400" s="87"/>
      <c r="U400" s="87"/>
      <c r="V400" s="90"/>
      <c r="W400" s="90"/>
      <c r="X400" s="87"/>
      <c r="Y400" s="90"/>
      <c r="Z400" s="87"/>
      <c r="AA400" s="90"/>
      <c r="AB400" s="87"/>
      <c r="AC400" s="90"/>
      <c r="AD400" s="87" t="s">
        <v>3568</v>
      </c>
      <c r="AE400" s="87" t="s">
        <v>3569</v>
      </c>
      <c r="AF400" s="87"/>
      <c r="AG400" s="90"/>
    </row>
    <row r="401" spans="1:33">
      <c r="A401" s="91" t="str">
        <f t="shared" si="12"/>
        <v/>
      </c>
      <c r="B401" s="104" t="str">
        <f t="shared" si="13"/>
        <v/>
      </c>
      <c r="C401" s="88"/>
      <c r="D401" s="89"/>
      <c r="E401" s="89"/>
      <c r="F401" s="89"/>
      <c r="G401" s="89"/>
      <c r="H401" s="89"/>
      <c r="I401" s="89"/>
      <c r="J401" s="148"/>
      <c r="K401" s="91" t="s">
        <v>3767</v>
      </c>
      <c r="L401" s="91" t="s">
        <v>3562</v>
      </c>
      <c r="M401" s="88"/>
      <c r="N401" s="89"/>
      <c r="O401" s="89"/>
      <c r="P401" s="89"/>
      <c r="Q401" s="89"/>
      <c r="R401" s="91"/>
      <c r="S401" s="89"/>
      <c r="T401" s="91"/>
      <c r="U401" s="91"/>
      <c r="V401" s="92"/>
      <c r="W401" s="92"/>
      <c r="X401" s="91"/>
      <c r="Y401" s="92"/>
      <c r="Z401" s="91"/>
      <c r="AA401" s="92"/>
      <c r="AB401" s="91"/>
      <c r="AC401" s="92"/>
      <c r="AD401" s="91" t="s">
        <v>3568</v>
      </c>
      <c r="AE401" s="91" t="s">
        <v>3569</v>
      </c>
      <c r="AF401" s="91"/>
      <c r="AG401" s="92"/>
    </row>
  </sheetData>
  <mergeCells count="3">
    <mergeCell ref="A1:AE1"/>
    <mergeCell ref="A2:AE2"/>
    <mergeCell ref="A3:AE3"/>
  </mergeCells>
  <dataValidations count="6">
    <dataValidation type="list" allowBlank="1" sqref="N5:N401" xr:uid="{79C18E73-AB07-4524-B0CC-387E02BBB5B4}">
      <formula1>_xlfn._LONGTEXT("TELEVISION COMMERCIAL (TVC),RADIO,ONLINE (Facebook),ONLINE (Instagram),ONLINE (TikTok),ONLINE (YouTube),ONLINE (X/Twitter),ONLINE (Website),ONLINE (WhatsApp),OUT-OF-HOME (Billboard),OUT-OF-HOME (Lamp Post),OUT-OF-HOME (Bus Branding),PRINT (Newspaper),PRIN","T (Magazine),MEDICAL JOURNAL,OTHER")</formula1>
    </dataValidation>
    <dataValidation type="list" allowBlank="1" sqref="AE5:AE401" xr:uid="{0A072563-5AE3-49FC-BA43-69EBF80B8837}">
      <formula1>"Open,Closed - Resolved,Closed - Unable to Pursue"</formula1>
    </dataValidation>
    <dataValidation type="list" allowBlank="1" sqref="AD5:AD401" xr:uid="{6CEB6608-AD5D-42D4-8B90-8ABD8AD910B9}">
      <formula1>"Still Active,Removed by Platform,Removed by Applicant,Approval Obtained,Unknown"</formula1>
    </dataValidation>
    <dataValidation type="list" allowBlank="1" sqref="AC5:AC401" xr:uid="{64D4345A-4584-46CE-9034-F8934D9EFB92}">
      <formula1>"Still Active,Removed,Reduced,Not Found on Follow-Up"</formula1>
    </dataValidation>
    <dataValidation type="list" allowBlank="1" sqref="R5:R401" xr:uid="{0BDD0D96-FF57-4064-8005-AE2AFB773D57}">
      <formula1>"High - Escalate Same Day,Medium - Escalate Within 24 Hours,Low - Escalate Within 48 Hours"</formula1>
    </dataValidation>
    <dataValidation type="list" allowBlank="1" sqref="K5:L401" xr:uid="{CD0FB37E-CC4E-442B-863F-9C2EC3FBE1BE}">
      <formula1>"Yes,No,Unknown"</formula1>
    </dataValidation>
  </dataValidations>
  <hyperlinks>
    <hyperlink ref="I7" r:id="rId1" xr:uid="{DDCE5FEC-207B-4F95-B5AB-936A33B776E9}"/>
    <hyperlink ref="I5" r:id="rId2" xr:uid="{719BE87A-D051-4749-BF2C-1A6C1E0F0CFF}"/>
    <hyperlink ref="I8" r:id="rId3" xr:uid="{3DFC4939-2282-4D5D-A3C5-85842258A06A}"/>
    <hyperlink ref="I9" r:id="rId4" xr:uid="{8C48742C-2F43-493A-B070-AAF9153C0B8E}"/>
    <hyperlink ref="I6" r:id="rId5" xr:uid="{A7FA2AD6-9B56-4BBA-8EC2-0E0748F70F15}"/>
    <hyperlink ref="I10" r:id="rId6" xr:uid="{839CBE56-B2A6-4FDC-AE2E-64681A745973}"/>
    <hyperlink ref="I12" r:id="rId7" xr:uid="{92A3F720-5CE5-4127-9BAA-F7A2E3CE57F1}"/>
    <hyperlink ref="I32" r:id="rId8" xr:uid="{AB4EBF6F-398B-47FD-A375-0FE1430F3AE4}"/>
    <hyperlink ref="I33" r:id="rId9" xr:uid="{C20DFC2D-9B78-48ED-9B15-C4588E9E5272}"/>
    <hyperlink ref="I34" r:id="rId10" xr:uid="{CF950E05-A1EF-4627-A932-F03A29CE23AA}"/>
    <hyperlink ref="I35" r:id="rId11" xr:uid="{E20A58BF-A07D-44F1-935F-57BA1A2795D5}"/>
    <hyperlink ref="I36" r:id="rId12" xr:uid="{80C25CB3-977F-46EA-80EA-1BE1234E3563}"/>
    <hyperlink ref="I37" r:id="rId13" xr:uid="{272F4091-13F7-49F1-935E-859A742A74BB}"/>
    <hyperlink ref="I38" r:id="rId14" xr:uid="{AE5D7EA9-A2B5-43D8-AB4F-15227CEAB9E5}"/>
    <hyperlink ref="S37" r:id="rId15" xr:uid="{16E69574-0578-485B-9D5D-9EC78CEC6134}"/>
    <hyperlink ref="S36" r:id="rId16" xr:uid="{2B9F8C10-4AA0-4BCA-BD36-95B673A3348D}"/>
    <hyperlink ref="S35" r:id="rId17" xr:uid="{A7F330B5-CD8F-4413-A42F-821B65D3385B}"/>
    <hyperlink ref="S34" r:id="rId18" xr:uid="{AD052E93-353E-4906-95C7-DFD1A4A21763}"/>
    <hyperlink ref="S33" r:id="rId19" xr:uid="{5580A430-0FDD-4BE7-A142-7D60F0EBF553}"/>
    <hyperlink ref="S32" r:id="rId20" xr:uid="{A7452612-E6A3-4CAF-B307-C47A4E66194A}"/>
    <hyperlink ref="S39" r:id="rId21" xr:uid="{84DBB5DB-9DBE-4E38-B1DD-2B6A32428914}"/>
    <hyperlink ref="S38" r:id="rId22" xr:uid="{E312AD9B-4CAF-4EF3-9549-102CF9B636FD}"/>
    <hyperlink ref="G25" r:id="rId23" xr:uid="{1C0EE78E-AC87-42F2-B2B0-93B9AE520297}"/>
    <hyperlink ref="S9" r:id="rId24" xr:uid="{83D674FB-BAB4-4DFA-A3B6-0AB307928A19}"/>
    <hyperlink ref="S13" r:id="rId25" xr:uid="{04FDE96E-B802-4DD2-913D-94CC72B86E2D}"/>
    <hyperlink ref="S21" r:id="rId26" xr:uid="{51B548BC-369F-4708-89E5-2ADB2B2DC7AA}"/>
    <hyperlink ref="S15" r:id="rId27" xr:uid="{6FAF7180-213E-45C4-A0D8-ECF61DB62A8E}"/>
    <hyperlink ref="S16" r:id="rId28" xr:uid="{56E85B75-7B8A-42EE-85D3-242C6309EF25}"/>
    <hyperlink ref="S14" r:id="rId29" xr:uid="{A9D181CC-2C7B-434D-A194-F2C87EB818B4}"/>
    <hyperlink ref="S8" r:id="rId30" xr:uid="{2832B580-1F92-44D9-90D1-6E8A8FB4064B}"/>
    <hyperlink ref="S23" r:id="rId31" xr:uid="{95284458-6CB1-4F17-B8C2-8F53012849F1}"/>
    <hyperlink ref="S26" r:id="rId32" xr:uid="{19950FAE-DA0E-4530-A14C-60A6241AE8C5}"/>
    <hyperlink ref="S19" r:id="rId33" xr:uid="{F2D05FB5-1CE5-4212-A0C8-3A62F2B09097}"/>
    <hyperlink ref="S20" r:id="rId34" xr:uid="{C12AD5C4-4E2F-45A5-B1AB-845DE00854D5}"/>
    <hyperlink ref="S10" r:id="rId35" xr:uid="{1C5C03AB-5AC9-4F86-9AFC-70A03F5DEE5C}"/>
    <hyperlink ref="S12" r:id="rId36" xr:uid="{BDD53BD3-57A6-4010-8C65-396718DFCBCF}"/>
    <hyperlink ref="S18" r:id="rId37" xr:uid="{5EFE392F-46CE-40CC-9586-8AA352C9E73A}"/>
    <hyperlink ref="S5" r:id="rId38" xr:uid="{2DE01BFC-0E5B-4F5A-BDDA-206816496325}"/>
    <hyperlink ref="S7" r:id="rId39" xr:uid="{3AB041AE-30BB-4116-9D95-468A4F320147}"/>
    <hyperlink ref="S30" r:id="rId40" xr:uid="{36CD9D8F-B0EF-4DEC-907F-9C57D1ECE777}"/>
    <hyperlink ref="S17" r:id="rId41" xr:uid="{5D486CEF-61AF-4CDF-BCCC-7188A10FF847}"/>
    <hyperlink ref="S29" r:id="rId42" xr:uid="{5F783084-69D2-4768-AB47-87D51E746A47}"/>
    <hyperlink ref="S11" r:id="rId43" xr:uid="{3A0E1C9A-9879-4AAF-9712-B6194069BAB9}"/>
    <hyperlink ref="S27" r:id="rId44" xr:uid="{23A913D4-E5BD-4645-A029-D2893D9728AE}"/>
    <hyperlink ref="S28" r:id="rId45" xr:uid="{2C1F4F56-FACD-4269-A2AA-8B935E863A9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6B527-F3EE-4CD3-8711-1C4416B3B613}">
  <dimension ref="A1"/>
  <sheetViews>
    <sheetView workbookViewId="0">
      <selection activeCell="J27" sqref="J27"/>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APPROVED</vt:lpstr>
      <vt:lpstr>UNAPPROVED</vt:lpstr>
      <vt:lpstr>Applicant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adekunle adeniran</cp:lastModifiedBy>
  <cp:revision/>
  <dcterms:created xsi:type="dcterms:W3CDTF">2026-05-25T21:39:48Z</dcterms:created>
  <dcterms:modified xsi:type="dcterms:W3CDTF">2026-08-18T14:06:09Z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406d5b3d-8ba1-4a1b-9459-0c6dc17eaa11</vt:lpwstr>
  </property>
</Properties>
</file>